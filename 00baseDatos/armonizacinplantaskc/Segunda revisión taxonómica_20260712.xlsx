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2. Personales\Varios\Abejas Kathy\Revisión géneros plantas\"/>
    </mc:Choice>
  </mc:AlternateContent>
  <xr:revisionPtr revIDLastSave="0" documentId="13_ncr:1_{8FDFBF51-CFEE-4610-9B75-5E190BC5E8F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os originales" sheetId="1" r:id="rId1"/>
    <sheet name="Revisión" sheetId="2" r:id="rId2"/>
  </sheets>
  <definedNames>
    <definedName name="_xlnm._FilterDatabase" localSheetId="0" hidden="1">'Datos originales'!$A$2:$G$2414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3" i="1"/>
  <c r="I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K2413" i="1" l="1"/>
  <c r="L2413" i="1"/>
  <c r="M2413" i="1"/>
  <c r="K2414" i="1"/>
  <c r="L2414" i="1"/>
  <c r="M2414" i="1"/>
  <c r="K4" i="1"/>
  <c r="L4" i="1"/>
  <c r="M4" i="1"/>
  <c r="K5" i="1"/>
  <c r="L5" i="1"/>
  <c r="M5" i="1"/>
  <c r="K6" i="1"/>
  <c r="L6" i="1"/>
  <c r="M6" i="1"/>
  <c r="K7" i="1"/>
  <c r="L7" i="1"/>
  <c r="M7" i="1"/>
  <c r="K8" i="1"/>
  <c r="L8" i="1"/>
  <c r="M8" i="1"/>
  <c r="K9" i="1"/>
  <c r="L9" i="1"/>
  <c r="M9" i="1"/>
  <c r="K10" i="1"/>
  <c r="L10" i="1"/>
  <c r="M10" i="1"/>
  <c r="K11" i="1"/>
  <c r="L11" i="1"/>
  <c r="M11" i="1"/>
  <c r="K12" i="1"/>
  <c r="L12" i="1"/>
  <c r="M12" i="1"/>
  <c r="K13" i="1"/>
  <c r="L13" i="1"/>
  <c r="M13" i="1"/>
  <c r="K14" i="1"/>
  <c r="L14" i="1"/>
  <c r="M14" i="1"/>
  <c r="K15" i="1"/>
  <c r="L15" i="1"/>
  <c r="M15" i="1"/>
  <c r="K16" i="1"/>
  <c r="L16" i="1"/>
  <c r="M16" i="1"/>
  <c r="K17" i="1"/>
  <c r="L17" i="1"/>
  <c r="M17" i="1"/>
  <c r="K18" i="1"/>
  <c r="L18" i="1"/>
  <c r="M18" i="1"/>
  <c r="K19" i="1"/>
  <c r="L19" i="1"/>
  <c r="M19" i="1"/>
  <c r="K20" i="1"/>
  <c r="L20" i="1"/>
  <c r="M20" i="1"/>
  <c r="K21" i="1"/>
  <c r="L21" i="1"/>
  <c r="M21" i="1"/>
  <c r="K22" i="1"/>
  <c r="L22" i="1"/>
  <c r="M22" i="1"/>
  <c r="K23" i="1"/>
  <c r="L23" i="1"/>
  <c r="M23" i="1"/>
  <c r="K24" i="1"/>
  <c r="L24" i="1"/>
  <c r="M24" i="1"/>
  <c r="K25" i="1"/>
  <c r="L25" i="1"/>
  <c r="M25" i="1"/>
  <c r="K26" i="1"/>
  <c r="L26" i="1"/>
  <c r="M26" i="1"/>
  <c r="K27" i="1"/>
  <c r="L27" i="1"/>
  <c r="M27" i="1"/>
  <c r="K28" i="1"/>
  <c r="L28" i="1"/>
  <c r="M28" i="1"/>
  <c r="K29" i="1"/>
  <c r="L29" i="1"/>
  <c r="M29" i="1"/>
  <c r="K30" i="1"/>
  <c r="L30" i="1"/>
  <c r="M30" i="1"/>
  <c r="K31" i="1"/>
  <c r="L31" i="1"/>
  <c r="M31" i="1"/>
  <c r="K32" i="1"/>
  <c r="L32" i="1"/>
  <c r="M32" i="1"/>
  <c r="K33" i="1"/>
  <c r="L33" i="1"/>
  <c r="M33" i="1"/>
  <c r="K34" i="1"/>
  <c r="L34" i="1"/>
  <c r="M34" i="1"/>
  <c r="K35" i="1"/>
  <c r="L35" i="1"/>
  <c r="M35" i="1"/>
  <c r="K36" i="1"/>
  <c r="L36" i="1"/>
  <c r="M36" i="1"/>
  <c r="K37" i="1"/>
  <c r="L37" i="1"/>
  <c r="M37" i="1"/>
  <c r="K38" i="1"/>
  <c r="L38" i="1"/>
  <c r="M38" i="1"/>
  <c r="K39" i="1"/>
  <c r="L39" i="1"/>
  <c r="M39" i="1"/>
  <c r="K40" i="1"/>
  <c r="L40" i="1"/>
  <c r="M40" i="1"/>
  <c r="K41" i="1"/>
  <c r="L41" i="1"/>
  <c r="M41" i="1"/>
  <c r="K42" i="1"/>
  <c r="L42" i="1"/>
  <c r="M42" i="1"/>
  <c r="K43" i="1"/>
  <c r="L43" i="1"/>
  <c r="M43" i="1"/>
  <c r="K44" i="1"/>
  <c r="L44" i="1"/>
  <c r="M44" i="1"/>
  <c r="K45" i="1"/>
  <c r="L45" i="1"/>
  <c r="M45" i="1"/>
  <c r="K46" i="1"/>
  <c r="L46" i="1"/>
  <c r="M46" i="1"/>
  <c r="K47" i="1"/>
  <c r="L47" i="1"/>
  <c r="M47" i="1"/>
  <c r="K48" i="1"/>
  <c r="L48" i="1"/>
  <c r="M48" i="1"/>
  <c r="K49" i="1"/>
  <c r="L49" i="1"/>
  <c r="M49" i="1"/>
  <c r="K50" i="1"/>
  <c r="L50" i="1"/>
  <c r="M50" i="1"/>
  <c r="K51" i="1"/>
  <c r="L51" i="1"/>
  <c r="M51" i="1"/>
  <c r="K52" i="1"/>
  <c r="L52" i="1"/>
  <c r="M52" i="1"/>
  <c r="K53" i="1"/>
  <c r="L53" i="1"/>
  <c r="M53" i="1"/>
  <c r="K54" i="1"/>
  <c r="L54" i="1"/>
  <c r="M54" i="1"/>
  <c r="K55" i="1"/>
  <c r="L55" i="1"/>
  <c r="M55" i="1"/>
  <c r="K56" i="1"/>
  <c r="L56" i="1"/>
  <c r="M56" i="1"/>
  <c r="K57" i="1"/>
  <c r="L57" i="1"/>
  <c r="M57" i="1"/>
  <c r="K58" i="1"/>
  <c r="L58" i="1"/>
  <c r="M58" i="1"/>
  <c r="K59" i="1"/>
  <c r="L59" i="1"/>
  <c r="M59" i="1"/>
  <c r="K60" i="1"/>
  <c r="L60" i="1"/>
  <c r="M60" i="1"/>
  <c r="K61" i="1"/>
  <c r="L61" i="1"/>
  <c r="M61" i="1"/>
  <c r="K62" i="1"/>
  <c r="L62" i="1"/>
  <c r="M62" i="1"/>
  <c r="K63" i="1"/>
  <c r="L63" i="1"/>
  <c r="M63" i="1"/>
  <c r="K64" i="1"/>
  <c r="L64" i="1"/>
  <c r="M64" i="1"/>
  <c r="K65" i="1"/>
  <c r="L65" i="1"/>
  <c r="M65" i="1"/>
  <c r="K66" i="1"/>
  <c r="L66" i="1"/>
  <c r="M66" i="1"/>
  <c r="K67" i="1"/>
  <c r="L67" i="1"/>
  <c r="M67" i="1"/>
  <c r="K68" i="1"/>
  <c r="L68" i="1"/>
  <c r="M68" i="1"/>
  <c r="K69" i="1"/>
  <c r="L69" i="1"/>
  <c r="M69" i="1"/>
  <c r="K70" i="1"/>
  <c r="L70" i="1"/>
  <c r="M70" i="1"/>
  <c r="K71" i="1"/>
  <c r="L71" i="1"/>
  <c r="M71" i="1"/>
  <c r="K72" i="1"/>
  <c r="L72" i="1"/>
  <c r="M72" i="1"/>
  <c r="K73" i="1"/>
  <c r="L73" i="1"/>
  <c r="M73" i="1"/>
  <c r="K74" i="1"/>
  <c r="L74" i="1"/>
  <c r="M74" i="1"/>
  <c r="K75" i="1"/>
  <c r="L75" i="1"/>
  <c r="M75" i="1"/>
  <c r="K76" i="1"/>
  <c r="L76" i="1"/>
  <c r="M76" i="1"/>
  <c r="K77" i="1"/>
  <c r="L77" i="1"/>
  <c r="M77" i="1"/>
  <c r="K78" i="1"/>
  <c r="L78" i="1"/>
  <c r="M78" i="1"/>
  <c r="K79" i="1"/>
  <c r="L79" i="1"/>
  <c r="M79" i="1"/>
  <c r="K80" i="1"/>
  <c r="L80" i="1"/>
  <c r="M80" i="1"/>
  <c r="K81" i="1"/>
  <c r="L81" i="1"/>
  <c r="M81" i="1"/>
  <c r="K82" i="1"/>
  <c r="L82" i="1"/>
  <c r="M82" i="1"/>
  <c r="K83" i="1"/>
  <c r="L83" i="1"/>
  <c r="M83" i="1"/>
  <c r="K84" i="1"/>
  <c r="L84" i="1"/>
  <c r="M84" i="1"/>
  <c r="K85" i="1"/>
  <c r="L85" i="1"/>
  <c r="M85" i="1"/>
  <c r="K86" i="1"/>
  <c r="L86" i="1"/>
  <c r="M86" i="1"/>
  <c r="K87" i="1"/>
  <c r="L87" i="1"/>
  <c r="M87" i="1"/>
  <c r="K88" i="1"/>
  <c r="L88" i="1"/>
  <c r="M88" i="1"/>
  <c r="K89" i="1"/>
  <c r="L89" i="1"/>
  <c r="M89" i="1"/>
  <c r="K90" i="1"/>
  <c r="L90" i="1"/>
  <c r="M90" i="1"/>
  <c r="K91" i="1"/>
  <c r="L91" i="1"/>
  <c r="M91" i="1"/>
  <c r="K92" i="1"/>
  <c r="L92" i="1"/>
  <c r="M92" i="1"/>
  <c r="K93" i="1"/>
  <c r="L93" i="1"/>
  <c r="M93" i="1"/>
  <c r="K94" i="1"/>
  <c r="L94" i="1"/>
  <c r="M94" i="1"/>
  <c r="K95" i="1"/>
  <c r="L95" i="1"/>
  <c r="M95" i="1"/>
  <c r="K96" i="1"/>
  <c r="L96" i="1"/>
  <c r="M96" i="1"/>
  <c r="K97" i="1"/>
  <c r="L97" i="1"/>
  <c r="M97" i="1"/>
  <c r="K98" i="1"/>
  <c r="L98" i="1"/>
  <c r="M98" i="1"/>
  <c r="K99" i="1"/>
  <c r="L99" i="1"/>
  <c r="M99" i="1"/>
  <c r="K100" i="1"/>
  <c r="L100" i="1"/>
  <c r="M100" i="1"/>
  <c r="K101" i="1"/>
  <c r="L101" i="1"/>
  <c r="M101" i="1"/>
  <c r="K102" i="1"/>
  <c r="L102" i="1"/>
  <c r="M102" i="1"/>
  <c r="K103" i="1"/>
  <c r="L103" i="1"/>
  <c r="M103" i="1"/>
  <c r="K104" i="1"/>
  <c r="L104" i="1"/>
  <c r="M104" i="1"/>
  <c r="K105" i="1"/>
  <c r="L105" i="1"/>
  <c r="M105" i="1"/>
  <c r="K106" i="1"/>
  <c r="L106" i="1"/>
  <c r="M106" i="1"/>
  <c r="K107" i="1"/>
  <c r="L107" i="1"/>
  <c r="M107" i="1"/>
  <c r="K108" i="1"/>
  <c r="L108" i="1"/>
  <c r="M108" i="1"/>
  <c r="K109" i="1"/>
  <c r="L109" i="1"/>
  <c r="M109" i="1"/>
  <c r="K110" i="1"/>
  <c r="L110" i="1"/>
  <c r="M110" i="1"/>
  <c r="K111" i="1"/>
  <c r="L111" i="1"/>
  <c r="M111" i="1"/>
  <c r="K112" i="1"/>
  <c r="L112" i="1"/>
  <c r="M112" i="1"/>
  <c r="K113" i="1"/>
  <c r="L113" i="1"/>
  <c r="M113" i="1"/>
  <c r="K114" i="1"/>
  <c r="L114" i="1"/>
  <c r="M114" i="1"/>
  <c r="K115" i="1"/>
  <c r="L115" i="1"/>
  <c r="M115" i="1"/>
  <c r="K116" i="1"/>
  <c r="L116" i="1"/>
  <c r="M116" i="1"/>
  <c r="K117" i="1"/>
  <c r="L117" i="1"/>
  <c r="M117" i="1"/>
  <c r="K118" i="1"/>
  <c r="L118" i="1"/>
  <c r="M118" i="1"/>
  <c r="K119" i="1"/>
  <c r="L119" i="1"/>
  <c r="M119" i="1"/>
  <c r="K120" i="1"/>
  <c r="L120" i="1"/>
  <c r="M120" i="1"/>
  <c r="K121" i="1"/>
  <c r="L121" i="1"/>
  <c r="M121" i="1"/>
  <c r="K122" i="1"/>
  <c r="L122" i="1"/>
  <c r="M122" i="1"/>
  <c r="K123" i="1"/>
  <c r="L123" i="1"/>
  <c r="M123" i="1"/>
  <c r="K124" i="1"/>
  <c r="L124" i="1"/>
  <c r="M124" i="1"/>
  <c r="K125" i="1"/>
  <c r="L125" i="1"/>
  <c r="M125" i="1"/>
  <c r="K126" i="1"/>
  <c r="L126" i="1"/>
  <c r="M126" i="1"/>
  <c r="K127" i="1"/>
  <c r="L127" i="1"/>
  <c r="M127" i="1"/>
  <c r="K128" i="1"/>
  <c r="L128" i="1"/>
  <c r="M128" i="1"/>
  <c r="K129" i="1"/>
  <c r="L129" i="1"/>
  <c r="M129" i="1"/>
  <c r="K130" i="1"/>
  <c r="L130" i="1"/>
  <c r="M130" i="1"/>
  <c r="K131" i="1"/>
  <c r="L131" i="1"/>
  <c r="M131" i="1"/>
  <c r="K132" i="1"/>
  <c r="L132" i="1"/>
  <c r="M132" i="1"/>
  <c r="K133" i="1"/>
  <c r="L133" i="1"/>
  <c r="M133" i="1"/>
  <c r="K134" i="1"/>
  <c r="L134" i="1"/>
  <c r="M134" i="1"/>
  <c r="K135" i="1"/>
  <c r="L135" i="1"/>
  <c r="M135" i="1"/>
  <c r="K136" i="1"/>
  <c r="L136" i="1"/>
  <c r="M136" i="1"/>
  <c r="K137" i="1"/>
  <c r="L137" i="1"/>
  <c r="M137" i="1"/>
  <c r="K138" i="1"/>
  <c r="L138" i="1"/>
  <c r="M138" i="1"/>
  <c r="K139" i="1"/>
  <c r="L139" i="1"/>
  <c r="M139" i="1"/>
  <c r="K140" i="1"/>
  <c r="L140" i="1"/>
  <c r="M140" i="1"/>
  <c r="K141" i="1"/>
  <c r="L141" i="1"/>
  <c r="M141" i="1"/>
  <c r="K142" i="1"/>
  <c r="L142" i="1"/>
  <c r="M142" i="1"/>
  <c r="K143" i="1"/>
  <c r="L143" i="1"/>
  <c r="M143" i="1"/>
  <c r="K144" i="1"/>
  <c r="L144" i="1"/>
  <c r="M144" i="1"/>
  <c r="K145" i="1"/>
  <c r="L145" i="1"/>
  <c r="M145" i="1"/>
  <c r="K146" i="1"/>
  <c r="L146" i="1"/>
  <c r="M146" i="1"/>
  <c r="K147" i="1"/>
  <c r="L147" i="1"/>
  <c r="M147" i="1"/>
  <c r="K148" i="1"/>
  <c r="L148" i="1"/>
  <c r="M148" i="1"/>
  <c r="K149" i="1"/>
  <c r="L149" i="1"/>
  <c r="M149" i="1"/>
  <c r="K150" i="1"/>
  <c r="L150" i="1"/>
  <c r="M150" i="1"/>
  <c r="K151" i="1"/>
  <c r="L151" i="1"/>
  <c r="M151" i="1"/>
  <c r="K152" i="1"/>
  <c r="L152" i="1"/>
  <c r="M152" i="1"/>
  <c r="K153" i="1"/>
  <c r="L153" i="1"/>
  <c r="M153" i="1"/>
  <c r="K154" i="1"/>
  <c r="L154" i="1"/>
  <c r="M154" i="1"/>
  <c r="K155" i="1"/>
  <c r="L155" i="1"/>
  <c r="M155" i="1"/>
  <c r="K156" i="1"/>
  <c r="L156" i="1"/>
  <c r="M156" i="1"/>
  <c r="K157" i="1"/>
  <c r="L157" i="1"/>
  <c r="M157" i="1"/>
  <c r="K158" i="1"/>
  <c r="L158" i="1"/>
  <c r="M158" i="1"/>
  <c r="K159" i="1"/>
  <c r="L159" i="1"/>
  <c r="M159" i="1"/>
  <c r="K160" i="1"/>
  <c r="L160" i="1"/>
  <c r="M160" i="1"/>
  <c r="K161" i="1"/>
  <c r="L161" i="1"/>
  <c r="M161" i="1"/>
  <c r="K162" i="1"/>
  <c r="L162" i="1"/>
  <c r="M162" i="1"/>
  <c r="K163" i="1"/>
  <c r="L163" i="1"/>
  <c r="M163" i="1"/>
  <c r="K164" i="1"/>
  <c r="L164" i="1"/>
  <c r="M164" i="1"/>
  <c r="K165" i="1"/>
  <c r="L165" i="1"/>
  <c r="M165" i="1"/>
  <c r="K166" i="1"/>
  <c r="L166" i="1"/>
  <c r="M166" i="1"/>
  <c r="K167" i="1"/>
  <c r="L167" i="1"/>
  <c r="M167" i="1"/>
  <c r="K168" i="1"/>
  <c r="L168" i="1"/>
  <c r="M168" i="1"/>
  <c r="K169" i="1"/>
  <c r="L169" i="1"/>
  <c r="M169" i="1"/>
  <c r="K170" i="1"/>
  <c r="L170" i="1"/>
  <c r="M170" i="1"/>
  <c r="K171" i="1"/>
  <c r="L171" i="1"/>
  <c r="M171" i="1"/>
  <c r="K172" i="1"/>
  <c r="L172" i="1"/>
  <c r="M172" i="1"/>
  <c r="K173" i="1"/>
  <c r="L173" i="1"/>
  <c r="M173" i="1"/>
  <c r="K174" i="1"/>
  <c r="L174" i="1"/>
  <c r="M174" i="1"/>
  <c r="K175" i="1"/>
  <c r="L175" i="1"/>
  <c r="M175" i="1"/>
  <c r="K176" i="1"/>
  <c r="L176" i="1"/>
  <c r="M176" i="1"/>
  <c r="K177" i="1"/>
  <c r="L177" i="1"/>
  <c r="M177" i="1"/>
  <c r="K178" i="1"/>
  <c r="L178" i="1"/>
  <c r="M178" i="1"/>
  <c r="K179" i="1"/>
  <c r="L179" i="1"/>
  <c r="M179" i="1"/>
  <c r="K180" i="1"/>
  <c r="L180" i="1"/>
  <c r="M180" i="1"/>
  <c r="K181" i="1"/>
  <c r="L181" i="1"/>
  <c r="M181" i="1"/>
  <c r="K182" i="1"/>
  <c r="L182" i="1"/>
  <c r="M182" i="1"/>
  <c r="K183" i="1"/>
  <c r="L183" i="1"/>
  <c r="M183" i="1"/>
  <c r="K184" i="1"/>
  <c r="L184" i="1"/>
  <c r="M184" i="1"/>
  <c r="K185" i="1"/>
  <c r="L185" i="1"/>
  <c r="M185" i="1"/>
  <c r="K186" i="1"/>
  <c r="L186" i="1"/>
  <c r="M186" i="1"/>
  <c r="K187" i="1"/>
  <c r="L187" i="1"/>
  <c r="M187" i="1"/>
  <c r="K188" i="1"/>
  <c r="L188" i="1"/>
  <c r="M188" i="1"/>
  <c r="K189" i="1"/>
  <c r="L189" i="1"/>
  <c r="M189" i="1"/>
  <c r="K190" i="1"/>
  <c r="L190" i="1"/>
  <c r="M190" i="1"/>
  <c r="K191" i="1"/>
  <c r="L191" i="1"/>
  <c r="M191" i="1"/>
  <c r="K192" i="1"/>
  <c r="L192" i="1"/>
  <c r="M192" i="1"/>
  <c r="K193" i="1"/>
  <c r="L193" i="1"/>
  <c r="M193" i="1"/>
  <c r="K194" i="1"/>
  <c r="L194" i="1"/>
  <c r="M194" i="1"/>
  <c r="K195" i="1"/>
  <c r="L195" i="1"/>
  <c r="M195" i="1"/>
  <c r="K196" i="1"/>
  <c r="L196" i="1"/>
  <c r="M196" i="1"/>
  <c r="K197" i="1"/>
  <c r="L197" i="1"/>
  <c r="M197" i="1"/>
  <c r="K198" i="1"/>
  <c r="L198" i="1"/>
  <c r="M198" i="1"/>
  <c r="K199" i="1"/>
  <c r="L199" i="1"/>
  <c r="M199" i="1"/>
  <c r="K200" i="1"/>
  <c r="L200" i="1"/>
  <c r="M200" i="1"/>
  <c r="K201" i="1"/>
  <c r="L201" i="1"/>
  <c r="M201" i="1"/>
  <c r="K202" i="1"/>
  <c r="L202" i="1"/>
  <c r="M202" i="1"/>
  <c r="K203" i="1"/>
  <c r="L203" i="1"/>
  <c r="M203" i="1"/>
  <c r="K204" i="1"/>
  <c r="L204" i="1"/>
  <c r="M204" i="1"/>
  <c r="K205" i="1"/>
  <c r="L205" i="1"/>
  <c r="M205" i="1"/>
  <c r="K206" i="1"/>
  <c r="L206" i="1"/>
  <c r="M206" i="1"/>
  <c r="K207" i="1"/>
  <c r="L207" i="1"/>
  <c r="M207" i="1"/>
  <c r="K208" i="1"/>
  <c r="L208" i="1"/>
  <c r="M208" i="1"/>
  <c r="K209" i="1"/>
  <c r="L209" i="1"/>
  <c r="M209" i="1"/>
  <c r="K210" i="1"/>
  <c r="L210" i="1"/>
  <c r="M210" i="1"/>
  <c r="K211" i="1"/>
  <c r="L211" i="1"/>
  <c r="M211" i="1"/>
  <c r="K212" i="1"/>
  <c r="L212" i="1"/>
  <c r="M212" i="1"/>
  <c r="K213" i="1"/>
  <c r="L213" i="1"/>
  <c r="M213" i="1"/>
  <c r="K214" i="1"/>
  <c r="L214" i="1"/>
  <c r="M214" i="1"/>
  <c r="K215" i="1"/>
  <c r="L215" i="1"/>
  <c r="M215" i="1"/>
  <c r="K216" i="1"/>
  <c r="L216" i="1"/>
  <c r="M216" i="1"/>
  <c r="K217" i="1"/>
  <c r="L217" i="1"/>
  <c r="M217" i="1"/>
  <c r="K218" i="1"/>
  <c r="L218" i="1"/>
  <c r="M218" i="1"/>
  <c r="K219" i="1"/>
  <c r="L219" i="1"/>
  <c r="M219" i="1"/>
  <c r="K220" i="1"/>
  <c r="L220" i="1"/>
  <c r="M220" i="1"/>
  <c r="K221" i="1"/>
  <c r="L221" i="1"/>
  <c r="M221" i="1"/>
  <c r="K222" i="1"/>
  <c r="L222" i="1"/>
  <c r="M222" i="1"/>
  <c r="K223" i="1"/>
  <c r="L223" i="1"/>
  <c r="M223" i="1"/>
  <c r="K224" i="1"/>
  <c r="L224" i="1"/>
  <c r="M224" i="1"/>
  <c r="K225" i="1"/>
  <c r="L225" i="1"/>
  <c r="M225" i="1"/>
  <c r="K226" i="1"/>
  <c r="L226" i="1"/>
  <c r="M226" i="1"/>
  <c r="K227" i="1"/>
  <c r="L227" i="1"/>
  <c r="M227" i="1"/>
  <c r="K228" i="1"/>
  <c r="L228" i="1"/>
  <c r="M228" i="1"/>
  <c r="K229" i="1"/>
  <c r="L229" i="1"/>
  <c r="M229" i="1"/>
  <c r="K230" i="1"/>
  <c r="L230" i="1"/>
  <c r="M230" i="1"/>
  <c r="K231" i="1"/>
  <c r="L231" i="1"/>
  <c r="M231" i="1"/>
  <c r="K232" i="1"/>
  <c r="L232" i="1"/>
  <c r="M232" i="1"/>
  <c r="K233" i="1"/>
  <c r="L233" i="1"/>
  <c r="M233" i="1"/>
  <c r="K234" i="1"/>
  <c r="L234" i="1"/>
  <c r="M234" i="1"/>
  <c r="K235" i="1"/>
  <c r="L235" i="1"/>
  <c r="M235" i="1"/>
  <c r="K236" i="1"/>
  <c r="L236" i="1"/>
  <c r="M236" i="1"/>
  <c r="K237" i="1"/>
  <c r="L237" i="1"/>
  <c r="M237" i="1"/>
  <c r="K238" i="1"/>
  <c r="L238" i="1"/>
  <c r="M238" i="1"/>
  <c r="K239" i="1"/>
  <c r="L239" i="1"/>
  <c r="M239" i="1"/>
  <c r="K240" i="1"/>
  <c r="L240" i="1"/>
  <c r="M240" i="1"/>
  <c r="K241" i="1"/>
  <c r="L241" i="1"/>
  <c r="M241" i="1"/>
  <c r="K242" i="1"/>
  <c r="L242" i="1"/>
  <c r="M242" i="1"/>
  <c r="K243" i="1"/>
  <c r="L243" i="1"/>
  <c r="M243" i="1"/>
  <c r="K244" i="1"/>
  <c r="L244" i="1"/>
  <c r="M244" i="1"/>
  <c r="K245" i="1"/>
  <c r="L245" i="1"/>
  <c r="M245" i="1"/>
  <c r="K246" i="1"/>
  <c r="L246" i="1"/>
  <c r="M246" i="1"/>
  <c r="K247" i="1"/>
  <c r="L247" i="1"/>
  <c r="M247" i="1"/>
  <c r="K248" i="1"/>
  <c r="L248" i="1"/>
  <c r="M248" i="1"/>
  <c r="K249" i="1"/>
  <c r="L249" i="1"/>
  <c r="M249" i="1"/>
  <c r="K250" i="1"/>
  <c r="L250" i="1"/>
  <c r="M250" i="1"/>
  <c r="K251" i="1"/>
  <c r="L251" i="1"/>
  <c r="M251" i="1"/>
  <c r="K252" i="1"/>
  <c r="L252" i="1"/>
  <c r="M252" i="1"/>
  <c r="K253" i="1"/>
  <c r="L253" i="1"/>
  <c r="M253" i="1"/>
  <c r="K254" i="1"/>
  <c r="L254" i="1"/>
  <c r="M254" i="1"/>
  <c r="K255" i="1"/>
  <c r="L255" i="1"/>
  <c r="M255" i="1"/>
  <c r="K256" i="1"/>
  <c r="L256" i="1"/>
  <c r="M256" i="1"/>
  <c r="K257" i="1"/>
  <c r="L257" i="1"/>
  <c r="M257" i="1"/>
  <c r="K258" i="1"/>
  <c r="L258" i="1"/>
  <c r="M258" i="1"/>
  <c r="K259" i="1"/>
  <c r="L259" i="1"/>
  <c r="M259" i="1"/>
  <c r="K260" i="1"/>
  <c r="L260" i="1"/>
  <c r="M260" i="1"/>
  <c r="K261" i="1"/>
  <c r="L261" i="1"/>
  <c r="M261" i="1"/>
  <c r="K262" i="1"/>
  <c r="L262" i="1"/>
  <c r="M262" i="1"/>
  <c r="K263" i="1"/>
  <c r="L263" i="1"/>
  <c r="M263" i="1"/>
  <c r="K264" i="1"/>
  <c r="L264" i="1"/>
  <c r="M264" i="1"/>
  <c r="K265" i="1"/>
  <c r="L265" i="1"/>
  <c r="M265" i="1"/>
  <c r="K266" i="1"/>
  <c r="L266" i="1"/>
  <c r="M266" i="1"/>
  <c r="K267" i="1"/>
  <c r="L267" i="1"/>
  <c r="M267" i="1"/>
  <c r="K268" i="1"/>
  <c r="L268" i="1"/>
  <c r="M268" i="1"/>
  <c r="K269" i="1"/>
  <c r="L269" i="1"/>
  <c r="M269" i="1"/>
  <c r="K270" i="1"/>
  <c r="L270" i="1"/>
  <c r="M270" i="1"/>
  <c r="K271" i="1"/>
  <c r="L271" i="1"/>
  <c r="M271" i="1"/>
  <c r="K272" i="1"/>
  <c r="L272" i="1"/>
  <c r="M272" i="1"/>
  <c r="K273" i="1"/>
  <c r="L273" i="1"/>
  <c r="M273" i="1"/>
  <c r="K274" i="1"/>
  <c r="L274" i="1"/>
  <c r="M274" i="1"/>
  <c r="K275" i="1"/>
  <c r="L275" i="1"/>
  <c r="M275" i="1"/>
  <c r="K276" i="1"/>
  <c r="L276" i="1"/>
  <c r="M276" i="1"/>
  <c r="K277" i="1"/>
  <c r="L277" i="1"/>
  <c r="M277" i="1"/>
  <c r="K278" i="1"/>
  <c r="L278" i="1"/>
  <c r="M278" i="1"/>
  <c r="K279" i="1"/>
  <c r="L279" i="1"/>
  <c r="M279" i="1"/>
  <c r="K280" i="1"/>
  <c r="L280" i="1"/>
  <c r="M280" i="1"/>
  <c r="K281" i="1"/>
  <c r="L281" i="1"/>
  <c r="M281" i="1"/>
  <c r="K282" i="1"/>
  <c r="L282" i="1"/>
  <c r="M282" i="1"/>
  <c r="K283" i="1"/>
  <c r="L283" i="1"/>
  <c r="M283" i="1"/>
  <c r="K284" i="1"/>
  <c r="L284" i="1"/>
  <c r="M284" i="1"/>
  <c r="K285" i="1"/>
  <c r="L285" i="1"/>
  <c r="M285" i="1"/>
  <c r="K286" i="1"/>
  <c r="L286" i="1"/>
  <c r="M286" i="1"/>
  <c r="K287" i="1"/>
  <c r="L287" i="1"/>
  <c r="M287" i="1"/>
  <c r="K288" i="1"/>
  <c r="L288" i="1"/>
  <c r="M288" i="1"/>
  <c r="K289" i="1"/>
  <c r="L289" i="1"/>
  <c r="M289" i="1"/>
  <c r="K290" i="1"/>
  <c r="L290" i="1"/>
  <c r="M290" i="1"/>
  <c r="K291" i="1"/>
  <c r="L291" i="1"/>
  <c r="M291" i="1"/>
  <c r="K292" i="1"/>
  <c r="L292" i="1"/>
  <c r="M292" i="1"/>
  <c r="K293" i="1"/>
  <c r="L293" i="1"/>
  <c r="M293" i="1"/>
  <c r="K294" i="1"/>
  <c r="L294" i="1"/>
  <c r="M294" i="1"/>
  <c r="K295" i="1"/>
  <c r="L295" i="1"/>
  <c r="M295" i="1"/>
  <c r="K296" i="1"/>
  <c r="L296" i="1"/>
  <c r="M296" i="1"/>
  <c r="K297" i="1"/>
  <c r="L297" i="1"/>
  <c r="M297" i="1"/>
  <c r="K298" i="1"/>
  <c r="L298" i="1"/>
  <c r="M298" i="1"/>
  <c r="K299" i="1"/>
  <c r="L299" i="1"/>
  <c r="M299" i="1"/>
  <c r="K300" i="1"/>
  <c r="L300" i="1"/>
  <c r="M300" i="1"/>
  <c r="K301" i="1"/>
  <c r="L301" i="1"/>
  <c r="M301" i="1"/>
  <c r="K302" i="1"/>
  <c r="L302" i="1"/>
  <c r="M302" i="1"/>
  <c r="K303" i="1"/>
  <c r="L303" i="1"/>
  <c r="M303" i="1"/>
  <c r="K304" i="1"/>
  <c r="L304" i="1"/>
  <c r="M304" i="1"/>
  <c r="K305" i="1"/>
  <c r="L305" i="1"/>
  <c r="M305" i="1"/>
  <c r="K306" i="1"/>
  <c r="L306" i="1"/>
  <c r="M306" i="1"/>
  <c r="K307" i="1"/>
  <c r="L307" i="1"/>
  <c r="M307" i="1"/>
  <c r="K308" i="1"/>
  <c r="L308" i="1"/>
  <c r="M308" i="1"/>
  <c r="K309" i="1"/>
  <c r="L309" i="1"/>
  <c r="M309" i="1"/>
  <c r="K310" i="1"/>
  <c r="L310" i="1"/>
  <c r="M310" i="1"/>
  <c r="K311" i="1"/>
  <c r="L311" i="1"/>
  <c r="M311" i="1"/>
  <c r="K312" i="1"/>
  <c r="L312" i="1"/>
  <c r="M312" i="1"/>
  <c r="K313" i="1"/>
  <c r="L313" i="1"/>
  <c r="M313" i="1"/>
  <c r="K314" i="1"/>
  <c r="L314" i="1"/>
  <c r="M314" i="1"/>
  <c r="K315" i="1"/>
  <c r="L315" i="1"/>
  <c r="M315" i="1"/>
  <c r="K316" i="1"/>
  <c r="L316" i="1"/>
  <c r="M316" i="1"/>
  <c r="K317" i="1"/>
  <c r="L317" i="1"/>
  <c r="M317" i="1"/>
  <c r="K318" i="1"/>
  <c r="L318" i="1"/>
  <c r="M318" i="1"/>
  <c r="K319" i="1"/>
  <c r="L319" i="1"/>
  <c r="M319" i="1"/>
  <c r="K320" i="1"/>
  <c r="L320" i="1"/>
  <c r="M320" i="1"/>
  <c r="K321" i="1"/>
  <c r="L321" i="1"/>
  <c r="M321" i="1"/>
  <c r="K322" i="1"/>
  <c r="L322" i="1"/>
  <c r="M322" i="1"/>
  <c r="K323" i="1"/>
  <c r="L323" i="1"/>
  <c r="M323" i="1"/>
  <c r="K324" i="1"/>
  <c r="L324" i="1"/>
  <c r="M324" i="1"/>
  <c r="K325" i="1"/>
  <c r="L325" i="1"/>
  <c r="M325" i="1"/>
  <c r="K326" i="1"/>
  <c r="L326" i="1"/>
  <c r="M326" i="1"/>
  <c r="K327" i="1"/>
  <c r="L327" i="1"/>
  <c r="M327" i="1"/>
  <c r="K328" i="1"/>
  <c r="L328" i="1"/>
  <c r="M328" i="1"/>
  <c r="K329" i="1"/>
  <c r="L329" i="1"/>
  <c r="M329" i="1"/>
  <c r="K330" i="1"/>
  <c r="L330" i="1"/>
  <c r="M330" i="1"/>
  <c r="K331" i="1"/>
  <c r="L331" i="1"/>
  <c r="M331" i="1"/>
  <c r="K332" i="1"/>
  <c r="L332" i="1"/>
  <c r="M332" i="1"/>
  <c r="K333" i="1"/>
  <c r="L333" i="1"/>
  <c r="M333" i="1"/>
  <c r="K334" i="1"/>
  <c r="L334" i="1"/>
  <c r="M334" i="1"/>
  <c r="K335" i="1"/>
  <c r="L335" i="1"/>
  <c r="M335" i="1"/>
  <c r="K336" i="1"/>
  <c r="L336" i="1"/>
  <c r="M336" i="1"/>
  <c r="K337" i="1"/>
  <c r="L337" i="1"/>
  <c r="M337" i="1"/>
  <c r="K338" i="1"/>
  <c r="L338" i="1"/>
  <c r="M338" i="1"/>
  <c r="K339" i="1"/>
  <c r="L339" i="1"/>
  <c r="M339" i="1"/>
  <c r="K340" i="1"/>
  <c r="L340" i="1"/>
  <c r="M340" i="1"/>
  <c r="K341" i="1"/>
  <c r="L341" i="1"/>
  <c r="M341" i="1"/>
  <c r="K342" i="1"/>
  <c r="L342" i="1"/>
  <c r="M342" i="1"/>
  <c r="K343" i="1"/>
  <c r="L343" i="1"/>
  <c r="M343" i="1"/>
  <c r="K344" i="1"/>
  <c r="L344" i="1"/>
  <c r="M344" i="1"/>
  <c r="K345" i="1"/>
  <c r="L345" i="1"/>
  <c r="M345" i="1"/>
  <c r="K346" i="1"/>
  <c r="L346" i="1"/>
  <c r="M346" i="1"/>
  <c r="K347" i="1"/>
  <c r="L347" i="1"/>
  <c r="M347" i="1"/>
  <c r="K348" i="1"/>
  <c r="L348" i="1"/>
  <c r="M348" i="1"/>
  <c r="K349" i="1"/>
  <c r="L349" i="1"/>
  <c r="M349" i="1"/>
  <c r="K350" i="1"/>
  <c r="L350" i="1"/>
  <c r="M350" i="1"/>
  <c r="K351" i="1"/>
  <c r="L351" i="1"/>
  <c r="M351" i="1"/>
  <c r="K352" i="1"/>
  <c r="L352" i="1"/>
  <c r="M352" i="1"/>
  <c r="K353" i="1"/>
  <c r="L353" i="1"/>
  <c r="M353" i="1"/>
  <c r="K354" i="1"/>
  <c r="L354" i="1"/>
  <c r="M354" i="1"/>
  <c r="K355" i="1"/>
  <c r="L355" i="1"/>
  <c r="M355" i="1"/>
  <c r="K356" i="1"/>
  <c r="L356" i="1"/>
  <c r="M356" i="1"/>
  <c r="K357" i="1"/>
  <c r="L357" i="1"/>
  <c r="M357" i="1"/>
  <c r="K358" i="1"/>
  <c r="L358" i="1"/>
  <c r="M358" i="1"/>
  <c r="K359" i="1"/>
  <c r="L359" i="1"/>
  <c r="M359" i="1"/>
  <c r="K360" i="1"/>
  <c r="L360" i="1"/>
  <c r="M360" i="1"/>
  <c r="K361" i="1"/>
  <c r="L361" i="1"/>
  <c r="M361" i="1"/>
  <c r="K362" i="1"/>
  <c r="L362" i="1"/>
  <c r="M362" i="1"/>
  <c r="K363" i="1"/>
  <c r="L363" i="1"/>
  <c r="M363" i="1"/>
  <c r="K364" i="1"/>
  <c r="L364" i="1"/>
  <c r="M364" i="1"/>
  <c r="K365" i="1"/>
  <c r="L365" i="1"/>
  <c r="M365" i="1"/>
  <c r="K366" i="1"/>
  <c r="L366" i="1"/>
  <c r="M366" i="1"/>
  <c r="K367" i="1"/>
  <c r="L367" i="1"/>
  <c r="M367" i="1"/>
  <c r="K368" i="1"/>
  <c r="L368" i="1"/>
  <c r="M368" i="1"/>
  <c r="K369" i="1"/>
  <c r="L369" i="1"/>
  <c r="M369" i="1"/>
  <c r="K370" i="1"/>
  <c r="L370" i="1"/>
  <c r="M370" i="1"/>
  <c r="K371" i="1"/>
  <c r="L371" i="1"/>
  <c r="M371" i="1"/>
  <c r="K372" i="1"/>
  <c r="L372" i="1"/>
  <c r="M372" i="1"/>
  <c r="K373" i="1"/>
  <c r="L373" i="1"/>
  <c r="M373" i="1"/>
  <c r="K374" i="1"/>
  <c r="L374" i="1"/>
  <c r="M374" i="1"/>
  <c r="K375" i="1"/>
  <c r="L375" i="1"/>
  <c r="M375" i="1"/>
  <c r="K376" i="1"/>
  <c r="L376" i="1"/>
  <c r="M376" i="1"/>
  <c r="K377" i="1"/>
  <c r="L377" i="1"/>
  <c r="M377" i="1"/>
  <c r="K378" i="1"/>
  <c r="L378" i="1"/>
  <c r="M378" i="1"/>
  <c r="K379" i="1"/>
  <c r="L379" i="1"/>
  <c r="M379" i="1"/>
  <c r="K380" i="1"/>
  <c r="L380" i="1"/>
  <c r="M380" i="1"/>
  <c r="K381" i="1"/>
  <c r="L381" i="1"/>
  <c r="M381" i="1"/>
  <c r="K382" i="1"/>
  <c r="L382" i="1"/>
  <c r="M382" i="1"/>
  <c r="K383" i="1"/>
  <c r="L383" i="1"/>
  <c r="M383" i="1"/>
  <c r="K384" i="1"/>
  <c r="L384" i="1"/>
  <c r="M384" i="1"/>
  <c r="K385" i="1"/>
  <c r="L385" i="1"/>
  <c r="M385" i="1"/>
  <c r="K386" i="1"/>
  <c r="L386" i="1"/>
  <c r="M386" i="1"/>
  <c r="K387" i="1"/>
  <c r="L387" i="1"/>
  <c r="M387" i="1"/>
  <c r="K388" i="1"/>
  <c r="L388" i="1"/>
  <c r="M388" i="1"/>
  <c r="K389" i="1"/>
  <c r="L389" i="1"/>
  <c r="M389" i="1"/>
  <c r="K390" i="1"/>
  <c r="L390" i="1"/>
  <c r="M390" i="1"/>
  <c r="K391" i="1"/>
  <c r="L391" i="1"/>
  <c r="M391" i="1"/>
  <c r="K392" i="1"/>
  <c r="L392" i="1"/>
  <c r="M392" i="1"/>
  <c r="K393" i="1"/>
  <c r="L393" i="1"/>
  <c r="M393" i="1"/>
  <c r="K394" i="1"/>
  <c r="L394" i="1"/>
  <c r="M394" i="1"/>
  <c r="K395" i="1"/>
  <c r="L395" i="1"/>
  <c r="M395" i="1"/>
  <c r="K396" i="1"/>
  <c r="L396" i="1"/>
  <c r="M396" i="1"/>
  <c r="K397" i="1"/>
  <c r="L397" i="1"/>
  <c r="M397" i="1"/>
  <c r="K398" i="1"/>
  <c r="L398" i="1"/>
  <c r="M398" i="1"/>
  <c r="K399" i="1"/>
  <c r="L399" i="1"/>
  <c r="M399" i="1"/>
  <c r="K400" i="1"/>
  <c r="L400" i="1"/>
  <c r="M400" i="1"/>
  <c r="K401" i="1"/>
  <c r="L401" i="1"/>
  <c r="M401" i="1"/>
  <c r="K402" i="1"/>
  <c r="L402" i="1"/>
  <c r="M402" i="1"/>
  <c r="K403" i="1"/>
  <c r="L403" i="1"/>
  <c r="M403" i="1"/>
  <c r="K404" i="1"/>
  <c r="L404" i="1"/>
  <c r="M404" i="1"/>
  <c r="K405" i="1"/>
  <c r="L405" i="1"/>
  <c r="M405" i="1"/>
  <c r="K406" i="1"/>
  <c r="L406" i="1"/>
  <c r="M406" i="1"/>
  <c r="K407" i="1"/>
  <c r="L407" i="1"/>
  <c r="M407" i="1"/>
  <c r="K408" i="1"/>
  <c r="L408" i="1"/>
  <c r="M408" i="1"/>
  <c r="K409" i="1"/>
  <c r="L409" i="1"/>
  <c r="M409" i="1"/>
  <c r="K410" i="1"/>
  <c r="L410" i="1"/>
  <c r="M410" i="1"/>
  <c r="K411" i="1"/>
  <c r="L411" i="1"/>
  <c r="M411" i="1"/>
  <c r="K412" i="1"/>
  <c r="L412" i="1"/>
  <c r="M412" i="1"/>
  <c r="K413" i="1"/>
  <c r="L413" i="1"/>
  <c r="M413" i="1"/>
  <c r="K414" i="1"/>
  <c r="L414" i="1"/>
  <c r="M414" i="1"/>
  <c r="K415" i="1"/>
  <c r="L415" i="1"/>
  <c r="M415" i="1"/>
  <c r="K416" i="1"/>
  <c r="L416" i="1"/>
  <c r="M416" i="1"/>
  <c r="K417" i="1"/>
  <c r="L417" i="1"/>
  <c r="M417" i="1"/>
  <c r="K418" i="1"/>
  <c r="L418" i="1"/>
  <c r="M418" i="1"/>
  <c r="K419" i="1"/>
  <c r="L419" i="1"/>
  <c r="M419" i="1"/>
  <c r="K420" i="1"/>
  <c r="L420" i="1"/>
  <c r="M420" i="1"/>
  <c r="K421" i="1"/>
  <c r="L421" i="1"/>
  <c r="M421" i="1"/>
  <c r="K422" i="1"/>
  <c r="L422" i="1"/>
  <c r="M422" i="1"/>
  <c r="K423" i="1"/>
  <c r="L423" i="1"/>
  <c r="M423" i="1"/>
  <c r="K424" i="1"/>
  <c r="L424" i="1"/>
  <c r="M424" i="1"/>
  <c r="K425" i="1"/>
  <c r="L425" i="1"/>
  <c r="M425" i="1"/>
  <c r="K426" i="1"/>
  <c r="L426" i="1"/>
  <c r="M426" i="1"/>
  <c r="K427" i="1"/>
  <c r="L427" i="1"/>
  <c r="M427" i="1"/>
  <c r="K428" i="1"/>
  <c r="L428" i="1"/>
  <c r="M428" i="1"/>
  <c r="K429" i="1"/>
  <c r="L429" i="1"/>
  <c r="M429" i="1"/>
  <c r="K430" i="1"/>
  <c r="L430" i="1"/>
  <c r="M430" i="1"/>
  <c r="K431" i="1"/>
  <c r="L431" i="1"/>
  <c r="M431" i="1"/>
  <c r="K432" i="1"/>
  <c r="L432" i="1"/>
  <c r="M432" i="1"/>
  <c r="K433" i="1"/>
  <c r="L433" i="1"/>
  <c r="M433" i="1"/>
  <c r="K434" i="1"/>
  <c r="L434" i="1"/>
  <c r="M434" i="1"/>
  <c r="K435" i="1"/>
  <c r="L435" i="1"/>
  <c r="M435" i="1"/>
  <c r="K436" i="1"/>
  <c r="L436" i="1"/>
  <c r="M436" i="1"/>
  <c r="K437" i="1"/>
  <c r="L437" i="1"/>
  <c r="M437" i="1"/>
  <c r="K438" i="1"/>
  <c r="L438" i="1"/>
  <c r="M438" i="1"/>
  <c r="K439" i="1"/>
  <c r="L439" i="1"/>
  <c r="M439" i="1"/>
  <c r="K440" i="1"/>
  <c r="L440" i="1"/>
  <c r="M440" i="1"/>
  <c r="K441" i="1"/>
  <c r="L441" i="1"/>
  <c r="M441" i="1"/>
  <c r="K442" i="1"/>
  <c r="L442" i="1"/>
  <c r="M442" i="1"/>
  <c r="K443" i="1"/>
  <c r="L443" i="1"/>
  <c r="M443" i="1"/>
  <c r="K444" i="1"/>
  <c r="L444" i="1"/>
  <c r="M444" i="1"/>
  <c r="K445" i="1"/>
  <c r="L445" i="1"/>
  <c r="M445" i="1"/>
  <c r="K446" i="1"/>
  <c r="L446" i="1"/>
  <c r="M446" i="1"/>
  <c r="K447" i="1"/>
  <c r="L447" i="1"/>
  <c r="M447" i="1"/>
  <c r="K448" i="1"/>
  <c r="L448" i="1"/>
  <c r="M448" i="1"/>
  <c r="K449" i="1"/>
  <c r="L449" i="1"/>
  <c r="M449" i="1"/>
  <c r="K450" i="1"/>
  <c r="L450" i="1"/>
  <c r="M450" i="1"/>
  <c r="K451" i="1"/>
  <c r="L451" i="1"/>
  <c r="M451" i="1"/>
  <c r="K452" i="1"/>
  <c r="L452" i="1"/>
  <c r="M452" i="1"/>
  <c r="K453" i="1"/>
  <c r="L453" i="1"/>
  <c r="M453" i="1"/>
  <c r="K454" i="1"/>
  <c r="L454" i="1"/>
  <c r="M454" i="1"/>
  <c r="K455" i="1"/>
  <c r="L455" i="1"/>
  <c r="M455" i="1"/>
  <c r="K456" i="1"/>
  <c r="L456" i="1"/>
  <c r="M456" i="1"/>
  <c r="K457" i="1"/>
  <c r="L457" i="1"/>
  <c r="M457" i="1"/>
  <c r="K458" i="1"/>
  <c r="L458" i="1"/>
  <c r="M458" i="1"/>
  <c r="K459" i="1"/>
  <c r="L459" i="1"/>
  <c r="M459" i="1"/>
  <c r="K460" i="1"/>
  <c r="L460" i="1"/>
  <c r="M460" i="1"/>
  <c r="K461" i="1"/>
  <c r="L461" i="1"/>
  <c r="M461" i="1"/>
  <c r="K462" i="1"/>
  <c r="L462" i="1"/>
  <c r="M462" i="1"/>
  <c r="K463" i="1"/>
  <c r="L463" i="1"/>
  <c r="M463" i="1"/>
  <c r="K464" i="1"/>
  <c r="L464" i="1"/>
  <c r="M464" i="1"/>
  <c r="K465" i="1"/>
  <c r="L465" i="1"/>
  <c r="M465" i="1"/>
  <c r="K466" i="1"/>
  <c r="L466" i="1"/>
  <c r="M466" i="1"/>
  <c r="K467" i="1"/>
  <c r="L467" i="1"/>
  <c r="M467" i="1"/>
  <c r="K468" i="1"/>
  <c r="L468" i="1"/>
  <c r="M468" i="1"/>
  <c r="K469" i="1"/>
  <c r="L469" i="1"/>
  <c r="M469" i="1"/>
  <c r="K470" i="1"/>
  <c r="L470" i="1"/>
  <c r="M470" i="1"/>
  <c r="K471" i="1"/>
  <c r="L471" i="1"/>
  <c r="M471" i="1"/>
  <c r="K472" i="1"/>
  <c r="L472" i="1"/>
  <c r="M472" i="1"/>
  <c r="K473" i="1"/>
  <c r="L473" i="1"/>
  <c r="M473" i="1"/>
  <c r="K474" i="1"/>
  <c r="L474" i="1"/>
  <c r="M474" i="1"/>
  <c r="K475" i="1"/>
  <c r="L475" i="1"/>
  <c r="M475" i="1"/>
  <c r="K476" i="1"/>
  <c r="L476" i="1"/>
  <c r="M476" i="1"/>
  <c r="K477" i="1"/>
  <c r="L477" i="1"/>
  <c r="M477" i="1"/>
  <c r="K478" i="1"/>
  <c r="L478" i="1"/>
  <c r="M478" i="1"/>
  <c r="K479" i="1"/>
  <c r="L479" i="1"/>
  <c r="M479" i="1"/>
  <c r="K480" i="1"/>
  <c r="L480" i="1"/>
  <c r="M480" i="1"/>
  <c r="K481" i="1"/>
  <c r="L481" i="1"/>
  <c r="M481" i="1"/>
  <c r="K482" i="1"/>
  <c r="L482" i="1"/>
  <c r="M482" i="1"/>
  <c r="K483" i="1"/>
  <c r="L483" i="1"/>
  <c r="M483" i="1"/>
  <c r="K484" i="1"/>
  <c r="L484" i="1"/>
  <c r="M484" i="1"/>
  <c r="K485" i="1"/>
  <c r="L485" i="1"/>
  <c r="M485" i="1"/>
  <c r="K486" i="1"/>
  <c r="L486" i="1"/>
  <c r="M486" i="1"/>
  <c r="K487" i="1"/>
  <c r="L487" i="1"/>
  <c r="M487" i="1"/>
  <c r="K488" i="1"/>
  <c r="L488" i="1"/>
  <c r="M488" i="1"/>
  <c r="K489" i="1"/>
  <c r="L489" i="1"/>
  <c r="M489" i="1"/>
  <c r="K490" i="1"/>
  <c r="L490" i="1"/>
  <c r="M490" i="1"/>
  <c r="K491" i="1"/>
  <c r="L491" i="1"/>
  <c r="M491" i="1"/>
  <c r="K492" i="1"/>
  <c r="L492" i="1"/>
  <c r="M492" i="1"/>
  <c r="K493" i="1"/>
  <c r="L493" i="1"/>
  <c r="M493" i="1"/>
  <c r="K494" i="1"/>
  <c r="L494" i="1"/>
  <c r="M494" i="1"/>
  <c r="K495" i="1"/>
  <c r="L495" i="1"/>
  <c r="M495" i="1"/>
  <c r="K496" i="1"/>
  <c r="L496" i="1"/>
  <c r="M496" i="1"/>
  <c r="K497" i="1"/>
  <c r="L497" i="1"/>
  <c r="M497" i="1"/>
  <c r="K498" i="1"/>
  <c r="L498" i="1"/>
  <c r="M498" i="1"/>
  <c r="K499" i="1"/>
  <c r="L499" i="1"/>
  <c r="M499" i="1"/>
  <c r="K500" i="1"/>
  <c r="L500" i="1"/>
  <c r="M500" i="1"/>
  <c r="K501" i="1"/>
  <c r="L501" i="1"/>
  <c r="M501" i="1"/>
  <c r="K502" i="1"/>
  <c r="L502" i="1"/>
  <c r="M502" i="1"/>
  <c r="K503" i="1"/>
  <c r="L503" i="1"/>
  <c r="M503" i="1"/>
  <c r="K504" i="1"/>
  <c r="L504" i="1"/>
  <c r="M504" i="1"/>
  <c r="K505" i="1"/>
  <c r="L505" i="1"/>
  <c r="M505" i="1"/>
  <c r="K506" i="1"/>
  <c r="L506" i="1"/>
  <c r="M506" i="1"/>
  <c r="K507" i="1"/>
  <c r="L507" i="1"/>
  <c r="M507" i="1"/>
  <c r="K508" i="1"/>
  <c r="L508" i="1"/>
  <c r="M508" i="1"/>
  <c r="K509" i="1"/>
  <c r="L509" i="1"/>
  <c r="M509" i="1"/>
  <c r="K510" i="1"/>
  <c r="L510" i="1"/>
  <c r="M510" i="1"/>
  <c r="K511" i="1"/>
  <c r="L511" i="1"/>
  <c r="M511" i="1"/>
  <c r="K512" i="1"/>
  <c r="L512" i="1"/>
  <c r="M512" i="1"/>
  <c r="K513" i="1"/>
  <c r="L513" i="1"/>
  <c r="M513" i="1"/>
  <c r="K514" i="1"/>
  <c r="L514" i="1"/>
  <c r="M514" i="1"/>
  <c r="K515" i="1"/>
  <c r="L515" i="1"/>
  <c r="M515" i="1"/>
  <c r="K516" i="1"/>
  <c r="L516" i="1"/>
  <c r="M516" i="1"/>
  <c r="K517" i="1"/>
  <c r="L517" i="1"/>
  <c r="M517" i="1"/>
  <c r="K518" i="1"/>
  <c r="L518" i="1"/>
  <c r="M518" i="1"/>
  <c r="K519" i="1"/>
  <c r="L519" i="1"/>
  <c r="M519" i="1"/>
  <c r="K520" i="1"/>
  <c r="L520" i="1"/>
  <c r="M520" i="1"/>
  <c r="K521" i="1"/>
  <c r="L521" i="1"/>
  <c r="M521" i="1"/>
  <c r="K522" i="1"/>
  <c r="L522" i="1"/>
  <c r="M522" i="1"/>
  <c r="K523" i="1"/>
  <c r="L523" i="1"/>
  <c r="M523" i="1"/>
  <c r="K524" i="1"/>
  <c r="L524" i="1"/>
  <c r="M524" i="1"/>
  <c r="K525" i="1"/>
  <c r="L525" i="1"/>
  <c r="M525" i="1"/>
  <c r="K526" i="1"/>
  <c r="L526" i="1"/>
  <c r="M526" i="1"/>
  <c r="K527" i="1"/>
  <c r="L527" i="1"/>
  <c r="M527" i="1"/>
  <c r="K528" i="1"/>
  <c r="L528" i="1"/>
  <c r="M528" i="1"/>
  <c r="K529" i="1"/>
  <c r="L529" i="1"/>
  <c r="M529" i="1"/>
  <c r="K530" i="1"/>
  <c r="L530" i="1"/>
  <c r="M530" i="1"/>
  <c r="K531" i="1"/>
  <c r="L531" i="1"/>
  <c r="M531" i="1"/>
  <c r="K532" i="1"/>
  <c r="L532" i="1"/>
  <c r="M532" i="1"/>
  <c r="K533" i="1"/>
  <c r="L533" i="1"/>
  <c r="M533" i="1"/>
  <c r="K534" i="1"/>
  <c r="L534" i="1"/>
  <c r="M534" i="1"/>
  <c r="K535" i="1"/>
  <c r="L535" i="1"/>
  <c r="M535" i="1"/>
  <c r="K536" i="1"/>
  <c r="L536" i="1"/>
  <c r="M536" i="1"/>
  <c r="K537" i="1"/>
  <c r="L537" i="1"/>
  <c r="M537" i="1"/>
  <c r="K538" i="1"/>
  <c r="L538" i="1"/>
  <c r="M538" i="1"/>
  <c r="K539" i="1"/>
  <c r="L539" i="1"/>
  <c r="M539" i="1"/>
  <c r="K540" i="1"/>
  <c r="L540" i="1"/>
  <c r="M540" i="1"/>
  <c r="K541" i="1"/>
  <c r="L541" i="1"/>
  <c r="M541" i="1"/>
  <c r="K542" i="1"/>
  <c r="L542" i="1"/>
  <c r="M542" i="1"/>
  <c r="K543" i="1"/>
  <c r="L543" i="1"/>
  <c r="M543" i="1"/>
  <c r="K544" i="1"/>
  <c r="L544" i="1"/>
  <c r="M544" i="1"/>
  <c r="K545" i="1"/>
  <c r="L545" i="1"/>
  <c r="M545" i="1"/>
  <c r="K546" i="1"/>
  <c r="L546" i="1"/>
  <c r="M546" i="1"/>
  <c r="K547" i="1"/>
  <c r="L547" i="1"/>
  <c r="M547" i="1"/>
  <c r="K548" i="1"/>
  <c r="L548" i="1"/>
  <c r="M548" i="1"/>
  <c r="K549" i="1"/>
  <c r="L549" i="1"/>
  <c r="M549" i="1"/>
  <c r="K550" i="1"/>
  <c r="L550" i="1"/>
  <c r="M550" i="1"/>
  <c r="K551" i="1"/>
  <c r="L551" i="1"/>
  <c r="M551" i="1"/>
  <c r="K552" i="1"/>
  <c r="L552" i="1"/>
  <c r="M552" i="1"/>
  <c r="K553" i="1"/>
  <c r="L553" i="1"/>
  <c r="M553" i="1"/>
  <c r="K554" i="1"/>
  <c r="L554" i="1"/>
  <c r="M554" i="1"/>
  <c r="K555" i="1"/>
  <c r="L555" i="1"/>
  <c r="M555" i="1"/>
  <c r="K556" i="1"/>
  <c r="L556" i="1"/>
  <c r="M556" i="1"/>
  <c r="K557" i="1"/>
  <c r="L557" i="1"/>
  <c r="M557" i="1"/>
  <c r="K558" i="1"/>
  <c r="L558" i="1"/>
  <c r="M558" i="1"/>
  <c r="K559" i="1"/>
  <c r="L559" i="1"/>
  <c r="M559" i="1"/>
  <c r="K560" i="1"/>
  <c r="L560" i="1"/>
  <c r="M560" i="1"/>
  <c r="K561" i="1"/>
  <c r="L561" i="1"/>
  <c r="M561" i="1"/>
  <c r="K562" i="1"/>
  <c r="L562" i="1"/>
  <c r="M562" i="1"/>
  <c r="K563" i="1"/>
  <c r="L563" i="1"/>
  <c r="M563" i="1"/>
  <c r="K564" i="1"/>
  <c r="L564" i="1"/>
  <c r="M564" i="1"/>
  <c r="K565" i="1"/>
  <c r="L565" i="1"/>
  <c r="M565" i="1"/>
  <c r="K566" i="1"/>
  <c r="L566" i="1"/>
  <c r="M566" i="1"/>
  <c r="K567" i="1"/>
  <c r="L567" i="1"/>
  <c r="M567" i="1"/>
  <c r="K568" i="1"/>
  <c r="L568" i="1"/>
  <c r="M568" i="1"/>
  <c r="K569" i="1"/>
  <c r="L569" i="1"/>
  <c r="M569" i="1"/>
  <c r="K570" i="1"/>
  <c r="L570" i="1"/>
  <c r="M570" i="1"/>
  <c r="K571" i="1"/>
  <c r="L571" i="1"/>
  <c r="M571" i="1"/>
  <c r="K572" i="1"/>
  <c r="L572" i="1"/>
  <c r="M572" i="1"/>
  <c r="K573" i="1"/>
  <c r="L573" i="1"/>
  <c r="M573" i="1"/>
  <c r="K574" i="1"/>
  <c r="L574" i="1"/>
  <c r="M574" i="1"/>
  <c r="K575" i="1"/>
  <c r="L575" i="1"/>
  <c r="M575" i="1"/>
  <c r="K576" i="1"/>
  <c r="L576" i="1"/>
  <c r="M576" i="1"/>
  <c r="K577" i="1"/>
  <c r="L577" i="1"/>
  <c r="M577" i="1"/>
  <c r="K578" i="1"/>
  <c r="L578" i="1"/>
  <c r="M578" i="1"/>
  <c r="K579" i="1"/>
  <c r="L579" i="1"/>
  <c r="M579" i="1"/>
  <c r="K580" i="1"/>
  <c r="L580" i="1"/>
  <c r="M580" i="1"/>
  <c r="K581" i="1"/>
  <c r="L581" i="1"/>
  <c r="M581" i="1"/>
  <c r="K582" i="1"/>
  <c r="L582" i="1"/>
  <c r="M582" i="1"/>
  <c r="K583" i="1"/>
  <c r="L583" i="1"/>
  <c r="M583" i="1"/>
  <c r="K584" i="1"/>
  <c r="L584" i="1"/>
  <c r="M584" i="1"/>
  <c r="K585" i="1"/>
  <c r="L585" i="1"/>
  <c r="M585" i="1"/>
  <c r="K586" i="1"/>
  <c r="L586" i="1"/>
  <c r="M586" i="1"/>
  <c r="K587" i="1"/>
  <c r="L587" i="1"/>
  <c r="M587" i="1"/>
  <c r="K588" i="1"/>
  <c r="L588" i="1"/>
  <c r="M588" i="1"/>
  <c r="K589" i="1"/>
  <c r="L589" i="1"/>
  <c r="M589" i="1"/>
  <c r="K590" i="1"/>
  <c r="L590" i="1"/>
  <c r="M590" i="1"/>
  <c r="K591" i="1"/>
  <c r="L591" i="1"/>
  <c r="M591" i="1"/>
  <c r="K592" i="1"/>
  <c r="L592" i="1"/>
  <c r="M592" i="1"/>
  <c r="K593" i="1"/>
  <c r="L593" i="1"/>
  <c r="M593" i="1"/>
  <c r="K594" i="1"/>
  <c r="L594" i="1"/>
  <c r="M594" i="1"/>
  <c r="K595" i="1"/>
  <c r="L595" i="1"/>
  <c r="M595" i="1"/>
  <c r="K596" i="1"/>
  <c r="L596" i="1"/>
  <c r="M596" i="1"/>
  <c r="K597" i="1"/>
  <c r="L597" i="1"/>
  <c r="M597" i="1"/>
  <c r="K598" i="1"/>
  <c r="L598" i="1"/>
  <c r="M598" i="1"/>
  <c r="K599" i="1"/>
  <c r="L599" i="1"/>
  <c r="M599" i="1"/>
  <c r="K600" i="1"/>
  <c r="L600" i="1"/>
  <c r="M600" i="1"/>
  <c r="K601" i="1"/>
  <c r="L601" i="1"/>
  <c r="M601" i="1"/>
  <c r="K602" i="1"/>
  <c r="L602" i="1"/>
  <c r="M602" i="1"/>
  <c r="K603" i="1"/>
  <c r="L603" i="1"/>
  <c r="M603" i="1"/>
  <c r="K604" i="1"/>
  <c r="L604" i="1"/>
  <c r="M604" i="1"/>
  <c r="K605" i="1"/>
  <c r="L605" i="1"/>
  <c r="M605" i="1"/>
  <c r="K606" i="1"/>
  <c r="L606" i="1"/>
  <c r="M606" i="1"/>
  <c r="K607" i="1"/>
  <c r="L607" i="1"/>
  <c r="M607" i="1"/>
  <c r="K608" i="1"/>
  <c r="L608" i="1"/>
  <c r="M608" i="1"/>
  <c r="K609" i="1"/>
  <c r="L609" i="1"/>
  <c r="M609" i="1"/>
  <c r="K610" i="1"/>
  <c r="L610" i="1"/>
  <c r="M610" i="1"/>
  <c r="K611" i="1"/>
  <c r="L611" i="1"/>
  <c r="M611" i="1"/>
  <c r="K612" i="1"/>
  <c r="L612" i="1"/>
  <c r="M612" i="1"/>
  <c r="K613" i="1"/>
  <c r="L613" i="1"/>
  <c r="M613" i="1"/>
  <c r="K614" i="1"/>
  <c r="L614" i="1"/>
  <c r="M614" i="1"/>
  <c r="K615" i="1"/>
  <c r="L615" i="1"/>
  <c r="M615" i="1"/>
  <c r="K616" i="1"/>
  <c r="L616" i="1"/>
  <c r="M616" i="1"/>
  <c r="K617" i="1"/>
  <c r="L617" i="1"/>
  <c r="M617" i="1"/>
  <c r="K618" i="1"/>
  <c r="L618" i="1"/>
  <c r="M618" i="1"/>
  <c r="K619" i="1"/>
  <c r="L619" i="1"/>
  <c r="M619" i="1"/>
  <c r="K620" i="1"/>
  <c r="L620" i="1"/>
  <c r="M620" i="1"/>
  <c r="K621" i="1"/>
  <c r="L621" i="1"/>
  <c r="M621" i="1"/>
  <c r="K622" i="1"/>
  <c r="L622" i="1"/>
  <c r="M622" i="1"/>
  <c r="K623" i="1"/>
  <c r="L623" i="1"/>
  <c r="M623" i="1"/>
  <c r="K624" i="1"/>
  <c r="L624" i="1"/>
  <c r="M624" i="1"/>
  <c r="K625" i="1"/>
  <c r="L625" i="1"/>
  <c r="M625" i="1"/>
  <c r="K626" i="1"/>
  <c r="L626" i="1"/>
  <c r="M626" i="1"/>
  <c r="K627" i="1"/>
  <c r="L627" i="1"/>
  <c r="M627" i="1"/>
  <c r="K628" i="1"/>
  <c r="L628" i="1"/>
  <c r="M628" i="1"/>
  <c r="K629" i="1"/>
  <c r="L629" i="1"/>
  <c r="M629" i="1"/>
  <c r="K630" i="1"/>
  <c r="L630" i="1"/>
  <c r="M630" i="1"/>
  <c r="K631" i="1"/>
  <c r="L631" i="1"/>
  <c r="M631" i="1"/>
  <c r="K632" i="1"/>
  <c r="L632" i="1"/>
  <c r="M632" i="1"/>
  <c r="K633" i="1"/>
  <c r="L633" i="1"/>
  <c r="M633" i="1"/>
  <c r="K634" i="1"/>
  <c r="L634" i="1"/>
  <c r="M634" i="1"/>
  <c r="K635" i="1"/>
  <c r="L635" i="1"/>
  <c r="M635" i="1"/>
  <c r="K636" i="1"/>
  <c r="L636" i="1"/>
  <c r="M636" i="1"/>
  <c r="K637" i="1"/>
  <c r="L637" i="1"/>
  <c r="M637" i="1"/>
  <c r="K638" i="1"/>
  <c r="L638" i="1"/>
  <c r="M638" i="1"/>
  <c r="K639" i="1"/>
  <c r="L639" i="1"/>
  <c r="M639" i="1"/>
  <c r="K640" i="1"/>
  <c r="L640" i="1"/>
  <c r="M640" i="1"/>
  <c r="K641" i="1"/>
  <c r="L641" i="1"/>
  <c r="M641" i="1"/>
  <c r="K642" i="1"/>
  <c r="L642" i="1"/>
  <c r="M642" i="1"/>
  <c r="K643" i="1"/>
  <c r="L643" i="1"/>
  <c r="M643" i="1"/>
  <c r="K644" i="1"/>
  <c r="L644" i="1"/>
  <c r="M644" i="1"/>
  <c r="K645" i="1"/>
  <c r="L645" i="1"/>
  <c r="M645" i="1"/>
  <c r="K646" i="1"/>
  <c r="L646" i="1"/>
  <c r="M646" i="1"/>
  <c r="K647" i="1"/>
  <c r="L647" i="1"/>
  <c r="M647" i="1"/>
  <c r="K648" i="1"/>
  <c r="L648" i="1"/>
  <c r="M648" i="1"/>
  <c r="K649" i="1"/>
  <c r="L649" i="1"/>
  <c r="M649" i="1"/>
  <c r="K650" i="1"/>
  <c r="L650" i="1"/>
  <c r="M650" i="1"/>
  <c r="K651" i="1"/>
  <c r="L651" i="1"/>
  <c r="M651" i="1"/>
  <c r="K652" i="1"/>
  <c r="L652" i="1"/>
  <c r="M652" i="1"/>
  <c r="K653" i="1"/>
  <c r="L653" i="1"/>
  <c r="M653" i="1"/>
  <c r="K654" i="1"/>
  <c r="L654" i="1"/>
  <c r="M654" i="1"/>
  <c r="K655" i="1"/>
  <c r="L655" i="1"/>
  <c r="M655" i="1"/>
  <c r="K656" i="1"/>
  <c r="L656" i="1"/>
  <c r="M656" i="1"/>
  <c r="K657" i="1"/>
  <c r="L657" i="1"/>
  <c r="M657" i="1"/>
  <c r="K658" i="1"/>
  <c r="L658" i="1"/>
  <c r="M658" i="1"/>
  <c r="K659" i="1"/>
  <c r="L659" i="1"/>
  <c r="M659" i="1"/>
  <c r="K660" i="1"/>
  <c r="L660" i="1"/>
  <c r="M660" i="1"/>
  <c r="K661" i="1"/>
  <c r="L661" i="1"/>
  <c r="M661" i="1"/>
  <c r="K662" i="1"/>
  <c r="L662" i="1"/>
  <c r="M662" i="1"/>
  <c r="K663" i="1"/>
  <c r="L663" i="1"/>
  <c r="M663" i="1"/>
  <c r="K664" i="1"/>
  <c r="L664" i="1"/>
  <c r="M664" i="1"/>
  <c r="K665" i="1"/>
  <c r="L665" i="1"/>
  <c r="M665" i="1"/>
  <c r="K666" i="1"/>
  <c r="L666" i="1"/>
  <c r="M666" i="1"/>
  <c r="K667" i="1"/>
  <c r="L667" i="1"/>
  <c r="M667" i="1"/>
  <c r="K668" i="1"/>
  <c r="L668" i="1"/>
  <c r="M668" i="1"/>
  <c r="K669" i="1"/>
  <c r="L669" i="1"/>
  <c r="M669" i="1"/>
  <c r="K670" i="1"/>
  <c r="L670" i="1"/>
  <c r="M670" i="1"/>
  <c r="K671" i="1"/>
  <c r="L671" i="1"/>
  <c r="M671" i="1"/>
  <c r="K672" i="1"/>
  <c r="L672" i="1"/>
  <c r="M672" i="1"/>
  <c r="K673" i="1"/>
  <c r="L673" i="1"/>
  <c r="M673" i="1"/>
  <c r="K674" i="1"/>
  <c r="L674" i="1"/>
  <c r="M674" i="1"/>
  <c r="K675" i="1"/>
  <c r="L675" i="1"/>
  <c r="M675" i="1"/>
  <c r="K676" i="1"/>
  <c r="L676" i="1"/>
  <c r="M676" i="1"/>
  <c r="K677" i="1"/>
  <c r="L677" i="1"/>
  <c r="M677" i="1"/>
  <c r="K678" i="1"/>
  <c r="L678" i="1"/>
  <c r="M678" i="1"/>
  <c r="K679" i="1"/>
  <c r="L679" i="1"/>
  <c r="M679" i="1"/>
  <c r="K680" i="1"/>
  <c r="L680" i="1"/>
  <c r="M680" i="1"/>
  <c r="K681" i="1"/>
  <c r="L681" i="1"/>
  <c r="M681" i="1"/>
  <c r="K682" i="1"/>
  <c r="L682" i="1"/>
  <c r="M682" i="1"/>
  <c r="K683" i="1"/>
  <c r="L683" i="1"/>
  <c r="M683" i="1"/>
  <c r="K684" i="1"/>
  <c r="L684" i="1"/>
  <c r="M684" i="1"/>
  <c r="K685" i="1"/>
  <c r="L685" i="1"/>
  <c r="M685" i="1"/>
  <c r="K686" i="1"/>
  <c r="L686" i="1"/>
  <c r="M686" i="1"/>
  <c r="K687" i="1"/>
  <c r="L687" i="1"/>
  <c r="M687" i="1"/>
  <c r="K688" i="1"/>
  <c r="L688" i="1"/>
  <c r="M688" i="1"/>
  <c r="K689" i="1"/>
  <c r="L689" i="1"/>
  <c r="M689" i="1"/>
  <c r="K690" i="1"/>
  <c r="L690" i="1"/>
  <c r="M690" i="1"/>
  <c r="K691" i="1"/>
  <c r="L691" i="1"/>
  <c r="M691" i="1"/>
  <c r="K692" i="1"/>
  <c r="L692" i="1"/>
  <c r="M692" i="1"/>
  <c r="K693" i="1"/>
  <c r="L693" i="1"/>
  <c r="M693" i="1"/>
  <c r="K694" i="1"/>
  <c r="L694" i="1"/>
  <c r="M694" i="1"/>
  <c r="K695" i="1"/>
  <c r="L695" i="1"/>
  <c r="M695" i="1"/>
  <c r="K696" i="1"/>
  <c r="L696" i="1"/>
  <c r="M696" i="1"/>
  <c r="K697" i="1"/>
  <c r="L697" i="1"/>
  <c r="M697" i="1"/>
  <c r="K698" i="1"/>
  <c r="L698" i="1"/>
  <c r="M698" i="1"/>
  <c r="K699" i="1"/>
  <c r="L699" i="1"/>
  <c r="M699" i="1"/>
  <c r="K700" i="1"/>
  <c r="L700" i="1"/>
  <c r="M700" i="1"/>
  <c r="K701" i="1"/>
  <c r="L701" i="1"/>
  <c r="M701" i="1"/>
  <c r="K702" i="1"/>
  <c r="L702" i="1"/>
  <c r="M702" i="1"/>
  <c r="K703" i="1"/>
  <c r="L703" i="1"/>
  <c r="M703" i="1"/>
  <c r="K704" i="1"/>
  <c r="L704" i="1"/>
  <c r="M704" i="1"/>
  <c r="K705" i="1"/>
  <c r="L705" i="1"/>
  <c r="M705" i="1"/>
  <c r="K706" i="1"/>
  <c r="L706" i="1"/>
  <c r="M706" i="1"/>
  <c r="K707" i="1"/>
  <c r="L707" i="1"/>
  <c r="M707" i="1"/>
  <c r="K708" i="1"/>
  <c r="L708" i="1"/>
  <c r="M708" i="1"/>
  <c r="K709" i="1"/>
  <c r="L709" i="1"/>
  <c r="M709" i="1"/>
  <c r="K710" i="1"/>
  <c r="L710" i="1"/>
  <c r="M710" i="1"/>
  <c r="K711" i="1"/>
  <c r="L711" i="1"/>
  <c r="M711" i="1"/>
  <c r="K712" i="1"/>
  <c r="L712" i="1"/>
  <c r="M712" i="1"/>
  <c r="K713" i="1"/>
  <c r="L713" i="1"/>
  <c r="M713" i="1"/>
  <c r="K714" i="1"/>
  <c r="L714" i="1"/>
  <c r="M714" i="1"/>
  <c r="K715" i="1"/>
  <c r="L715" i="1"/>
  <c r="M715" i="1"/>
  <c r="K716" i="1"/>
  <c r="L716" i="1"/>
  <c r="M716" i="1"/>
  <c r="K717" i="1"/>
  <c r="L717" i="1"/>
  <c r="M717" i="1"/>
  <c r="K718" i="1"/>
  <c r="L718" i="1"/>
  <c r="M718" i="1"/>
  <c r="K719" i="1"/>
  <c r="L719" i="1"/>
  <c r="M719" i="1"/>
  <c r="K720" i="1"/>
  <c r="L720" i="1"/>
  <c r="M720" i="1"/>
  <c r="K721" i="1"/>
  <c r="L721" i="1"/>
  <c r="M721" i="1"/>
  <c r="K722" i="1"/>
  <c r="L722" i="1"/>
  <c r="M722" i="1"/>
  <c r="K723" i="1"/>
  <c r="L723" i="1"/>
  <c r="M723" i="1"/>
  <c r="K724" i="1"/>
  <c r="L724" i="1"/>
  <c r="M724" i="1"/>
  <c r="K725" i="1"/>
  <c r="L725" i="1"/>
  <c r="M725" i="1"/>
  <c r="K726" i="1"/>
  <c r="L726" i="1"/>
  <c r="M726" i="1"/>
  <c r="K727" i="1"/>
  <c r="L727" i="1"/>
  <c r="M727" i="1"/>
  <c r="K728" i="1"/>
  <c r="L728" i="1"/>
  <c r="M728" i="1"/>
  <c r="K729" i="1"/>
  <c r="L729" i="1"/>
  <c r="M729" i="1"/>
  <c r="K730" i="1"/>
  <c r="L730" i="1"/>
  <c r="M730" i="1"/>
  <c r="K731" i="1"/>
  <c r="L731" i="1"/>
  <c r="M731" i="1"/>
  <c r="K732" i="1"/>
  <c r="L732" i="1"/>
  <c r="M732" i="1"/>
  <c r="K733" i="1"/>
  <c r="L733" i="1"/>
  <c r="M733" i="1"/>
  <c r="K734" i="1"/>
  <c r="L734" i="1"/>
  <c r="M734" i="1"/>
  <c r="K735" i="1"/>
  <c r="L735" i="1"/>
  <c r="M735" i="1"/>
  <c r="K736" i="1"/>
  <c r="L736" i="1"/>
  <c r="M736" i="1"/>
  <c r="K737" i="1"/>
  <c r="L737" i="1"/>
  <c r="M737" i="1"/>
  <c r="K738" i="1"/>
  <c r="L738" i="1"/>
  <c r="M738" i="1"/>
  <c r="K739" i="1"/>
  <c r="L739" i="1"/>
  <c r="M739" i="1"/>
  <c r="K740" i="1"/>
  <c r="L740" i="1"/>
  <c r="M740" i="1"/>
  <c r="K741" i="1"/>
  <c r="L741" i="1"/>
  <c r="M741" i="1"/>
  <c r="K742" i="1"/>
  <c r="L742" i="1"/>
  <c r="M742" i="1"/>
  <c r="K743" i="1"/>
  <c r="L743" i="1"/>
  <c r="M743" i="1"/>
  <c r="K744" i="1"/>
  <c r="L744" i="1"/>
  <c r="M744" i="1"/>
  <c r="K745" i="1"/>
  <c r="L745" i="1"/>
  <c r="M745" i="1"/>
  <c r="K746" i="1"/>
  <c r="L746" i="1"/>
  <c r="M746" i="1"/>
  <c r="K747" i="1"/>
  <c r="L747" i="1"/>
  <c r="M747" i="1"/>
  <c r="K748" i="1"/>
  <c r="L748" i="1"/>
  <c r="M748" i="1"/>
  <c r="K749" i="1"/>
  <c r="L749" i="1"/>
  <c r="M749" i="1"/>
  <c r="K750" i="1"/>
  <c r="L750" i="1"/>
  <c r="M750" i="1"/>
  <c r="K751" i="1"/>
  <c r="L751" i="1"/>
  <c r="M751" i="1"/>
  <c r="K752" i="1"/>
  <c r="L752" i="1"/>
  <c r="M752" i="1"/>
  <c r="K753" i="1"/>
  <c r="L753" i="1"/>
  <c r="M753" i="1"/>
  <c r="K754" i="1"/>
  <c r="L754" i="1"/>
  <c r="M754" i="1"/>
  <c r="K755" i="1"/>
  <c r="L755" i="1"/>
  <c r="M755" i="1"/>
  <c r="K756" i="1"/>
  <c r="L756" i="1"/>
  <c r="M756" i="1"/>
  <c r="K757" i="1"/>
  <c r="L757" i="1"/>
  <c r="M757" i="1"/>
  <c r="K758" i="1"/>
  <c r="L758" i="1"/>
  <c r="M758" i="1"/>
  <c r="K759" i="1"/>
  <c r="L759" i="1"/>
  <c r="M759" i="1"/>
  <c r="K760" i="1"/>
  <c r="L760" i="1"/>
  <c r="M760" i="1"/>
  <c r="K761" i="1"/>
  <c r="L761" i="1"/>
  <c r="M761" i="1"/>
  <c r="K762" i="1"/>
  <c r="L762" i="1"/>
  <c r="M762" i="1"/>
  <c r="K763" i="1"/>
  <c r="L763" i="1"/>
  <c r="M763" i="1"/>
  <c r="K764" i="1"/>
  <c r="L764" i="1"/>
  <c r="M764" i="1"/>
  <c r="K765" i="1"/>
  <c r="L765" i="1"/>
  <c r="M765" i="1"/>
  <c r="K766" i="1"/>
  <c r="L766" i="1"/>
  <c r="M766" i="1"/>
  <c r="K767" i="1"/>
  <c r="L767" i="1"/>
  <c r="M767" i="1"/>
  <c r="K768" i="1"/>
  <c r="L768" i="1"/>
  <c r="M768" i="1"/>
  <c r="K769" i="1"/>
  <c r="L769" i="1"/>
  <c r="M769" i="1"/>
  <c r="K770" i="1"/>
  <c r="L770" i="1"/>
  <c r="M770" i="1"/>
  <c r="K771" i="1"/>
  <c r="L771" i="1"/>
  <c r="M771" i="1"/>
  <c r="K772" i="1"/>
  <c r="L772" i="1"/>
  <c r="M772" i="1"/>
  <c r="K773" i="1"/>
  <c r="L773" i="1"/>
  <c r="M773" i="1"/>
  <c r="K774" i="1"/>
  <c r="L774" i="1"/>
  <c r="M774" i="1"/>
  <c r="K775" i="1"/>
  <c r="L775" i="1"/>
  <c r="M775" i="1"/>
  <c r="K776" i="1"/>
  <c r="L776" i="1"/>
  <c r="M776" i="1"/>
  <c r="K777" i="1"/>
  <c r="L777" i="1"/>
  <c r="M777" i="1"/>
  <c r="K778" i="1"/>
  <c r="L778" i="1"/>
  <c r="M778" i="1"/>
  <c r="K779" i="1"/>
  <c r="L779" i="1"/>
  <c r="M779" i="1"/>
  <c r="K780" i="1"/>
  <c r="L780" i="1"/>
  <c r="M780" i="1"/>
  <c r="K781" i="1"/>
  <c r="L781" i="1"/>
  <c r="M781" i="1"/>
  <c r="K782" i="1"/>
  <c r="L782" i="1"/>
  <c r="M782" i="1"/>
  <c r="K783" i="1"/>
  <c r="L783" i="1"/>
  <c r="M783" i="1"/>
  <c r="K784" i="1"/>
  <c r="L784" i="1"/>
  <c r="M784" i="1"/>
  <c r="K785" i="1"/>
  <c r="L785" i="1"/>
  <c r="M785" i="1"/>
  <c r="K786" i="1"/>
  <c r="L786" i="1"/>
  <c r="M786" i="1"/>
  <c r="K787" i="1"/>
  <c r="L787" i="1"/>
  <c r="M787" i="1"/>
  <c r="K788" i="1"/>
  <c r="L788" i="1"/>
  <c r="M788" i="1"/>
  <c r="K789" i="1"/>
  <c r="L789" i="1"/>
  <c r="M789" i="1"/>
  <c r="K790" i="1"/>
  <c r="L790" i="1"/>
  <c r="M790" i="1"/>
  <c r="K791" i="1"/>
  <c r="L791" i="1"/>
  <c r="M791" i="1"/>
  <c r="K792" i="1"/>
  <c r="L792" i="1"/>
  <c r="M792" i="1"/>
  <c r="K793" i="1"/>
  <c r="L793" i="1"/>
  <c r="M793" i="1"/>
  <c r="K794" i="1"/>
  <c r="L794" i="1"/>
  <c r="M794" i="1"/>
  <c r="K795" i="1"/>
  <c r="L795" i="1"/>
  <c r="M795" i="1"/>
  <c r="K796" i="1"/>
  <c r="L796" i="1"/>
  <c r="M796" i="1"/>
  <c r="K797" i="1"/>
  <c r="L797" i="1"/>
  <c r="M797" i="1"/>
  <c r="K798" i="1"/>
  <c r="L798" i="1"/>
  <c r="M798" i="1"/>
  <c r="K799" i="1"/>
  <c r="L799" i="1"/>
  <c r="M799" i="1"/>
  <c r="K800" i="1"/>
  <c r="L800" i="1"/>
  <c r="M800" i="1"/>
  <c r="K801" i="1"/>
  <c r="L801" i="1"/>
  <c r="M801" i="1"/>
  <c r="K802" i="1"/>
  <c r="L802" i="1"/>
  <c r="M802" i="1"/>
  <c r="K803" i="1"/>
  <c r="L803" i="1"/>
  <c r="M803" i="1"/>
  <c r="K804" i="1"/>
  <c r="L804" i="1"/>
  <c r="M804" i="1"/>
  <c r="K805" i="1"/>
  <c r="L805" i="1"/>
  <c r="M805" i="1"/>
  <c r="K806" i="1"/>
  <c r="L806" i="1"/>
  <c r="M806" i="1"/>
  <c r="K807" i="1"/>
  <c r="L807" i="1"/>
  <c r="M807" i="1"/>
  <c r="K808" i="1"/>
  <c r="L808" i="1"/>
  <c r="M808" i="1"/>
  <c r="K809" i="1"/>
  <c r="L809" i="1"/>
  <c r="M809" i="1"/>
  <c r="K810" i="1"/>
  <c r="L810" i="1"/>
  <c r="M810" i="1"/>
  <c r="K811" i="1"/>
  <c r="L811" i="1"/>
  <c r="M811" i="1"/>
  <c r="K812" i="1"/>
  <c r="L812" i="1"/>
  <c r="M812" i="1"/>
  <c r="K813" i="1"/>
  <c r="L813" i="1"/>
  <c r="M813" i="1"/>
  <c r="K814" i="1"/>
  <c r="L814" i="1"/>
  <c r="M814" i="1"/>
  <c r="K815" i="1"/>
  <c r="L815" i="1"/>
  <c r="M815" i="1"/>
  <c r="K816" i="1"/>
  <c r="L816" i="1"/>
  <c r="M816" i="1"/>
  <c r="K817" i="1"/>
  <c r="L817" i="1"/>
  <c r="M817" i="1"/>
  <c r="K818" i="1"/>
  <c r="L818" i="1"/>
  <c r="M818" i="1"/>
  <c r="K819" i="1"/>
  <c r="L819" i="1"/>
  <c r="M819" i="1"/>
  <c r="K820" i="1"/>
  <c r="L820" i="1"/>
  <c r="M820" i="1"/>
  <c r="K821" i="1"/>
  <c r="L821" i="1"/>
  <c r="M821" i="1"/>
  <c r="K822" i="1"/>
  <c r="L822" i="1"/>
  <c r="M822" i="1"/>
  <c r="K823" i="1"/>
  <c r="L823" i="1"/>
  <c r="M823" i="1"/>
  <c r="K824" i="1"/>
  <c r="L824" i="1"/>
  <c r="M824" i="1"/>
  <c r="K825" i="1"/>
  <c r="L825" i="1"/>
  <c r="M825" i="1"/>
  <c r="K826" i="1"/>
  <c r="L826" i="1"/>
  <c r="M826" i="1"/>
  <c r="K827" i="1"/>
  <c r="L827" i="1"/>
  <c r="M827" i="1"/>
  <c r="K828" i="1"/>
  <c r="L828" i="1"/>
  <c r="M828" i="1"/>
  <c r="K829" i="1"/>
  <c r="L829" i="1"/>
  <c r="M829" i="1"/>
  <c r="K830" i="1"/>
  <c r="L830" i="1"/>
  <c r="M830" i="1"/>
  <c r="K831" i="1"/>
  <c r="L831" i="1"/>
  <c r="M831" i="1"/>
  <c r="K832" i="1"/>
  <c r="L832" i="1"/>
  <c r="M832" i="1"/>
  <c r="K833" i="1"/>
  <c r="L833" i="1"/>
  <c r="M833" i="1"/>
  <c r="K834" i="1"/>
  <c r="L834" i="1"/>
  <c r="M834" i="1"/>
  <c r="K835" i="1"/>
  <c r="L835" i="1"/>
  <c r="M835" i="1"/>
  <c r="K836" i="1"/>
  <c r="L836" i="1"/>
  <c r="M836" i="1"/>
  <c r="K837" i="1"/>
  <c r="L837" i="1"/>
  <c r="M837" i="1"/>
  <c r="K838" i="1"/>
  <c r="L838" i="1"/>
  <c r="M838" i="1"/>
  <c r="K839" i="1"/>
  <c r="L839" i="1"/>
  <c r="M839" i="1"/>
  <c r="K840" i="1"/>
  <c r="L840" i="1"/>
  <c r="M840" i="1"/>
  <c r="K841" i="1"/>
  <c r="L841" i="1"/>
  <c r="M841" i="1"/>
  <c r="K842" i="1"/>
  <c r="L842" i="1"/>
  <c r="M842" i="1"/>
  <c r="K843" i="1"/>
  <c r="L843" i="1"/>
  <c r="M843" i="1"/>
  <c r="K844" i="1"/>
  <c r="L844" i="1"/>
  <c r="M844" i="1"/>
  <c r="K845" i="1"/>
  <c r="L845" i="1"/>
  <c r="M845" i="1"/>
  <c r="K846" i="1"/>
  <c r="L846" i="1"/>
  <c r="M846" i="1"/>
  <c r="K847" i="1"/>
  <c r="L847" i="1"/>
  <c r="M847" i="1"/>
  <c r="K848" i="1"/>
  <c r="L848" i="1"/>
  <c r="M848" i="1"/>
  <c r="K849" i="1"/>
  <c r="L849" i="1"/>
  <c r="M849" i="1"/>
  <c r="K850" i="1"/>
  <c r="L850" i="1"/>
  <c r="M850" i="1"/>
  <c r="K851" i="1"/>
  <c r="L851" i="1"/>
  <c r="M851" i="1"/>
  <c r="K852" i="1"/>
  <c r="L852" i="1"/>
  <c r="M852" i="1"/>
  <c r="K853" i="1"/>
  <c r="L853" i="1"/>
  <c r="M853" i="1"/>
  <c r="K854" i="1"/>
  <c r="L854" i="1"/>
  <c r="M854" i="1"/>
  <c r="K855" i="1"/>
  <c r="L855" i="1"/>
  <c r="M855" i="1"/>
  <c r="K856" i="1"/>
  <c r="L856" i="1"/>
  <c r="M856" i="1"/>
  <c r="K857" i="1"/>
  <c r="L857" i="1"/>
  <c r="M857" i="1"/>
  <c r="K858" i="1"/>
  <c r="L858" i="1"/>
  <c r="M858" i="1"/>
  <c r="K859" i="1"/>
  <c r="L859" i="1"/>
  <c r="M859" i="1"/>
  <c r="K860" i="1"/>
  <c r="L860" i="1"/>
  <c r="M860" i="1"/>
  <c r="K861" i="1"/>
  <c r="L861" i="1"/>
  <c r="M861" i="1"/>
  <c r="K862" i="1"/>
  <c r="L862" i="1"/>
  <c r="M862" i="1"/>
  <c r="K863" i="1"/>
  <c r="L863" i="1"/>
  <c r="M863" i="1"/>
  <c r="K864" i="1"/>
  <c r="L864" i="1"/>
  <c r="M864" i="1"/>
  <c r="K865" i="1"/>
  <c r="L865" i="1"/>
  <c r="M865" i="1"/>
  <c r="K866" i="1"/>
  <c r="L866" i="1"/>
  <c r="M866" i="1"/>
  <c r="K867" i="1"/>
  <c r="L867" i="1"/>
  <c r="M867" i="1"/>
  <c r="K868" i="1"/>
  <c r="L868" i="1"/>
  <c r="M868" i="1"/>
  <c r="K869" i="1"/>
  <c r="L869" i="1"/>
  <c r="M869" i="1"/>
  <c r="K870" i="1"/>
  <c r="L870" i="1"/>
  <c r="M870" i="1"/>
  <c r="K871" i="1"/>
  <c r="L871" i="1"/>
  <c r="M871" i="1"/>
  <c r="K872" i="1"/>
  <c r="L872" i="1"/>
  <c r="M872" i="1"/>
  <c r="K873" i="1"/>
  <c r="L873" i="1"/>
  <c r="M873" i="1"/>
  <c r="K874" i="1"/>
  <c r="L874" i="1"/>
  <c r="M874" i="1"/>
  <c r="K875" i="1"/>
  <c r="L875" i="1"/>
  <c r="M875" i="1"/>
  <c r="K876" i="1"/>
  <c r="L876" i="1"/>
  <c r="M876" i="1"/>
  <c r="K877" i="1"/>
  <c r="L877" i="1"/>
  <c r="M877" i="1"/>
  <c r="K878" i="1"/>
  <c r="L878" i="1"/>
  <c r="M878" i="1"/>
  <c r="K879" i="1"/>
  <c r="L879" i="1"/>
  <c r="M879" i="1"/>
  <c r="K880" i="1"/>
  <c r="L880" i="1"/>
  <c r="M880" i="1"/>
  <c r="K881" i="1"/>
  <c r="L881" i="1"/>
  <c r="M881" i="1"/>
  <c r="K882" i="1"/>
  <c r="L882" i="1"/>
  <c r="M882" i="1"/>
  <c r="K883" i="1"/>
  <c r="L883" i="1"/>
  <c r="M883" i="1"/>
  <c r="K884" i="1"/>
  <c r="L884" i="1"/>
  <c r="M884" i="1"/>
  <c r="K885" i="1"/>
  <c r="L885" i="1"/>
  <c r="M885" i="1"/>
  <c r="K886" i="1"/>
  <c r="L886" i="1"/>
  <c r="M886" i="1"/>
  <c r="K887" i="1"/>
  <c r="L887" i="1"/>
  <c r="M887" i="1"/>
  <c r="K888" i="1"/>
  <c r="L888" i="1"/>
  <c r="M888" i="1"/>
  <c r="K889" i="1"/>
  <c r="L889" i="1"/>
  <c r="M889" i="1"/>
  <c r="K890" i="1"/>
  <c r="L890" i="1"/>
  <c r="M890" i="1"/>
  <c r="K891" i="1"/>
  <c r="L891" i="1"/>
  <c r="M891" i="1"/>
  <c r="K892" i="1"/>
  <c r="L892" i="1"/>
  <c r="M892" i="1"/>
  <c r="K893" i="1"/>
  <c r="L893" i="1"/>
  <c r="M893" i="1"/>
  <c r="K894" i="1"/>
  <c r="L894" i="1"/>
  <c r="M894" i="1"/>
  <c r="K895" i="1"/>
  <c r="L895" i="1"/>
  <c r="M895" i="1"/>
  <c r="K896" i="1"/>
  <c r="L896" i="1"/>
  <c r="M896" i="1"/>
  <c r="K897" i="1"/>
  <c r="L897" i="1"/>
  <c r="M897" i="1"/>
  <c r="K898" i="1"/>
  <c r="L898" i="1"/>
  <c r="M898" i="1"/>
  <c r="K899" i="1"/>
  <c r="L899" i="1"/>
  <c r="M899" i="1"/>
  <c r="K900" i="1"/>
  <c r="L900" i="1"/>
  <c r="M900" i="1"/>
  <c r="K901" i="1"/>
  <c r="L901" i="1"/>
  <c r="M901" i="1"/>
  <c r="K902" i="1"/>
  <c r="L902" i="1"/>
  <c r="M902" i="1"/>
  <c r="K903" i="1"/>
  <c r="L903" i="1"/>
  <c r="M903" i="1"/>
  <c r="K904" i="1"/>
  <c r="L904" i="1"/>
  <c r="M904" i="1"/>
  <c r="K905" i="1"/>
  <c r="L905" i="1"/>
  <c r="M905" i="1"/>
  <c r="K906" i="1"/>
  <c r="L906" i="1"/>
  <c r="M906" i="1"/>
  <c r="K907" i="1"/>
  <c r="L907" i="1"/>
  <c r="M907" i="1"/>
  <c r="K908" i="1"/>
  <c r="L908" i="1"/>
  <c r="M908" i="1"/>
  <c r="K909" i="1"/>
  <c r="L909" i="1"/>
  <c r="M909" i="1"/>
  <c r="K910" i="1"/>
  <c r="L910" i="1"/>
  <c r="M910" i="1"/>
  <c r="K911" i="1"/>
  <c r="L911" i="1"/>
  <c r="M911" i="1"/>
  <c r="K912" i="1"/>
  <c r="L912" i="1"/>
  <c r="M912" i="1"/>
  <c r="K913" i="1"/>
  <c r="L913" i="1"/>
  <c r="M913" i="1"/>
  <c r="K914" i="1"/>
  <c r="L914" i="1"/>
  <c r="M914" i="1"/>
  <c r="K915" i="1"/>
  <c r="L915" i="1"/>
  <c r="M915" i="1"/>
  <c r="K916" i="1"/>
  <c r="L916" i="1"/>
  <c r="M916" i="1"/>
  <c r="K917" i="1"/>
  <c r="L917" i="1"/>
  <c r="M917" i="1"/>
  <c r="K918" i="1"/>
  <c r="L918" i="1"/>
  <c r="M918" i="1"/>
  <c r="K919" i="1"/>
  <c r="L919" i="1"/>
  <c r="M919" i="1"/>
  <c r="K920" i="1"/>
  <c r="L920" i="1"/>
  <c r="M920" i="1"/>
  <c r="K921" i="1"/>
  <c r="L921" i="1"/>
  <c r="M921" i="1"/>
  <c r="K922" i="1"/>
  <c r="L922" i="1"/>
  <c r="M922" i="1"/>
  <c r="K923" i="1"/>
  <c r="L923" i="1"/>
  <c r="M923" i="1"/>
  <c r="K924" i="1"/>
  <c r="L924" i="1"/>
  <c r="M924" i="1"/>
  <c r="K925" i="1"/>
  <c r="L925" i="1"/>
  <c r="M925" i="1"/>
  <c r="K926" i="1"/>
  <c r="L926" i="1"/>
  <c r="M926" i="1"/>
  <c r="K927" i="1"/>
  <c r="L927" i="1"/>
  <c r="M927" i="1"/>
  <c r="K928" i="1"/>
  <c r="L928" i="1"/>
  <c r="M928" i="1"/>
  <c r="K929" i="1"/>
  <c r="L929" i="1"/>
  <c r="M929" i="1"/>
  <c r="K930" i="1"/>
  <c r="L930" i="1"/>
  <c r="M930" i="1"/>
  <c r="K931" i="1"/>
  <c r="L931" i="1"/>
  <c r="M931" i="1"/>
  <c r="K932" i="1"/>
  <c r="L932" i="1"/>
  <c r="M932" i="1"/>
  <c r="K933" i="1"/>
  <c r="L933" i="1"/>
  <c r="M933" i="1"/>
  <c r="K934" i="1"/>
  <c r="L934" i="1"/>
  <c r="M934" i="1"/>
  <c r="K935" i="1"/>
  <c r="L935" i="1"/>
  <c r="M935" i="1"/>
  <c r="K936" i="1"/>
  <c r="L936" i="1"/>
  <c r="M936" i="1"/>
  <c r="K937" i="1"/>
  <c r="L937" i="1"/>
  <c r="M937" i="1"/>
  <c r="K938" i="1"/>
  <c r="L938" i="1"/>
  <c r="M938" i="1"/>
  <c r="K939" i="1"/>
  <c r="L939" i="1"/>
  <c r="M939" i="1"/>
  <c r="K940" i="1"/>
  <c r="L940" i="1"/>
  <c r="M940" i="1"/>
  <c r="K941" i="1"/>
  <c r="L941" i="1"/>
  <c r="M941" i="1"/>
  <c r="K942" i="1"/>
  <c r="L942" i="1"/>
  <c r="M942" i="1"/>
  <c r="K943" i="1"/>
  <c r="L943" i="1"/>
  <c r="M943" i="1"/>
  <c r="K944" i="1"/>
  <c r="L944" i="1"/>
  <c r="M944" i="1"/>
  <c r="K945" i="1"/>
  <c r="L945" i="1"/>
  <c r="M945" i="1"/>
  <c r="K946" i="1"/>
  <c r="L946" i="1"/>
  <c r="M946" i="1"/>
  <c r="K947" i="1"/>
  <c r="L947" i="1"/>
  <c r="M947" i="1"/>
  <c r="K948" i="1"/>
  <c r="L948" i="1"/>
  <c r="M948" i="1"/>
  <c r="K949" i="1"/>
  <c r="L949" i="1"/>
  <c r="M949" i="1"/>
  <c r="K950" i="1"/>
  <c r="L950" i="1"/>
  <c r="M950" i="1"/>
  <c r="K951" i="1"/>
  <c r="L951" i="1"/>
  <c r="M951" i="1"/>
  <c r="K952" i="1"/>
  <c r="L952" i="1"/>
  <c r="M952" i="1"/>
  <c r="K953" i="1"/>
  <c r="L953" i="1"/>
  <c r="M953" i="1"/>
  <c r="K954" i="1"/>
  <c r="L954" i="1"/>
  <c r="M954" i="1"/>
  <c r="K955" i="1"/>
  <c r="L955" i="1"/>
  <c r="M955" i="1"/>
  <c r="K956" i="1"/>
  <c r="L956" i="1"/>
  <c r="M956" i="1"/>
  <c r="K957" i="1"/>
  <c r="L957" i="1"/>
  <c r="M957" i="1"/>
  <c r="K958" i="1"/>
  <c r="L958" i="1"/>
  <c r="M958" i="1"/>
  <c r="K959" i="1"/>
  <c r="L959" i="1"/>
  <c r="M959" i="1"/>
  <c r="K960" i="1"/>
  <c r="L960" i="1"/>
  <c r="M960" i="1"/>
  <c r="K961" i="1"/>
  <c r="L961" i="1"/>
  <c r="M961" i="1"/>
  <c r="K962" i="1"/>
  <c r="L962" i="1"/>
  <c r="M962" i="1"/>
  <c r="K963" i="1"/>
  <c r="L963" i="1"/>
  <c r="M963" i="1"/>
  <c r="K964" i="1"/>
  <c r="L964" i="1"/>
  <c r="M964" i="1"/>
  <c r="K965" i="1"/>
  <c r="L965" i="1"/>
  <c r="M965" i="1"/>
  <c r="K966" i="1"/>
  <c r="L966" i="1"/>
  <c r="M966" i="1"/>
  <c r="K967" i="1"/>
  <c r="L967" i="1"/>
  <c r="M967" i="1"/>
  <c r="K968" i="1"/>
  <c r="L968" i="1"/>
  <c r="M968" i="1"/>
  <c r="K969" i="1"/>
  <c r="L969" i="1"/>
  <c r="M969" i="1"/>
  <c r="K970" i="1"/>
  <c r="L970" i="1"/>
  <c r="M970" i="1"/>
  <c r="K971" i="1"/>
  <c r="L971" i="1"/>
  <c r="M971" i="1"/>
  <c r="K972" i="1"/>
  <c r="L972" i="1"/>
  <c r="M972" i="1"/>
  <c r="K973" i="1"/>
  <c r="L973" i="1"/>
  <c r="M973" i="1"/>
  <c r="K974" i="1"/>
  <c r="L974" i="1"/>
  <c r="M974" i="1"/>
  <c r="M975" i="1"/>
  <c r="K976" i="1"/>
  <c r="L976" i="1"/>
  <c r="M976" i="1"/>
  <c r="K977" i="1"/>
  <c r="L977" i="1"/>
  <c r="M977" i="1"/>
  <c r="K978" i="1"/>
  <c r="L978" i="1"/>
  <c r="M978" i="1"/>
  <c r="K979" i="1"/>
  <c r="L979" i="1"/>
  <c r="M979" i="1"/>
  <c r="K980" i="1"/>
  <c r="L980" i="1"/>
  <c r="M980" i="1"/>
  <c r="K981" i="1"/>
  <c r="L981" i="1"/>
  <c r="M981" i="1"/>
  <c r="K982" i="1"/>
  <c r="L982" i="1"/>
  <c r="M982" i="1"/>
  <c r="K983" i="1"/>
  <c r="L983" i="1"/>
  <c r="M983" i="1"/>
  <c r="K984" i="1"/>
  <c r="L984" i="1"/>
  <c r="M984" i="1"/>
  <c r="K985" i="1"/>
  <c r="L985" i="1"/>
  <c r="M985" i="1"/>
  <c r="K986" i="1"/>
  <c r="L986" i="1"/>
  <c r="M986" i="1"/>
  <c r="K987" i="1"/>
  <c r="L987" i="1"/>
  <c r="M987" i="1"/>
  <c r="K988" i="1"/>
  <c r="L988" i="1"/>
  <c r="M988" i="1"/>
  <c r="K989" i="1"/>
  <c r="L989" i="1"/>
  <c r="M989" i="1"/>
  <c r="K990" i="1"/>
  <c r="L990" i="1"/>
  <c r="M990" i="1"/>
  <c r="K991" i="1"/>
  <c r="L991" i="1"/>
  <c r="M991" i="1"/>
  <c r="K992" i="1"/>
  <c r="L992" i="1"/>
  <c r="M992" i="1"/>
  <c r="K993" i="1"/>
  <c r="L993" i="1"/>
  <c r="M993" i="1"/>
  <c r="K994" i="1"/>
  <c r="L994" i="1"/>
  <c r="M994" i="1"/>
  <c r="K995" i="1"/>
  <c r="L995" i="1"/>
  <c r="M995" i="1"/>
  <c r="K996" i="1"/>
  <c r="L996" i="1"/>
  <c r="M996" i="1"/>
  <c r="K997" i="1"/>
  <c r="L997" i="1"/>
  <c r="M997" i="1"/>
  <c r="K998" i="1"/>
  <c r="L998" i="1"/>
  <c r="M998" i="1"/>
  <c r="K999" i="1"/>
  <c r="L999" i="1"/>
  <c r="M999" i="1"/>
  <c r="K1000" i="1"/>
  <c r="L1000" i="1"/>
  <c r="M1000" i="1"/>
  <c r="K1001" i="1"/>
  <c r="L1001" i="1"/>
  <c r="M1001" i="1"/>
  <c r="K1002" i="1"/>
  <c r="L1002" i="1"/>
  <c r="M1002" i="1"/>
  <c r="K1003" i="1"/>
  <c r="L1003" i="1"/>
  <c r="M1003" i="1"/>
  <c r="K1004" i="1"/>
  <c r="L1004" i="1"/>
  <c r="M1004" i="1"/>
  <c r="K1005" i="1"/>
  <c r="L1005" i="1"/>
  <c r="M1005" i="1"/>
  <c r="K1006" i="1"/>
  <c r="L1006" i="1"/>
  <c r="M1006" i="1"/>
  <c r="K1007" i="1"/>
  <c r="L1007" i="1"/>
  <c r="M1007" i="1"/>
  <c r="K1008" i="1"/>
  <c r="L1008" i="1"/>
  <c r="M1008" i="1"/>
  <c r="K1009" i="1"/>
  <c r="L1009" i="1"/>
  <c r="M1009" i="1"/>
  <c r="K1010" i="1"/>
  <c r="L1010" i="1"/>
  <c r="M1010" i="1"/>
  <c r="K1011" i="1"/>
  <c r="L1011" i="1"/>
  <c r="M1011" i="1"/>
  <c r="K1012" i="1"/>
  <c r="L1012" i="1"/>
  <c r="M1012" i="1"/>
  <c r="K1013" i="1"/>
  <c r="L1013" i="1"/>
  <c r="M1013" i="1"/>
  <c r="K1014" i="1"/>
  <c r="L1014" i="1"/>
  <c r="M1014" i="1"/>
  <c r="K1015" i="1"/>
  <c r="L1015" i="1"/>
  <c r="M1015" i="1"/>
  <c r="K1016" i="1"/>
  <c r="L1016" i="1"/>
  <c r="M1016" i="1"/>
  <c r="K1017" i="1"/>
  <c r="L1017" i="1"/>
  <c r="M1017" i="1"/>
  <c r="K1018" i="1"/>
  <c r="L1018" i="1"/>
  <c r="M1018" i="1"/>
  <c r="K1019" i="1"/>
  <c r="L1019" i="1"/>
  <c r="M1019" i="1"/>
  <c r="K1020" i="1"/>
  <c r="L1020" i="1"/>
  <c r="M1020" i="1"/>
  <c r="K1021" i="1"/>
  <c r="L1021" i="1"/>
  <c r="M1021" i="1"/>
  <c r="K1022" i="1"/>
  <c r="L1022" i="1"/>
  <c r="M1022" i="1"/>
  <c r="K1023" i="1"/>
  <c r="L1023" i="1"/>
  <c r="M1023" i="1"/>
  <c r="K1024" i="1"/>
  <c r="L1024" i="1"/>
  <c r="M1024" i="1"/>
  <c r="K1025" i="1"/>
  <c r="L1025" i="1"/>
  <c r="M1025" i="1"/>
  <c r="K1026" i="1"/>
  <c r="L1026" i="1"/>
  <c r="M1026" i="1"/>
  <c r="K1027" i="1"/>
  <c r="L1027" i="1"/>
  <c r="M1027" i="1"/>
  <c r="K1028" i="1"/>
  <c r="L1028" i="1"/>
  <c r="M1028" i="1"/>
  <c r="K1029" i="1"/>
  <c r="L1029" i="1"/>
  <c r="M1029" i="1"/>
  <c r="K1030" i="1"/>
  <c r="L1030" i="1"/>
  <c r="M1030" i="1"/>
  <c r="K1031" i="1"/>
  <c r="L1031" i="1"/>
  <c r="M1031" i="1"/>
  <c r="K1032" i="1"/>
  <c r="L1032" i="1"/>
  <c r="M1032" i="1"/>
  <c r="K1033" i="1"/>
  <c r="L1033" i="1"/>
  <c r="M1033" i="1"/>
  <c r="K1034" i="1"/>
  <c r="L1034" i="1"/>
  <c r="M1034" i="1"/>
  <c r="K1035" i="1"/>
  <c r="L1035" i="1"/>
  <c r="M1035" i="1"/>
  <c r="K1036" i="1"/>
  <c r="L1036" i="1"/>
  <c r="M1036" i="1"/>
  <c r="K1037" i="1"/>
  <c r="L1037" i="1"/>
  <c r="M1037" i="1"/>
  <c r="K1038" i="1"/>
  <c r="L1038" i="1"/>
  <c r="M1038" i="1"/>
  <c r="K1039" i="1"/>
  <c r="L1039" i="1"/>
  <c r="M1039" i="1"/>
  <c r="K1040" i="1"/>
  <c r="L1040" i="1"/>
  <c r="M1040" i="1"/>
  <c r="K1041" i="1"/>
  <c r="L1041" i="1"/>
  <c r="M1041" i="1"/>
  <c r="K1042" i="1"/>
  <c r="L1042" i="1"/>
  <c r="M1042" i="1"/>
  <c r="K1043" i="1"/>
  <c r="L1043" i="1"/>
  <c r="M1043" i="1"/>
  <c r="K1044" i="1"/>
  <c r="L1044" i="1"/>
  <c r="M1044" i="1"/>
  <c r="K1045" i="1"/>
  <c r="L1045" i="1"/>
  <c r="M1045" i="1"/>
  <c r="K1046" i="1"/>
  <c r="L1046" i="1"/>
  <c r="M1046" i="1"/>
  <c r="K1047" i="1"/>
  <c r="L1047" i="1"/>
  <c r="M1047" i="1"/>
  <c r="K1048" i="1"/>
  <c r="L1048" i="1"/>
  <c r="M1048" i="1"/>
  <c r="K1049" i="1"/>
  <c r="L1049" i="1"/>
  <c r="M1049" i="1"/>
  <c r="K1050" i="1"/>
  <c r="L1050" i="1"/>
  <c r="M1050" i="1"/>
  <c r="K1051" i="1"/>
  <c r="L1051" i="1"/>
  <c r="M1051" i="1"/>
  <c r="K1052" i="1"/>
  <c r="L1052" i="1"/>
  <c r="M1052" i="1"/>
  <c r="K1053" i="1"/>
  <c r="L1053" i="1"/>
  <c r="M1053" i="1"/>
  <c r="K1054" i="1"/>
  <c r="L1054" i="1"/>
  <c r="M1054" i="1"/>
  <c r="K1055" i="1"/>
  <c r="L1055" i="1"/>
  <c r="M1055" i="1"/>
  <c r="K1056" i="1"/>
  <c r="L1056" i="1"/>
  <c r="M1056" i="1"/>
  <c r="K1057" i="1"/>
  <c r="L1057" i="1"/>
  <c r="M1057" i="1"/>
  <c r="K1058" i="1"/>
  <c r="L1058" i="1"/>
  <c r="M1058" i="1"/>
  <c r="K1059" i="1"/>
  <c r="L1059" i="1"/>
  <c r="M1059" i="1"/>
  <c r="K1060" i="1"/>
  <c r="L1060" i="1"/>
  <c r="M1060" i="1"/>
  <c r="K1061" i="1"/>
  <c r="L1061" i="1"/>
  <c r="M1061" i="1"/>
  <c r="K1062" i="1"/>
  <c r="L1062" i="1"/>
  <c r="M1062" i="1"/>
  <c r="K1063" i="1"/>
  <c r="L1063" i="1"/>
  <c r="M1063" i="1"/>
  <c r="K1064" i="1"/>
  <c r="L1064" i="1"/>
  <c r="M1064" i="1"/>
  <c r="K1065" i="1"/>
  <c r="L1065" i="1"/>
  <c r="M1065" i="1"/>
  <c r="K1066" i="1"/>
  <c r="L1066" i="1"/>
  <c r="M1066" i="1"/>
  <c r="K1067" i="1"/>
  <c r="L1067" i="1"/>
  <c r="M1067" i="1"/>
  <c r="K1068" i="1"/>
  <c r="L1068" i="1"/>
  <c r="M1068" i="1"/>
  <c r="K1069" i="1"/>
  <c r="L1069" i="1"/>
  <c r="M1069" i="1"/>
  <c r="K1070" i="1"/>
  <c r="L1070" i="1"/>
  <c r="M1070" i="1"/>
  <c r="K1071" i="1"/>
  <c r="L1071" i="1"/>
  <c r="M1071" i="1"/>
  <c r="K1072" i="1"/>
  <c r="L1072" i="1"/>
  <c r="M1072" i="1"/>
  <c r="K1073" i="1"/>
  <c r="L1073" i="1"/>
  <c r="M1073" i="1"/>
  <c r="K1074" i="1"/>
  <c r="L1074" i="1"/>
  <c r="M1074" i="1"/>
  <c r="K1075" i="1"/>
  <c r="L1075" i="1"/>
  <c r="M1075" i="1"/>
  <c r="K1076" i="1"/>
  <c r="L1076" i="1"/>
  <c r="M1076" i="1"/>
  <c r="K1077" i="1"/>
  <c r="L1077" i="1"/>
  <c r="M1077" i="1"/>
  <c r="K1078" i="1"/>
  <c r="L1078" i="1"/>
  <c r="M1078" i="1"/>
  <c r="K1079" i="1"/>
  <c r="L1079" i="1"/>
  <c r="M1079" i="1"/>
  <c r="K1080" i="1"/>
  <c r="L1080" i="1"/>
  <c r="M1080" i="1"/>
  <c r="K1081" i="1"/>
  <c r="L1081" i="1"/>
  <c r="M1081" i="1"/>
  <c r="K1082" i="1"/>
  <c r="L1082" i="1"/>
  <c r="M1082" i="1"/>
  <c r="K1083" i="1"/>
  <c r="L1083" i="1"/>
  <c r="M1083" i="1"/>
  <c r="K1084" i="1"/>
  <c r="L1084" i="1"/>
  <c r="M1084" i="1"/>
  <c r="K1085" i="1"/>
  <c r="L1085" i="1"/>
  <c r="M1085" i="1"/>
  <c r="K1086" i="1"/>
  <c r="L1086" i="1"/>
  <c r="M1086" i="1"/>
  <c r="K1087" i="1"/>
  <c r="L1087" i="1"/>
  <c r="M1087" i="1"/>
  <c r="K1088" i="1"/>
  <c r="L1088" i="1"/>
  <c r="M1088" i="1"/>
  <c r="K1089" i="1"/>
  <c r="L1089" i="1"/>
  <c r="M1089" i="1"/>
  <c r="K1090" i="1"/>
  <c r="L1090" i="1"/>
  <c r="M1090" i="1"/>
  <c r="K1091" i="1"/>
  <c r="L1091" i="1"/>
  <c r="M1091" i="1"/>
  <c r="K1092" i="1"/>
  <c r="L1092" i="1"/>
  <c r="M1092" i="1"/>
  <c r="K1093" i="1"/>
  <c r="L1093" i="1"/>
  <c r="M1093" i="1"/>
  <c r="K1094" i="1"/>
  <c r="L1094" i="1"/>
  <c r="M1094" i="1"/>
  <c r="K1095" i="1"/>
  <c r="L1095" i="1"/>
  <c r="M1095" i="1"/>
  <c r="K1096" i="1"/>
  <c r="L1096" i="1"/>
  <c r="M1096" i="1"/>
  <c r="K1097" i="1"/>
  <c r="L1097" i="1"/>
  <c r="M1097" i="1"/>
  <c r="K1098" i="1"/>
  <c r="L1098" i="1"/>
  <c r="M1098" i="1"/>
  <c r="K1099" i="1"/>
  <c r="L1099" i="1"/>
  <c r="M1099" i="1"/>
  <c r="K1100" i="1"/>
  <c r="L1100" i="1"/>
  <c r="M1100" i="1"/>
  <c r="K1101" i="1"/>
  <c r="L1101" i="1"/>
  <c r="M1101" i="1"/>
  <c r="K1102" i="1"/>
  <c r="L1102" i="1"/>
  <c r="M1102" i="1"/>
  <c r="K1103" i="1"/>
  <c r="L1103" i="1"/>
  <c r="M1103" i="1"/>
  <c r="K1104" i="1"/>
  <c r="L1104" i="1"/>
  <c r="M1104" i="1"/>
  <c r="K1105" i="1"/>
  <c r="L1105" i="1"/>
  <c r="M1105" i="1"/>
  <c r="K1106" i="1"/>
  <c r="L1106" i="1"/>
  <c r="M1106" i="1"/>
  <c r="K1107" i="1"/>
  <c r="L1107" i="1"/>
  <c r="M1107" i="1"/>
  <c r="K1108" i="1"/>
  <c r="L1108" i="1"/>
  <c r="M1108" i="1"/>
  <c r="K1109" i="1"/>
  <c r="L1109" i="1"/>
  <c r="M1109" i="1"/>
  <c r="K1110" i="1"/>
  <c r="L1110" i="1"/>
  <c r="M1110" i="1"/>
  <c r="K1111" i="1"/>
  <c r="L1111" i="1"/>
  <c r="M1111" i="1"/>
  <c r="K1112" i="1"/>
  <c r="L1112" i="1"/>
  <c r="M1112" i="1"/>
  <c r="K1113" i="1"/>
  <c r="L1113" i="1"/>
  <c r="M1113" i="1"/>
  <c r="K1114" i="1"/>
  <c r="L1114" i="1"/>
  <c r="M1114" i="1"/>
  <c r="K1115" i="1"/>
  <c r="L1115" i="1"/>
  <c r="M1115" i="1"/>
  <c r="K1116" i="1"/>
  <c r="L1116" i="1"/>
  <c r="M1116" i="1"/>
  <c r="K1117" i="1"/>
  <c r="L1117" i="1"/>
  <c r="M1117" i="1"/>
  <c r="K1118" i="1"/>
  <c r="L1118" i="1"/>
  <c r="M1118" i="1"/>
  <c r="K1119" i="1"/>
  <c r="L1119" i="1"/>
  <c r="M1119" i="1"/>
  <c r="K1120" i="1"/>
  <c r="L1120" i="1"/>
  <c r="M1120" i="1"/>
  <c r="K1121" i="1"/>
  <c r="L1121" i="1"/>
  <c r="M1121" i="1"/>
  <c r="K1122" i="1"/>
  <c r="L1122" i="1"/>
  <c r="M1122" i="1"/>
  <c r="K1123" i="1"/>
  <c r="L1123" i="1"/>
  <c r="M1123" i="1"/>
  <c r="K1124" i="1"/>
  <c r="L1124" i="1"/>
  <c r="M1124" i="1"/>
  <c r="K1125" i="1"/>
  <c r="L1125" i="1"/>
  <c r="M1125" i="1"/>
  <c r="K1126" i="1"/>
  <c r="L1126" i="1"/>
  <c r="M1126" i="1"/>
  <c r="K1127" i="1"/>
  <c r="L1127" i="1"/>
  <c r="M1127" i="1"/>
  <c r="K1128" i="1"/>
  <c r="L1128" i="1"/>
  <c r="M1128" i="1"/>
  <c r="K1129" i="1"/>
  <c r="L1129" i="1"/>
  <c r="M1129" i="1"/>
  <c r="K1130" i="1"/>
  <c r="L1130" i="1"/>
  <c r="M1130" i="1"/>
  <c r="K1131" i="1"/>
  <c r="L1131" i="1"/>
  <c r="M1131" i="1"/>
  <c r="K1132" i="1"/>
  <c r="L1132" i="1"/>
  <c r="M1132" i="1"/>
  <c r="K1133" i="1"/>
  <c r="L1133" i="1"/>
  <c r="M1133" i="1"/>
  <c r="K1134" i="1"/>
  <c r="L1134" i="1"/>
  <c r="M1134" i="1"/>
  <c r="K1135" i="1"/>
  <c r="L1135" i="1"/>
  <c r="M1135" i="1"/>
  <c r="K1136" i="1"/>
  <c r="L1136" i="1"/>
  <c r="M1136" i="1"/>
  <c r="K1137" i="1"/>
  <c r="L1137" i="1"/>
  <c r="M1137" i="1"/>
  <c r="K1138" i="1"/>
  <c r="L1138" i="1"/>
  <c r="M1138" i="1"/>
  <c r="K1139" i="1"/>
  <c r="L1139" i="1"/>
  <c r="M1139" i="1"/>
  <c r="K1140" i="1"/>
  <c r="L1140" i="1"/>
  <c r="M1140" i="1"/>
  <c r="K1141" i="1"/>
  <c r="L1141" i="1"/>
  <c r="M1141" i="1"/>
  <c r="K1142" i="1"/>
  <c r="L1142" i="1"/>
  <c r="M1142" i="1"/>
  <c r="K1143" i="1"/>
  <c r="L1143" i="1"/>
  <c r="M1143" i="1"/>
  <c r="K1144" i="1"/>
  <c r="L1144" i="1"/>
  <c r="M1144" i="1"/>
  <c r="K1145" i="1"/>
  <c r="L1145" i="1"/>
  <c r="M1145" i="1"/>
  <c r="K1146" i="1"/>
  <c r="L1146" i="1"/>
  <c r="M1146" i="1"/>
  <c r="K1147" i="1"/>
  <c r="L1147" i="1"/>
  <c r="M1147" i="1"/>
  <c r="K1148" i="1"/>
  <c r="L1148" i="1"/>
  <c r="M1148" i="1"/>
  <c r="K1149" i="1"/>
  <c r="L1149" i="1"/>
  <c r="M1149" i="1"/>
  <c r="K1150" i="1"/>
  <c r="L1150" i="1"/>
  <c r="M1150" i="1"/>
  <c r="K1151" i="1"/>
  <c r="L1151" i="1"/>
  <c r="M1151" i="1"/>
  <c r="K1152" i="1"/>
  <c r="L1152" i="1"/>
  <c r="M1152" i="1"/>
  <c r="K1153" i="1"/>
  <c r="L1153" i="1"/>
  <c r="M1153" i="1"/>
  <c r="K1154" i="1"/>
  <c r="L1154" i="1"/>
  <c r="M1154" i="1"/>
  <c r="K1155" i="1"/>
  <c r="L1155" i="1"/>
  <c r="M1155" i="1"/>
  <c r="K1156" i="1"/>
  <c r="L1156" i="1"/>
  <c r="M1156" i="1"/>
  <c r="K1157" i="1"/>
  <c r="L1157" i="1"/>
  <c r="M1157" i="1"/>
  <c r="K1158" i="1"/>
  <c r="L1158" i="1"/>
  <c r="M1158" i="1"/>
  <c r="K1159" i="1"/>
  <c r="L1159" i="1"/>
  <c r="M1159" i="1"/>
  <c r="K1160" i="1"/>
  <c r="L1160" i="1"/>
  <c r="M1160" i="1"/>
  <c r="K1161" i="1"/>
  <c r="L1161" i="1"/>
  <c r="M1161" i="1"/>
  <c r="K1162" i="1"/>
  <c r="L1162" i="1"/>
  <c r="M1162" i="1"/>
  <c r="K1163" i="1"/>
  <c r="L1163" i="1"/>
  <c r="M1163" i="1"/>
  <c r="K1164" i="1"/>
  <c r="L1164" i="1"/>
  <c r="M1164" i="1"/>
  <c r="K1165" i="1"/>
  <c r="L1165" i="1"/>
  <c r="M1165" i="1"/>
  <c r="K1166" i="1"/>
  <c r="L1166" i="1"/>
  <c r="M1166" i="1"/>
  <c r="K1167" i="1"/>
  <c r="L1167" i="1"/>
  <c r="M1167" i="1"/>
  <c r="K1168" i="1"/>
  <c r="L1168" i="1"/>
  <c r="M1168" i="1"/>
  <c r="K1169" i="1"/>
  <c r="L1169" i="1"/>
  <c r="M1169" i="1"/>
  <c r="K1170" i="1"/>
  <c r="L1170" i="1"/>
  <c r="M1170" i="1"/>
  <c r="K1171" i="1"/>
  <c r="L1171" i="1"/>
  <c r="M1171" i="1"/>
  <c r="K1172" i="1"/>
  <c r="L1172" i="1"/>
  <c r="M1172" i="1"/>
  <c r="K1173" i="1"/>
  <c r="L1173" i="1"/>
  <c r="M1173" i="1"/>
  <c r="K1174" i="1"/>
  <c r="L1174" i="1"/>
  <c r="M1174" i="1"/>
  <c r="K1175" i="1"/>
  <c r="L1175" i="1"/>
  <c r="M1175" i="1"/>
  <c r="K1176" i="1"/>
  <c r="L1176" i="1"/>
  <c r="M1176" i="1"/>
  <c r="K1177" i="1"/>
  <c r="L1177" i="1"/>
  <c r="M1177" i="1"/>
  <c r="K1178" i="1"/>
  <c r="L1178" i="1"/>
  <c r="M1178" i="1"/>
  <c r="K1179" i="1"/>
  <c r="L1179" i="1"/>
  <c r="M1179" i="1"/>
  <c r="K1180" i="1"/>
  <c r="L1180" i="1"/>
  <c r="M1180" i="1"/>
  <c r="K1181" i="1"/>
  <c r="L1181" i="1"/>
  <c r="M1181" i="1"/>
  <c r="K1182" i="1"/>
  <c r="L1182" i="1"/>
  <c r="M1182" i="1"/>
  <c r="K1183" i="1"/>
  <c r="L1183" i="1"/>
  <c r="M1183" i="1"/>
  <c r="K1184" i="1"/>
  <c r="L1184" i="1"/>
  <c r="M1184" i="1"/>
  <c r="K1185" i="1"/>
  <c r="L1185" i="1"/>
  <c r="M1185" i="1"/>
  <c r="K1186" i="1"/>
  <c r="L1186" i="1"/>
  <c r="M1186" i="1"/>
  <c r="K1187" i="1"/>
  <c r="L1187" i="1"/>
  <c r="M1187" i="1"/>
  <c r="K1188" i="1"/>
  <c r="L1188" i="1"/>
  <c r="M1188" i="1"/>
  <c r="K1189" i="1"/>
  <c r="L1189" i="1"/>
  <c r="M1189" i="1"/>
  <c r="K1190" i="1"/>
  <c r="L1190" i="1"/>
  <c r="M1190" i="1"/>
  <c r="K1191" i="1"/>
  <c r="L1191" i="1"/>
  <c r="M1191" i="1"/>
  <c r="K1192" i="1"/>
  <c r="L1192" i="1"/>
  <c r="M1192" i="1"/>
  <c r="K1193" i="1"/>
  <c r="L1193" i="1"/>
  <c r="M1193" i="1"/>
  <c r="K1194" i="1"/>
  <c r="L1194" i="1"/>
  <c r="M1194" i="1"/>
  <c r="K1195" i="1"/>
  <c r="L1195" i="1"/>
  <c r="M1195" i="1"/>
  <c r="K1196" i="1"/>
  <c r="L1196" i="1"/>
  <c r="M1196" i="1"/>
  <c r="K1197" i="1"/>
  <c r="L1197" i="1"/>
  <c r="M1197" i="1"/>
  <c r="K1198" i="1"/>
  <c r="L1198" i="1"/>
  <c r="M1198" i="1"/>
  <c r="K1199" i="1"/>
  <c r="L1199" i="1"/>
  <c r="M1199" i="1"/>
  <c r="K1200" i="1"/>
  <c r="L1200" i="1"/>
  <c r="M1200" i="1"/>
  <c r="K1201" i="1"/>
  <c r="L1201" i="1"/>
  <c r="M1201" i="1"/>
  <c r="K1202" i="1"/>
  <c r="L1202" i="1"/>
  <c r="M1202" i="1"/>
  <c r="K1203" i="1"/>
  <c r="L1203" i="1"/>
  <c r="M1203" i="1"/>
  <c r="K1204" i="1"/>
  <c r="L1204" i="1"/>
  <c r="M1204" i="1"/>
  <c r="K1205" i="1"/>
  <c r="L1205" i="1"/>
  <c r="M1205" i="1"/>
  <c r="K1206" i="1"/>
  <c r="L1206" i="1"/>
  <c r="M1206" i="1"/>
  <c r="K1207" i="1"/>
  <c r="L1207" i="1"/>
  <c r="M1207" i="1"/>
  <c r="K1208" i="1"/>
  <c r="L1208" i="1"/>
  <c r="M1208" i="1"/>
  <c r="K1209" i="1"/>
  <c r="L1209" i="1"/>
  <c r="M1209" i="1"/>
  <c r="K1210" i="1"/>
  <c r="L1210" i="1"/>
  <c r="M1210" i="1"/>
  <c r="K1211" i="1"/>
  <c r="L1211" i="1"/>
  <c r="M1211" i="1"/>
  <c r="K1212" i="1"/>
  <c r="L1212" i="1"/>
  <c r="M1212" i="1"/>
  <c r="K1213" i="1"/>
  <c r="L1213" i="1"/>
  <c r="M1213" i="1"/>
  <c r="K1214" i="1"/>
  <c r="L1214" i="1"/>
  <c r="M1214" i="1"/>
  <c r="K1215" i="1"/>
  <c r="L1215" i="1"/>
  <c r="M1215" i="1"/>
  <c r="K1216" i="1"/>
  <c r="L1216" i="1"/>
  <c r="M1216" i="1"/>
  <c r="K1217" i="1"/>
  <c r="L1217" i="1"/>
  <c r="M1217" i="1"/>
  <c r="K1218" i="1"/>
  <c r="L1218" i="1"/>
  <c r="M1218" i="1"/>
  <c r="K1219" i="1"/>
  <c r="L1219" i="1"/>
  <c r="M1219" i="1"/>
  <c r="K1220" i="1"/>
  <c r="L1220" i="1"/>
  <c r="M1220" i="1"/>
  <c r="K1221" i="1"/>
  <c r="L1221" i="1"/>
  <c r="M1221" i="1"/>
  <c r="K1222" i="1"/>
  <c r="L1222" i="1"/>
  <c r="M1222" i="1"/>
  <c r="K1223" i="1"/>
  <c r="L1223" i="1"/>
  <c r="M1223" i="1"/>
  <c r="K1224" i="1"/>
  <c r="L1224" i="1"/>
  <c r="M1224" i="1"/>
  <c r="K1225" i="1"/>
  <c r="L1225" i="1"/>
  <c r="M1225" i="1"/>
  <c r="K1226" i="1"/>
  <c r="L1226" i="1"/>
  <c r="M1226" i="1"/>
  <c r="K1227" i="1"/>
  <c r="L1227" i="1"/>
  <c r="M1227" i="1"/>
  <c r="K1228" i="1"/>
  <c r="L1228" i="1"/>
  <c r="M1228" i="1"/>
  <c r="K1229" i="1"/>
  <c r="L1229" i="1"/>
  <c r="M1229" i="1"/>
  <c r="K1230" i="1"/>
  <c r="L1230" i="1"/>
  <c r="M1230" i="1"/>
  <c r="K1231" i="1"/>
  <c r="L1231" i="1"/>
  <c r="M1231" i="1"/>
  <c r="K1232" i="1"/>
  <c r="L1232" i="1"/>
  <c r="M1232" i="1"/>
  <c r="K1233" i="1"/>
  <c r="L1233" i="1"/>
  <c r="M1233" i="1"/>
  <c r="K1234" i="1"/>
  <c r="L1234" i="1"/>
  <c r="M1234" i="1"/>
  <c r="K1235" i="1"/>
  <c r="L1235" i="1"/>
  <c r="M1235" i="1"/>
  <c r="K1236" i="1"/>
  <c r="L1236" i="1"/>
  <c r="M1236" i="1"/>
  <c r="K1237" i="1"/>
  <c r="L1237" i="1"/>
  <c r="M1237" i="1"/>
  <c r="K1238" i="1"/>
  <c r="L1238" i="1"/>
  <c r="M1238" i="1"/>
  <c r="K1239" i="1"/>
  <c r="L1239" i="1"/>
  <c r="M1239" i="1"/>
  <c r="K1240" i="1"/>
  <c r="L1240" i="1"/>
  <c r="M1240" i="1"/>
  <c r="K1241" i="1"/>
  <c r="L1241" i="1"/>
  <c r="M1241" i="1"/>
  <c r="K1242" i="1"/>
  <c r="L1242" i="1"/>
  <c r="M1242" i="1"/>
  <c r="K1243" i="1"/>
  <c r="L1243" i="1"/>
  <c r="M1243" i="1"/>
  <c r="K1244" i="1"/>
  <c r="L1244" i="1"/>
  <c r="M1244" i="1"/>
  <c r="K1245" i="1"/>
  <c r="L1245" i="1"/>
  <c r="M1245" i="1"/>
  <c r="K1246" i="1"/>
  <c r="L1246" i="1"/>
  <c r="M1246" i="1"/>
  <c r="K1247" i="1"/>
  <c r="L1247" i="1"/>
  <c r="M1247" i="1"/>
  <c r="K1248" i="1"/>
  <c r="L1248" i="1"/>
  <c r="M1248" i="1"/>
  <c r="K1249" i="1"/>
  <c r="L1249" i="1"/>
  <c r="M1249" i="1"/>
  <c r="K1250" i="1"/>
  <c r="L1250" i="1"/>
  <c r="M1250" i="1"/>
  <c r="K1251" i="1"/>
  <c r="L1251" i="1"/>
  <c r="M1251" i="1"/>
  <c r="K1252" i="1"/>
  <c r="L1252" i="1"/>
  <c r="M1252" i="1"/>
  <c r="K1253" i="1"/>
  <c r="L1253" i="1"/>
  <c r="M1253" i="1"/>
  <c r="K1254" i="1"/>
  <c r="L1254" i="1"/>
  <c r="M1254" i="1"/>
  <c r="K1255" i="1"/>
  <c r="L1255" i="1"/>
  <c r="M1255" i="1"/>
  <c r="K1256" i="1"/>
  <c r="L1256" i="1"/>
  <c r="M1256" i="1"/>
  <c r="K1257" i="1"/>
  <c r="L1257" i="1"/>
  <c r="M1257" i="1"/>
  <c r="K1258" i="1"/>
  <c r="L1258" i="1"/>
  <c r="M1258" i="1"/>
  <c r="K1259" i="1"/>
  <c r="L1259" i="1"/>
  <c r="M1259" i="1"/>
  <c r="K1260" i="1"/>
  <c r="L1260" i="1"/>
  <c r="M1260" i="1"/>
  <c r="K1261" i="1"/>
  <c r="L1261" i="1"/>
  <c r="M1261" i="1"/>
  <c r="K1262" i="1"/>
  <c r="L1262" i="1"/>
  <c r="M1262" i="1"/>
  <c r="K1263" i="1"/>
  <c r="L1263" i="1"/>
  <c r="M1263" i="1"/>
  <c r="K1264" i="1"/>
  <c r="L1264" i="1"/>
  <c r="M1264" i="1"/>
  <c r="K1265" i="1"/>
  <c r="L1265" i="1"/>
  <c r="M1265" i="1"/>
  <c r="K1266" i="1"/>
  <c r="L1266" i="1"/>
  <c r="M1266" i="1"/>
  <c r="K1267" i="1"/>
  <c r="L1267" i="1"/>
  <c r="M1267" i="1"/>
  <c r="K1268" i="1"/>
  <c r="L1268" i="1"/>
  <c r="M1268" i="1"/>
  <c r="K1269" i="1"/>
  <c r="L1269" i="1"/>
  <c r="M1269" i="1"/>
  <c r="K1270" i="1"/>
  <c r="L1270" i="1"/>
  <c r="M1270" i="1"/>
  <c r="K1271" i="1"/>
  <c r="L1271" i="1"/>
  <c r="M1271" i="1"/>
  <c r="K1272" i="1"/>
  <c r="L1272" i="1"/>
  <c r="M1272" i="1"/>
  <c r="K1273" i="1"/>
  <c r="L1273" i="1"/>
  <c r="M1273" i="1"/>
  <c r="K1274" i="1"/>
  <c r="L1274" i="1"/>
  <c r="M1274" i="1"/>
  <c r="K1275" i="1"/>
  <c r="L1275" i="1"/>
  <c r="M1275" i="1"/>
  <c r="K1276" i="1"/>
  <c r="L1276" i="1"/>
  <c r="M1276" i="1"/>
  <c r="K1277" i="1"/>
  <c r="L1277" i="1"/>
  <c r="M1277" i="1"/>
  <c r="K1278" i="1"/>
  <c r="L1278" i="1"/>
  <c r="M1278" i="1"/>
  <c r="K1279" i="1"/>
  <c r="L1279" i="1"/>
  <c r="M1279" i="1"/>
  <c r="K1280" i="1"/>
  <c r="L1280" i="1"/>
  <c r="M1280" i="1"/>
  <c r="K1281" i="1"/>
  <c r="L1281" i="1"/>
  <c r="M1281" i="1"/>
  <c r="K1282" i="1"/>
  <c r="L1282" i="1"/>
  <c r="M1282" i="1"/>
  <c r="K1283" i="1"/>
  <c r="L1283" i="1"/>
  <c r="M1283" i="1"/>
  <c r="K1284" i="1"/>
  <c r="L1284" i="1"/>
  <c r="M1284" i="1"/>
  <c r="K1285" i="1"/>
  <c r="L1285" i="1"/>
  <c r="M1285" i="1"/>
  <c r="K1286" i="1"/>
  <c r="L1286" i="1"/>
  <c r="M1286" i="1"/>
  <c r="K1287" i="1"/>
  <c r="L1287" i="1"/>
  <c r="M1287" i="1"/>
  <c r="K1288" i="1"/>
  <c r="L1288" i="1"/>
  <c r="M1288" i="1"/>
  <c r="K1289" i="1"/>
  <c r="L1289" i="1"/>
  <c r="M1289" i="1"/>
  <c r="K1290" i="1"/>
  <c r="L1290" i="1"/>
  <c r="M1290" i="1"/>
  <c r="K1291" i="1"/>
  <c r="L1291" i="1"/>
  <c r="M1291" i="1"/>
  <c r="K1292" i="1"/>
  <c r="L1292" i="1"/>
  <c r="M1292" i="1"/>
  <c r="K1293" i="1"/>
  <c r="L1293" i="1"/>
  <c r="M1293" i="1"/>
  <c r="K1294" i="1"/>
  <c r="L1294" i="1"/>
  <c r="M1294" i="1"/>
  <c r="K1295" i="1"/>
  <c r="L1295" i="1"/>
  <c r="M1295" i="1"/>
  <c r="K1296" i="1"/>
  <c r="L1296" i="1"/>
  <c r="M1296" i="1"/>
  <c r="K1297" i="1"/>
  <c r="L1297" i="1"/>
  <c r="M1297" i="1"/>
  <c r="K1298" i="1"/>
  <c r="L1298" i="1"/>
  <c r="M1298" i="1"/>
  <c r="K1299" i="1"/>
  <c r="L1299" i="1"/>
  <c r="M1299" i="1"/>
  <c r="K1300" i="1"/>
  <c r="L1300" i="1"/>
  <c r="M1300" i="1"/>
  <c r="K1301" i="1"/>
  <c r="L1301" i="1"/>
  <c r="M1301" i="1"/>
  <c r="K1302" i="1"/>
  <c r="L1302" i="1"/>
  <c r="M1302" i="1"/>
  <c r="K1303" i="1"/>
  <c r="L1303" i="1"/>
  <c r="M1303" i="1"/>
  <c r="K1304" i="1"/>
  <c r="L1304" i="1"/>
  <c r="M1304" i="1"/>
  <c r="K1305" i="1"/>
  <c r="L1305" i="1"/>
  <c r="M1305" i="1"/>
  <c r="K1306" i="1"/>
  <c r="L1306" i="1"/>
  <c r="M1306" i="1"/>
  <c r="K1307" i="1"/>
  <c r="L1307" i="1"/>
  <c r="M1307" i="1"/>
  <c r="K1308" i="1"/>
  <c r="L1308" i="1"/>
  <c r="M1308" i="1"/>
  <c r="K1309" i="1"/>
  <c r="L1309" i="1"/>
  <c r="M1309" i="1"/>
  <c r="K1310" i="1"/>
  <c r="L1310" i="1"/>
  <c r="M1310" i="1"/>
  <c r="K1311" i="1"/>
  <c r="L1311" i="1"/>
  <c r="M1311" i="1"/>
  <c r="K1312" i="1"/>
  <c r="L1312" i="1"/>
  <c r="M1312" i="1"/>
  <c r="K1313" i="1"/>
  <c r="L1313" i="1"/>
  <c r="M1313" i="1"/>
  <c r="K1314" i="1"/>
  <c r="L1314" i="1"/>
  <c r="M1314" i="1"/>
  <c r="K1315" i="1"/>
  <c r="L1315" i="1"/>
  <c r="M1315" i="1"/>
  <c r="K1316" i="1"/>
  <c r="L1316" i="1"/>
  <c r="M1316" i="1"/>
  <c r="K1317" i="1"/>
  <c r="L1317" i="1"/>
  <c r="M1317" i="1"/>
  <c r="K1318" i="1"/>
  <c r="L1318" i="1"/>
  <c r="M1318" i="1"/>
  <c r="K1319" i="1"/>
  <c r="L1319" i="1"/>
  <c r="M1319" i="1"/>
  <c r="K1320" i="1"/>
  <c r="L1320" i="1"/>
  <c r="M1320" i="1"/>
  <c r="K1321" i="1"/>
  <c r="L1321" i="1"/>
  <c r="M1321" i="1"/>
  <c r="K1322" i="1"/>
  <c r="L1322" i="1"/>
  <c r="M1322" i="1"/>
  <c r="K1323" i="1"/>
  <c r="L1323" i="1"/>
  <c r="M1323" i="1"/>
  <c r="K1324" i="1"/>
  <c r="L1324" i="1"/>
  <c r="M1324" i="1"/>
  <c r="K1325" i="1"/>
  <c r="L1325" i="1"/>
  <c r="M1325" i="1"/>
  <c r="K1326" i="1"/>
  <c r="L1326" i="1"/>
  <c r="M1326" i="1"/>
  <c r="K1327" i="1"/>
  <c r="L1327" i="1"/>
  <c r="M1327" i="1"/>
  <c r="K1328" i="1"/>
  <c r="L1328" i="1"/>
  <c r="M1328" i="1"/>
  <c r="K1329" i="1"/>
  <c r="L1329" i="1"/>
  <c r="M1329" i="1"/>
  <c r="K1330" i="1"/>
  <c r="L1330" i="1"/>
  <c r="M1330" i="1"/>
  <c r="K1331" i="1"/>
  <c r="L1331" i="1"/>
  <c r="M1331" i="1"/>
  <c r="K1332" i="1"/>
  <c r="L1332" i="1"/>
  <c r="M1332" i="1"/>
  <c r="K1333" i="1"/>
  <c r="L1333" i="1"/>
  <c r="M1333" i="1"/>
  <c r="K1334" i="1"/>
  <c r="L1334" i="1"/>
  <c r="M1334" i="1"/>
  <c r="K1335" i="1"/>
  <c r="L1335" i="1"/>
  <c r="M1335" i="1"/>
  <c r="K1336" i="1"/>
  <c r="L1336" i="1"/>
  <c r="M1336" i="1"/>
  <c r="K1337" i="1"/>
  <c r="L1337" i="1"/>
  <c r="M1337" i="1"/>
  <c r="K1338" i="1"/>
  <c r="L1338" i="1"/>
  <c r="M1338" i="1"/>
  <c r="K1339" i="1"/>
  <c r="L1339" i="1"/>
  <c r="M1339" i="1"/>
  <c r="K1340" i="1"/>
  <c r="L1340" i="1"/>
  <c r="M1340" i="1"/>
  <c r="K1341" i="1"/>
  <c r="L1341" i="1"/>
  <c r="M1341" i="1"/>
  <c r="K1342" i="1"/>
  <c r="L1342" i="1"/>
  <c r="M1342" i="1"/>
  <c r="K1343" i="1"/>
  <c r="L1343" i="1"/>
  <c r="M1343" i="1"/>
  <c r="K1344" i="1"/>
  <c r="L1344" i="1"/>
  <c r="M1344" i="1"/>
  <c r="K1345" i="1"/>
  <c r="L1345" i="1"/>
  <c r="M1345" i="1"/>
  <c r="K1346" i="1"/>
  <c r="L1346" i="1"/>
  <c r="M1346" i="1"/>
  <c r="K1347" i="1"/>
  <c r="L1347" i="1"/>
  <c r="M1347" i="1"/>
  <c r="K1348" i="1"/>
  <c r="L1348" i="1"/>
  <c r="M1348" i="1"/>
  <c r="K1349" i="1"/>
  <c r="L1349" i="1"/>
  <c r="M1349" i="1"/>
  <c r="K1350" i="1"/>
  <c r="L1350" i="1"/>
  <c r="M1350" i="1"/>
  <c r="K1351" i="1"/>
  <c r="L1351" i="1"/>
  <c r="M1351" i="1"/>
  <c r="K1352" i="1"/>
  <c r="L1352" i="1"/>
  <c r="M1352" i="1"/>
  <c r="K1353" i="1"/>
  <c r="L1353" i="1"/>
  <c r="M1353" i="1"/>
  <c r="K1354" i="1"/>
  <c r="L1354" i="1"/>
  <c r="M1354" i="1"/>
  <c r="K1355" i="1"/>
  <c r="L1355" i="1"/>
  <c r="M1355" i="1"/>
  <c r="K1356" i="1"/>
  <c r="L1356" i="1"/>
  <c r="M1356" i="1"/>
  <c r="K1357" i="1"/>
  <c r="L1357" i="1"/>
  <c r="M1357" i="1"/>
  <c r="K1358" i="1"/>
  <c r="L1358" i="1"/>
  <c r="M1358" i="1"/>
  <c r="K1359" i="1"/>
  <c r="L1359" i="1"/>
  <c r="M1359" i="1"/>
  <c r="K1360" i="1"/>
  <c r="L1360" i="1"/>
  <c r="M1360" i="1"/>
  <c r="K1361" i="1"/>
  <c r="L1361" i="1"/>
  <c r="M1361" i="1"/>
  <c r="K1362" i="1"/>
  <c r="L1362" i="1"/>
  <c r="M1362" i="1"/>
  <c r="K1363" i="1"/>
  <c r="L1363" i="1"/>
  <c r="M1363" i="1"/>
  <c r="K1364" i="1"/>
  <c r="L1364" i="1"/>
  <c r="M1364" i="1"/>
  <c r="K1365" i="1"/>
  <c r="L1365" i="1"/>
  <c r="M1365" i="1"/>
  <c r="K1366" i="1"/>
  <c r="L1366" i="1"/>
  <c r="M1366" i="1"/>
  <c r="K1367" i="1"/>
  <c r="L1367" i="1"/>
  <c r="M1367" i="1"/>
  <c r="K1368" i="1"/>
  <c r="L1368" i="1"/>
  <c r="M1368" i="1"/>
  <c r="K1369" i="1"/>
  <c r="L1369" i="1"/>
  <c r="M1369" i="1"/>
  <c r="K1370" i="1"/>
  <c r="L1370" i="1"/>
  <c r="M1370" i="1"/>
  <c r="K1371" i="1"/>
  <c r="L1371" i="1"/>
  <c r="M1371" i="1"/>
  <c r="K1372" i="1"/>
  <c r="L1372" i="1"/>
  <c r="M1372" i="1"/>
  <c r="K1373" i="1"/>
  <c r="L1373" i="1"/>
  <c r="M1373" i="1"/>
  <c r="K1374" i="1"/>
  <c r="L1374" i="1"/>
  <c r="M1374" i="1"/>
  <c r="K1375" i="1"/>
  <c r="L1375" i="1"/>
  <c r="M1375" i="1"/>
  <c r="K1376" i="1"/>
  <c r="L1376" i="1"/>
  <c r="M1376" i="1"/>
  <c r="K1377" i="1"/>
  <c r="L1377" i="1"/>
  <c r="M1377" i="1"/>
  <c r="K1378" i="1"/>
  <c r="L1378" i="1"/>
  <c r="M1378" i="1"/>
  <c r="K1379" i="1"/>
  <c r="L1379" i="1"/>
  <c r="M1379" i="1"/>
  <c r="K1380" i="1"/>
  <c r="L1380" i="1"/>
  <c r="M1380" i="1"/>
  <c r="K1381" i="1"/>
  <c r="L1381" i="1"/>
  <c r="M1381" i="1"/>
  <c r="K1382" i="1"/>
  <c r="L1382" i="1"/>
  <c r="M1382" i="1"/>
  <c r="K1383" i="1"/>
  <c r="L1383" i="1"/>
  <c r="M1383" i="1"/>
  <c r="K1384" i="1"/>
  <c r="L1384" i="1"/>
  <c r="M1384" i="1"/>
  <c r="K1385" i="1"/>
  <c r="L1385" i="1"/>
  <c r="M1385" i="1"/>
  <c r="K1386" i="1"/>
  <c r="L1386" i="1"/>
  <c r="M1386" i="1"/>
  <c r="K1387" i="1"/>
  <c r="L1387" i="1"/>
  <c r="M1387" i="1"/>
  <c r="K1388" i="1"/>
  <c r="L1388" i="1"/>
  <c r="M1388" i="1"/>
  <c r="K1389" i="1"/>
  <c r="L1389" i="1"/>
  <c r="M1389" i="1"/>
  <c r="K1390" i="1"/>
  <c r="L1390" i="1"/>
  <c r="M1390" i="1"/>
  <c r="K1391" i="1"/>
  <c r="L1391" i="1"/>
  <c r="M1391" i="1"/>
  <c r="K1392" i="1"/>
  <c r="L1392" i="1"/>
  <c r="M1392" i="1"/>
  <c r="K1393" i="1"/>
  <c r="L1393" i="1"/>
  <c r="M1393" i="1"/>
  <c r="K1394" i="1"/>
  <c r="L1394" i="1"/>
  <c r="M1394" i="1"/>
  <c r="K1395" i="1"/>
  <c r="L1395" i="1"/>
  <c r="M1395" i="1"/>
  <c r="K1396" i="1"/>
  <c r="L1396" i="1"/>
  <c r="M1396" i="1"/>
  <c r="K1397" i="1"/>
  <c r="L1397" i="1"/>
  <c r="M1397" i="1"/>
  <c r="K1398" i="1"/>
  <c r="L1398" i="1"/>
  <c r="M1398" i="1"/>
  <c r="K1399" i="1"/>
  <c r="L1399" i="1"/>
  <c r="M1399" i="1"/>
  <c r="K1400" i="1"/>
  <c r="L1400" i="1"/>
  <c r="M1400" i="1"/>
  <c r="K1401" i="1"/>
  <c r="L1401" i="1"/>
  <c r="M1401" i="1"/>
  <c r="K1402" i="1"/>
  <c r="L1402" i="1"/>
  <c r="M1402" i="1"/>
  <c r="K1403" i="1"/>
  <c r="L1403" i="1"/>
  <c r="M1403" i="1"/>
  <c r="K1404" i="1"/>
  <c r="L1404" i="1"/>
  <c r="M1404" i="1"/>
  <c r="K1405" i="1"/>
  <c r="L1405" i="1"/>
  <c r="M1405" i="1"/>
  <c r="K1406" i="1"/>
  <c r="L1406" i="1"/>
  <c r="M1406" i="1"/>
  <c r="K1407" i="1"/>
  <c r="L1407" i="1"/>
  <c r="M1407" i="1"/>
  <c r="K1408" i="1"/>
  <c r="L1408" i="1"/>
  <c r="M1408" i="1"/>
  <c r="K1409" i="1"/>
  <c r="L1409" i="1"/>
  <c r="M1409" i="1"/>
  <c r="K1410" i="1"/>
  <c r="L1410" i="1"/>
  <c r="M1410" i="1"/>
  <c r="K1411" i="1"/>
  <c r="L1411" i="1"/>
  <c r="M1411" i="1"/>
  <c r="K1412" i="1"/>
  <c r="L1412" i="1"/>
  <c r="M1412" i="1"/>
  <c r="K1413" i="1"/>
  <c r="L1413" i="1"/>
  <c r="M1413" i="1"/>
  <c r="K1414" i="1"/>
  <c r="L1414" i="1"/>
  <c r="M1414" i="1"/>
  <c r="K1415" i="1"/>
  <c r="L1415" i="1"/>
  <c r="M1415" i="1"/>
  <c r="K1416" i="1"/>
  <c r="L1416" i="1"/>
  <c r="M1416" i="1"/>
  <c r="K1417" i="1"/>
  <c r="L1417" i="1"/>
  <c r="M1417" i="1"/>
  <c r="K1418" i="1"/>
  <c r="L1418" i="1"/>
  <c r="M1418" i="1"/>
  <c r="K1419" i="1"/>
  <c r="L1419" i="1"/>
  <c r="M1419" i="1"/>
  <c r="K1420" i="1"/>
  <c r="L1420" i="1"/>
  <c r="M1420" i="1"/>
  <c r="K1421" i="1"/>
  <c r="L1421" i="1"/>
  <c r="M1421" i="1"/>
  <c r="K1422" i="1"/>
  <c r="L1422" i="1"/>
  <c r="M1422" i="1"/>
  <c r="K1423" i="1"/>
  <c r="L1423" i="1"/>
  <c r="M1423" i="1"/>
  <c r="K1424" i="1"/>
  <c r="L1424" i="1"/>
  <c r="M1424" i="1"/>
  <c r="K1425" i="1"/>
  <c r="L1425" i="1"/>
  <c r="M1425" i="1"/>
  <c r="K1426" i="1"/>
  <c r="L1426" i="1"/>
  <c r="M1426" i="1"/>
  <c r="K1427" i="1"/>
  <c r="L1427" i="1"/>
  <c r="M1427" i="1"/>
  <c r="K1428" i="1"/>
  <c r="L1428" i="1"/>
  <c r="M1428" i="1"/>
  <c r="K1429" i="1"/>
  <c r="L1429" i="1"/>
  <c r="M1429" i="1"/>
  <c r="K1430" i="1"/>
  <c r="L1430" i="1"/>
  <c r="M1430" i="1"/>
  <c r="K1431" i="1"/>
  <c r="L1431" i="1"/>
  <c r="M1431" i="1"/>
  <c r="K1432" i="1"/>
  <c r="L1432" i="1"/>
  <c r="M1432" i="1"/>
  <c r="K1433" i="1"/>
  <c r="L1433" i="1"/>
  <c r="M1433" i="1"/>
  <c r="K1434" i="1"/>
  <c r="L1434" i="1"/>
  <c r="M1434" i="1"/>
  <c r="K1435" i="1"/>
  <c r="L1435" i="1"/>
  <c r="M1435" i="1"/>
  <c r="K1436" i="1"/>
  <c r="L1436" i="1"/>
  <c r="M1436" i="1"/>
  <c r="K1437" i="1"/>
  <c r="L1437" i="1"/>
  <c r="M1437" i="1"/>
  <c r="K1438" i="1"/>
  <c r="L1438" i="1"/>
  <c r="M1438" i="1"/>
  <c r="K1439" i="1"/>
  <c r="L1439" i="1"/>
  <c r="M1439" i="1"/>
  <c r="K1440" i="1"/>
  <c r="L1440" i="1"/>
  <c r="M1440" i="1"/>
  <c r="K1441" i="1"/>
  <c r="L1441" i="1"/>
  <c r="M1441" i="1"/>
  <c r="K1442" i="1"/>
  <c r="L1442" i="1"/>
  <c r="M1442" i="1"/>
  <c r="K1443" i="1"/>
  <c r="L1443" i="1"/>
  <c r="M1443" i="1"/>
  <c r="K1444" i="1"/>
  <c r="L1444" i="1"/>
  <c r="M1444" i="1"/>
  <c r="K1445" i="1"/>
  <c r="L1445" i="1"/>
  <c r="M1445" i="1"/>
  <c r="K1446" i="1"/>
  <c r="L1446" i="1"/>
  <c r="M1446" i="1"/>
  <c r="K1447" i="1"/>
  <c r="L1447" i="1"/>
  <c r="M1447" i="1"/>
  <c r="K1448" i="1"/>
  <c r="L1448" i="1"/>
  <c r="M1448" i="1"/>
  <c r="K1449" i="1"/>
  <c r="L1449" i="1"/>
  <c r="M1449" i="1"/>
  <c r="K1450" i="1"/>
  <c r="L1450" i="1"/>
  <c r="M1450" i="1"/>
  <c r="K1451" i="1"/>
  <c r="L1451" i="1"/>
  <c r="M1451" i="1"/>
  <c r="K1452" i="1"/>
  <c r="L1452" i="1"/>
  <c r="M1452" i="1"/>
  <c r="K1453" i="1"/>
  <c r="L1453" i="1"/>
  <c r="M1453" i="1"/>
  <c r="K1454" i="1"/>
  <c r="L1454" i="1"/>
  <c r="M1454" i="1"/>
  <c r="K1455" i="1"/>
  <c r="L1455" i="1"/>
  <c r="M1455" i="1"/>
  <c r="K1456" i="1"/>
  <c r="L1456" i="1"/>
  <c r="M1456" i="1"/>
  <c r="K1457" i="1"/>
  <c r="L1457" i="1"/>
  <c r="M1457" i="1"/>
  <c r="K1458" i="1"/>
  <c r="L1458" i="1"/>
  <c r="M1458" i="1"/>
  <c r="K1459" i="1"/>
  <c r="L1459" i="1"/>
  <c r="M1459" i="1"/>
  <c r="K1460" i="1"/>
  <c r="L1460" i="1"/>
  <c r="M1460" i="1"/>
  <c r="K1461" i="1"/>
  <c r="L1461" i="1"/>
  <c r="M1461" i="1"/>
  <c r="K1462" i="1"/>
  <c r="L1462" i="1"/>
  <c r="M1462" i="1"/>
  <c r="K1463" i="1"/>
  <c r="L1463" i="1"/>
  <c r="M1463" i="1"/>
  <c r="K1464" i="1"/>
  <c r="L1464" i="1"/>
  <c r="M1464" i="1"/>
  <c r="K1465" i="1"/>
  <c r="L1465" i="1"/>
  <c r="M1465" i="1"/>
  <c r="K1466" i="1"/>
  <c r="L1466" i="1"/>
  <c r="M1466" i="1"/>
  <c r="K1467" i="1"/>
  <c r="L1467" i="1"/>
  <c r="M1467" i="1"/>
  <c r="K1468" i="1"/>
  <c r="L1468" i="1"/>
  <c r="M1468" i="1"/>
  <c r="K1469" i="1"/>
  <c r="L1469" i="1"/>
  <c r="M1469" i="1"/>
  <c r="K1470" i="1"/>
  <c r="L1470" i="1"/>
  <c r="M1470" i="1"/>
  <c r="K1471" i="1"/>
  <c r="L1471" i="1"/>
  <c r="M1471" i="1"/>
  <c r="K1472" i="1"/>
  <c r="L1472" i="1"/>
  <c r="M1472" i="1"/>
  <c r="K1473" i="1"/>
  <c r="L1473" i="1"/>
  <c r="M1473" i="1"/>
  <c r="K1474" i="1"/>
  <c r="L1474" i="1"/>
  <c r="M1474" i="1"/>
  <c r="K1475" i="1"/>
  <c r="L1475" i="1"/>
  <c r="M1475" i="1"/>
  <c r="K1476" i="1"/>
  <c r="L1476" i="1"/>
  <c r="M1476" i="1"/>
  <c r="K1477" i="1"/>
  <c r="L1477" i="1"/>
  <c r="M1477" i="1"/>
  <c r="K1478" i="1"/>
  <c r="L1478" i="1"/>
  <c r="M1478" i="1"/>
  <c r="K1479" i="1"/>
  <c r="L1479" i="1"/>
  <c r="M1479" i="1"/>
  <c r="K1480" i="1"/>
  <c r="L1480" i="1"/>
  <c r="M1480" i="1"/>
  <c r="K1481" i="1"/>
  <c r="L1481" i="1"/>
  <c r="M1481" i="1"/>
  <c r="K1482" i="1"/>
  <c r="L1482" i="1"/>
  <c r="M1482" i="1"/>
  <c r="K1483" i="1"/>
  <c r="L1483" i="1"/>
  <c r="M1483" i="1"/>
  <c r="K1484" i="1"/>
  <c r="L1484" i="1"/>
  <c r="M1484" i="1"/>
  <c r="K1485" i="1"/>
  <c r="L1485" i="1"/>
  <c r="M1485" i="1"/>
  <c r="K1486" i="1"/>
  <c r="L1486" i="1"/>
  <c r="M1486" i="1"/>
  <c r="K1487" i="1"/>
  <c r="L1487" i="1"/>
  <c r="M1487" i="1"/>
  <c r="K1488" i="1"/>
  <c r="L1488" i="1"/>
  <c r="M1488" i="1"/>
  <c r="K1489" i="1"/>
  <c r="L1489" i="1"/>
  <c r="M1489" i="1"/>
  <c r="K1490" i="1"/>
  <c r="L1490" i="1"/>
  <c r="M1490" i="1"/>
  <c r="K1491" i="1"/>
  <c r="L1491" i="1"/>
  <c r="M1491" i="1"/>
  <c r="K1492" i="1"/>
  <c r="L1492" i="1"/>
  <c r="M1492" i="1"/>
  <c r="K1493" i="1"/>
  <c r="L1493" i="1"/>
  <c r="M1493" i="1"/>
  <c r="K1494" i="1"/>
  <c r="L1494" i="1"/>
  <c r="M1494" i="1"/>
  <c r="K1495" i="1"/>
  <c r="L1495" i="1"/>
  <c r="M1495" i="1"/>
  <c r="K1496" i="1"/>
  <c r="L1496" i="1"/>
  <c r="M1496" i="1"/>
  <c r="K1497" i="1"/>
  <c r="L1497" i="1"/>
  <c r="M1497" i="1"/>
  <c r="K1498" i="1"/>
  <c r="L1498" i="1"/>
  <c r="M1498" i="1"/>
  <c r="K1499" i="1"/>
  <c r="L1499" i="1"/>
  <c r="M1499" i="1"/>
  <c r="K1500" i="1"/>
  <c r="L1500" i="1"/>
  <c r="M1500" i="1"/>
  <c r="K1501" i="1"/>
  <c r="L1501" i="1"/>
  <c r="M1501" i="1"/>
  <c r="K1502" i="1"/>
  <c r="L1502" i="1"/>
  <c r="M1502" i="1"/>
  <c r="K1503" i="1"/>
  <c r="L1503" i="1"/>
  <c r="M1503" i="1"/>
  <c r="K1504" i="1"/>
  <c r="L1504" i="1"/>
  <c r="M1504" i="1"/>
  <c r="K1505" i="1"/>
  <c r="L1505" i="1"/>
  <c r="M1505" i="1"/>
  <c r="K1506" i="1"/>
  <c r="L1506" i="1"/>
  <c r="M1506" i="1"/>
  <c r="K1507" i="1"/>
  <c r="L1507" i="1"/>
  <c r="M1507" i="1"/>
  <c r="K1508" i="1"/>
  <c r="L1508" i="1"/>
  <c r="M1508" i="1"/>
  <c r="K1509" i="1"/>
  <c r="L1509" i="1"/>
  <c r="M1509" i="1"/>
  <c r="K1510" i="1"/>
  <c r="L1510" i="1"/>
  <c r="M1510" i="1"/>
  <c r="K1511" i="1"/>
  <c r="L1511" i="1"/>
  <c r="M1511" i="1"/>
  <c r="K1512" i="1"/>
  <c r="L1512" i="1"/>
  <c r="M1512" i="1"/>
  <c r="K1513" i="1"/>
  <c r="L1513" i="1"/>
  <c r="M1513" i="1"/>
  <c r="K1514" i="1"/>
  <c r="L1514" i="1"/>
  <c r="M1514" i="1"/>
  <c r="K1515" i="1"/>
  <c r="L1515" i="1"/>
  <c r="M1515" i="1"/>
  <c r="K1516" i="1"/>
  <c r="L1516" i="1"/>
  <c r="M1516" i="1"/>
  <c r="K1517" i="1"/>
  <c r="L1517" i="1"/>
  <c r="M1517" i="1"/>
  <c r="K1518" i="1"/>
  <c r="L1518" i="1"/>
  <c r="M1518" i="1"/>
  <c r="K1519" i="1"/>
  <c r="L1519" i="1"/>
  <c r="M1519" i="1"/>
  <c r="K1520" i="1"/>
  <c r="L1520" i="1"/>
  <c r="M1520" i="1"/>
  <c r="K1521" i="1"/>
  <c r="L1521" i="1"/>
  <c r="M1521" i="1"/>
  <c r="K1522" i="1"/>
  <c r="L1522" i="1"/>
  <c r="M1522" i="1"/>
  <c r="K1523" i="1"/>
  <c r="L1523" i="1"/>
  <c r="M1523" i="1"/>
  <c r="K1524" i="1"/>
  <c r="L1524" i="1"/>
  <c r="M1524" i="1"/>
  <c r="K1525" i="1"/>
  <c r="L1525" i="1"/>
  <c r="M1525" i="1"/>
  <c r="K1526" i="1"/>
  <c r="L1526" i="1"/>
  <c r="M1526" i="1"/>
  <c r="K1527" i="1"/>
  <c r="L1527" i="1"/>
  <c r="M1527" i="1"/>
  <c r="K1528" i="1"/>
  <c r="L1528" i="1"/>
  <c r="M1528" i="1"/>
  <c r="K1529" i="1"/>
  <c r="L1529" i="1"/>
  <c r="M1529" i="1"/>
  <c r="K1530" i="1"/>
  <c r="L1530" i="1"/>
  <c r="M1530" i="1"/>
  <c r="K1531" i="1"/>
  <c r="L1531" i="1"/>
  <c r="M1531" i="1"/>
  <c r="K1532" i="1"/>
  <c r="L1532" i="1"/>
  <c r="M1532" i="1"/>
  <c r="K1533" i="1"/>
  <c r="L1533" i="1"/>
  <c r="M1533" i="1"/>
  <c r="K1534" i="1"/>
  <c r="L1534" i="1"/>
  <c r="M1534" i="1"/>
  <c r="K1535" i="1"/>
  <c r="L1535" i="1"/>
  <c r="M1535" i="1"/>
  <c r="K1536" i="1"/>
  <c r="L1536" i="1"/>
  <c r="M1536" i="1"/>
  <c r="K1537" i="1"/>
  <c r="L1537" i="1"/>
  <c r="M1537" i="1"/>
  <c r="K1538" i="1"/>
  <c r="L1538" i="1"/>
  <c r="M1538" i="1"/>
  <c r="K1539" i="1"/>
  <c r="L1539" i="1"/>
  <c r="M1539" i="1"/>
  <c r="K1540" i="1"/>
  <c r="L1540" i="1"/>
  <c r="M1540" i="1"/>
  <c r="K1541" i="1"/>
  <c r="L1541" i="1"/>
  <c r="M1541" i="1"/>
  <c r="K1542" i="1"/>
  <c r="L1542" i="1"/>
  <c r="M1542" i="1"/>
  <c r="K1543" i="1"/>
  <c r="L1543" i="1"/>
  <c r="M1543" i="1"/>
  <c r="K1544" i="1"/>
  <c r="L1544" i="1"/>
  <c r="M1544" i="1"/>
  <c r="K1545" i="1"/>
  <c r="L1545" i="1"/>
  <c r="M1545" i="1"/>
  <c r="K1546" i="1"/>
  <c r="L1546" i="1"/>
  <c r="M1546" i="1"/>
  <c r="K1547" i="1"/>
  <c r="L1547" i="1"/>
  <c r="M1547" i="1"/>
  <c r="K1548" i="1"/>
  <c r="L1548" i="1"/>
  <c r="M1548" i="1"/>
  <c r="K1549" i="1"/>
  <c r="L1549" i="1"/>
  <c r="M1549" i="1"/>
  <c r="K1550" i="1"/>
  <c r="L1550" i="1"/>
  <c r="M1550" i="1"/>
  <c r="K1551" i="1"/>
  <c r="L1551" i="1"/>
  <c r="M1551" i="1"/>
  <c r="K1552" i="1"/>
  <c r="L1552" i="1"/>
  <c r="M1552" i="1"/>
  <c r="K1553" i="1"/>
  <c r="L1553" i="1"/>
  <c r="M1553" i="1"/>
  <c r="K1554" i="1"/>
  <c r="L1554" i="1"/>
  <c r="M1554" i="1"/>
  <c r="K1555" i="1"/>
  <c r="L1555" i="1"/>
  <c r="M1555" i="1"/>
  <c r="K1556" i="1"/>
  <c r="L1556" i="1"/>
  <c r="M1556" i="1"/>
  <c r="K1557" i="1"/>
  <c r="L1557" i="1"/>
  <c r="M1557" i="1"/>
  <c r="K1558" i="1"/>
  <c r="L1558" i="1"/>
  <c r="M1558" i="1"/>
  <c r="K1559" i="1"/>
  <c r="L1559" i="1"/>
  <c r="M1559" i="1"/>
  <c r="K1560" i="1"/>
  <c r="L1560" i="1"/>
  <c r="M1560" i="1"/>
  <c r="K1561" i="1"/>
  <c r="L1561" i="1"/>
  <c r="M1561" i="1"/>
  <c r="K1562" i="1"/>
  <c r="L1562" i="1"/>
  <c r="M1562" i="1"/>
  <c r="K1563" i="1"/>
  <c r="L1563" i="1"/>
  <c r="M1563" i="1"/>
  <c r="K1564" i="1"/>
  <c r="L1564" i="1"/>
  <c r="M1564" i="1"/>
  <c r="K1565" i="1"/>
  <c r="L1565" i="1"/>
  <c r="M1565" i="1"/>
  <c r="K1566" i="1"/>
  <c r="L1566" i="1"/>
  <c r="M1566" i="1"/>
  <c r="K1567" i="1"/>
  <c r="L1567" i="1"/>
  <c r="M1567" i="1"/>
  <c r="K1568" i="1"/>
  <c r="L1568" i="1"/>
  <c r="M1568" i="1"/>
  <c r="K1569" i="1"/>
  <c r="L1569" i="1"/>
  <c r="M1569" i="1"/>
  <c r="K1570" i="1"/>
  <c r="L1570" i="1"/>
  <c r="M1570" i="1"/>
  <c r="K1571" i="1"/>
  <c r="L1571" i="1"/>
  <c r="M1571" i="1"/>
  <c r="K1572" i="1"/>
  <c r="L1572" i="1"/>
  <c r="M1572" i="1"/>
  <c r="K1573" i="1"/>
  <c r="L1573" i="1"/>
  <c r="M1573" i="1"/>
  <c r="K1574" i="1"/>
  <c r="L1574" i="1"/>
  <c r="M1574" i="1"/>
  <c r="K1575" i="1"/>
  <c r="L1575" i="1"/>
  <c r="M1575" i="1"/>
  <c r="K1576" i="1"/>
  <c r="L1576" i="1"/>
  <c r="M1576" i="1"/>
  <c r="K1577" i="1"/>
  <c r="L1577" i="1"/>
  <c r="M1577" i="1"/>
  <c r="K1578" i="1"/>
  <c r="L1578" i="1"/>
  <c r="M1578" i="1"/>
  <c r="K1579" i="1"/>
  <c r="L1579" i="1"/>
  <c r="M1579" i="1"/>
  <c r="K1580" i="1"/>
  <c r="L1580" i="1"/>
  <c r="M1580" i="1"/>
  <c r="K1581" i="1"/>
  <c r="L1581" i="1"/>
  <c r="M1581" i="1"/>
  <c r="K1582" i="1"/>
  <c r="L1582" i="1"/>
  <c r="M1582" i="1"/>
  <c r="K1583" i="1"/>
  <c r="L1583" i="1"/>
  <c r="M1583" i="1"/>
  <c r="K1584" i="1"/>
  <c r="L1584" i="1"/>
  <c r="M1584" i="1"/>
  <c r="K1585" i="1"/>
  <c r="L1585" i="1"/>
  <c r="M1585" i="1"/>
  <c r="K1586" i="1"/>
  <c r="L1586" i="1"/>
  <c r="M1586" i="1"/>
  <c r="K1587" i="1"/>
  <c r="L1587" i="1"/>
  <c r="M1587" i="1"/>
  <c r="K1588" i="1"/>
  <c r="L1588" i="1"/>
  <c r="M1588" i="1"/>
  <c r="K1589" i="1"/>
  <c r="L1589" i="1"/>
  <c r="M1589" i="1"/>
  <c r="K1590" i="1"/>
  <c r="L1590" i="1"/>
  <c r="M1590" i="1"/>
  <c r="K1591" i="1"/>
  <c r="L1591" i="1"/>
  <c r="M1591" i="1"/>
  <c r="K1592" i="1"/>
  <c r="L1592" i="1"/>
  <c r="M1592" i="1"/>
  <c r="K1593" i="1"/>
  <c r="L1593" i="1"/>
  <c r="M1593" i="1"/>
  <c r="K1594" i="1"/>
  <c r="L1594" i="1"/>
  <c r="M1594" i="1"/>
  <c r="K1595" i="1"/>
  <c r="L1595" i="1"/>
  <c r="M1595" i="1"/>
  <c r="K1596" i="1"/>
  <c r="L1596" i="1"/>
  <c r="M1596" i="1"/>
  <c r="K1597" i="1"/>
  <c r="L1597" i="1"/>
  <c r="M1597" i="1"/>
  <c r="K1598" i="1"/>
  <c r="L1598" i="1"/>
  <c r="M1598" i="1"/>
  <c r="K1599" i="1"/>
  <c r="L1599" i="1"/>
  <c r="M1599" i="1"/>
  <c r="K1600" i="1"/>
  <c r="L1600" i="1"/>
  <c r="M1600" i="1"/>
  <c r="K1601" i="1"/>
  <c r="L1601" i="1"/>
  <c r="M1601" i="1"/>
  <c r="K1602" i="1"/>
  <c r="L1602" i="1"/>
  <c r="M1602" i="1"/>
  <c r="K1603" i="1"/>
  <c r="L1603" i="1"/>
  <c r="M1603" i="1"/>
  <c r="K1604" i="1"/>
  <c r="L1604" i="1"/>
  <c r="M1604" i="1"/>
  <c r="K1605" i="1"/>
  <c r="L1605" i="1"/>
  <c r="M1605" i="1"/>
  <c r="K1606" i="1"/>
  <c r="L1606" i="1"/>
  <c r="M1606" i="1"/>
  <c r="K1607" i="1"/>
  <c r="L1607" i="1"/>
  <c r="M1607" i="1"/>
  <c r="K1608" i="1"/>
  <c r="L1608" i="1"/>
  <c r="M1608" i="1"/>
  <c r="K1609" i="1"/>
  <c r="L1609" i="1"/>
  <c r="M1609" i="1"/>
  <c r="K1610" i="1"/>
  <c r="L1610" i="1"/>
  <c r="M1610" i="1"/>
  <c r="K1611" i="1"/>
  <c r="L1611" i="1"/>
  <c r="M1611" i="1"/>
  <c r="K1612" i="1"/>
  <c r="L1612" i="1"/>
  <c r="M1612" i="1"/>
  <c r="K1613" i="1"/>
  <c r="L1613" i="1"/>
  <c r="M1613" i="1"/>
  <c r="K1614" i="1"/>
  <c r="L1614" i="1"/>
  <c r="M1614" i="1"/>
  <c r="K1615" i="1"/>
  <c r="L1615" i="1"/>
  <c r="M1615" i="1"/>
  <c r="K1616" i="1"/>
  <c r="L1616" i="1"/>
  <c r="M1616" i="1"/>
  <c r="K1617" i="1"/>
  <c r="L1617" i="1"/>
  <c r="M1617" i="1"/>
  <c r="K1618" i="1"/>
  <c r="L1618" i="1"/>
  <c r="M1618" i="1"/>
  <c r="K1619" i="1"/>
  <c r="L1619" i="1"/>
  <c r="M1619" i="1"/>
  <c r="K1620" i="1"/>
  <c r="L1620" i="1"/>
  <c r="M1620" i="1"/>
  <c r="K1621" i="1"/>
  <c r="L1621" i="1"/>
  <c r="M1621" i="1"/>
  <c r="K1622" i="1"/>
  <c r="L1622" i="1"/>
  <c r="M1622" i="1"/>
  <c r="K1623" i="1"/>
  <c r="L1623" i="1"/>
  <c r="M1623" i="1"/>
  <c r="K1624" i="1"/>
  <c r="L1624" i="1"/>
  <c r="M1624" i="1"/>
  <c r="K1625" i="1"/>
  <c r="L1625" i="1"/>
  <c r="M1625" i="1"/>
  <c r="K1626" i="1"/>
  <c r="L1626" i="1"/>
  <c r="M1626" i="1"/>
  <c r="K1627" i="1"/>
  <c r="L1627" i="1"/>
  <c r="M1627" i="1"/>
  <c r="K1628" i="1"/>
  <c r="L1628" i="1"/>
  <c r="M1628" i="1"/>
  <c r="K1629" i="1"/>
  <c r="L1629" i="1"/>
  <c r="M1629" i="1"/>
  <c r="K1630" i="1"/>
  <c r="L1630" i="1"/>
  <c r="M1630" i="1"/>
  <c r="K1631" i="1"/>
  <c r="L1631" i="1"/>
  <c r="M1631" i="1"/>
  <c r="K1632" i="1"/>
  <c r="L1632" i="1"/>
  <c r="M1632" i="1"/>
  <c r="K1633" i="1"/>
  <c r="L1633" i="1"/>
  <c r="M1633" i="1"/>
  <c r="K1634" i="1"/>
  <c r="L1634" i="1"/>
  <c r="M1634" i="1"/>
  <c r="K1635" i="1"/>
  <c r="L1635" i="1"/>
  <c r="M1635" i="1"/>
  <c r="K1636" i="1"/>
  <c r="L1636" i="1"/>
  <c r="M1636" i="1"/>
  <c r="K1637" i="1"/>
  <c r="L1637" i="1"/>
  <c r="M1637" i="1"/>
  <c r="K1638" i="1"/>
  <c r="L1638" i="1"/>
  <c r="M1638" i="1"/>
  <c r="K1639" i="1"/>
  <c r="L1639" i="1"/>
  <c r="M1639" i="1"/>
  <c r="K1640" i="1"/>
  <c r="L1640" i="1"/>
  <c r="M1640" i="1"/>
  <c r="K1641" i="1"/>
  <c r="L1641" i="1"/>
  <c r="M1641" i="1"/>
  <c r="K1642" i="1"/>
  <c r="L1642" i="1"/>
  <c r="M1642" i="1"/>
  <c r="K1643" i="1"/>
  <c r="L1643" i="1"/>
  <c r="M1643" i="1"/>
  <c r="K1644" i="1"/>
  <c r="L1644" i="1"/>
  <c r="M1644" i="1"/>
  <c r="K1645" i="1"/>
  <c r="L1645" i="1"/>
  <c r="M1645" i="1"/>
  <c r="K1646" i="1"/>
  <c r="L1646" i="1"/>
  <c r="M1646" i="1"/>
  <c r="K1647" i="1"/>
  <c r="L1647" i="1"/>
  <c r="M1647" i="1"/>
  <c r="K1648" i="1"/>
  <c r="L1648" i="1"/>
  <c r="M1648" i="1"/>
  <c r="K1649" i="1"/>
  <c r="L1649" i="1"/>
  <c r="M1649" i="1"/>
  <c r="K1650" i="1"/>
  <c r="L1650" i="1"/>
  <c r="M1650" i="1"/>
  <c r="K1651" i="1"/>
  <c r="L1651" i="1"/>
  <c r="M1651" i="1"/>
  <c r="K1652" i="1"/>
  <c r="L1652" i="1"/>
  <c r="M1652" i="1"/>
  <c r="K1653" i="1"/>
  <c r="L1653" i="1"/>
  <c r="M1653" i="1"/>
  <c r="K1654" i="1"/>
  <c r="L1654" i="1"/>
  <c r="M1654" i="1"/>
  <c r="K1655" i="1"/>
  <c r="L1655" i="1"/>
  <c r="M1655" i="1"/>
  <c r="K1656" i="1"/>
  <c r="L1656" i="1"/>
  <c r="M1656" i="1"/>
  <c r="K1657" i="1"/>
  <c r="L1657" i="1"/>
  <c r="M1657" i="1"/>
  <c r="K1658" i="1"/>
  <c r="L1658" i="1"/>
  <c r="M1658" i="1"/>
  <c r="K1659" i="1"/>
  <c r="L1659" i="1"/>
  <c r="M1659" i="1"/>
  <c r="K1660" i="1"/>
  <c r="L1660" i="1"/>
  <c r="M1660" i="1"/>
  <c r="K1661" i="1"/>
  <c r="L1661" i="1"/>
  <c r="M1661" i="1"/>
  <c r="K1662" i="1"/>
  <c r="L1662" i="1"/>
  <c r="M1662" i="1"/>
  <c r="K1663" i="1"/>
  <c r="L1663" i="1"/>
  <c r="M1663" i="1"/>
  <c r="K1664" i="1"/>
  <c r="L1664" i="1"/>
  <c r="M1664" i="1"/>
  <c r="K1665" i="1"/>
  <c r="L1665" i="1"/>
  <c r="M1665" i="1"/>
  <c r="K1666" i="1"/>
  <c r="L1666" i="1"/>
  <c r="M1666" i="1"/>
  <c r="K1667" i="1"/>
  <c r="L1667" i="1"/>
  <c r="M1667" i="1"/>
  <c r="K1668" i="1"/>
  <c r="L1668" i="1"/>
  <c r="M1668" i="1"/>
  <c r="K1669" i="1"/>
  <c r="L1669" i="1"/>
  <c r="M1669" i="1"/>
  <c r="K1670" i="1"/>
  <c r="L1670" i="1"/>
  <c r="M1670" i="1"/>
  <c r="K1671" i="1"/>
  <c r="L1671" i="1"/>
  <c r="M1671" i="1"/>
  <c r="K1672" i="1"/>
  <c r="L1672" i="1"/>
  <c r="M1672" i="1"/>
  <c r="K1673" i="1"/>
  <c r="L1673" i="1"/>
  <c r="M1673" i="1"/>
  <c r="K1674" i="1"/>
  <c r="L1674" i="1"/>
  <c r="M1674" i="1"/>
  <c r="K1675" i="1"/>
  <c r="L1675" i="1"/>
  <c r="M1675" i="1"/>
  <c r="K1676" i="1"/>
  <c r="L1676" i="1"/>
  <c r="M1676" i="1"/>
  <c r="K1677" i="1"/>
  <c r="L1677" i="1"/>
  <c r="M1677" i="1"/>
  <c r="K1678" i="1"/>
  <c r="L1678" i="1"/>
  <c r="M1678" i="1"/>
  <c r="K1679" i="1"/>
  <c r="L1679" i="1"/>
  <c r="M1679" i="1"/>
  <c r="K1680" i="1"/>
  <c r="L1680" i="1"/>
  <c r="M1680" i="1"/>
  <c r="K1681" i="1"/>
  <c r="L1681" i="1"/>
  <c r="M1681" i="1"/>
  <c r="K1682" i="1"/>
  <c r="L1682" i="1"/>
  <c r="M1682" i="1"/>
  <c r="K1683" i="1"/>
  <c r="L1683" i="1"/>
  <c r="M1683" i="1"/>
  <c r="K1684" i="1"/>
  <c r="L1684" i="1"/>
  <c r="M1684" i="1"/>
  <c r="K1685" i="1"/>
  <c r="L1685" i="1"/>
  <c r="M1685" i="1"/>
  <c r="K1686" i="1"/>
  <c r="L1686" i="1"/>
  <c r="M1686" i="1"/>
  <c r="K1687" i="1"/>
  <c r="L1687" i="1"/>
  <c r="M1687" i="1"/>
  <c r="K1688" i="1"/>
  <c r="L1688" i="1"/>
  <c r="M1688" i="1"/>
  <c r="K1689" i="1"/>
  <c r="L1689" i="1"/>
  <c r="M1689" i="1"/>
  <c r="K1690" i="1"/>
  <c r="L1690" i="1"/>
  <c r="M1690" i="1"/>
  <c r="K1691" i="1"/>
  <c r="L1691" i="1"/>
  <c r="M1691" i="1"/>
  <c r="K1692" i="1"/>
  <c r="L1692" i="1"/>
  <c r="M1692" i="1"/>
  <c r="K1693" i="1"/>
  <c r="L1693" i="1"/>
  <c r="M1693" i="1"/>
  <c r="K1694" i="1"/>
  <c r="L1694" i="1"/>
  <c r="M1694" i="1"/>
  <c r="K1695" i="1"/>
  <c r="L1695" i="1"/>
  <c r="M1695" i="1"/>
  <c r="K1696" i="1"/>
  <c r="L1696" i="1"/>
  <c r="M1696" i="1"/>
  <c r="K1697" i="1"/>
  <c r="L1697" i="1"/>
  <c r="M1697" i="1"/>
  <c r="K1698" i="1"/>
  <c r="L1698" i="1"/>
  <c r="M1698" i="1"/>
  <c r="K1699" i="1"/>
  <c r="L1699" i="1"/>
  <c r="M1699" i="1"/>
  <c r="K1700" i="1"/>
  <c r="L1700" i="1"/>
  <c r="M1700" i="1"/>
  <c r="K1701" i="1"/>
  <c r="L1701" i="1"/>
  <c r="M1701" i="1"/>
  <c r="K1702" i="1"/>
  <c r="L1702" i="1"/>
  <c r="M1702" i="1"/>
  <c r="K1703" i="1"/>
  <c r="L1703" i="1"/>
  <c r="M1703" i="1"/>
  <c r="K1704" i="1"/>
  <c r="L1704" i="1"/>
  <c r="M1704" i="1"/>
  <c r="K1705" i="1"/>
  <c r="L1705" i="1"/>
  <c r="M1705" i="1"/>
  <c r="K1706" i="1"/>
  <c r="L1706" i="1"/>
  <c r="M1706" i="1"/>
  <c r="K1707" i="1"/>
  <c r="L1707" i="1"/>
  <c r="M1707" i="1"/>
  <c r="K1708" i="1"/>
  <c r="L1708" i="1"/>
  <c r="M1708" i="1"/>
  <c r="K1709" i="1"/>
  <c r="L1709" i="1"/>
  <c r="M1709" i="1"/>
  <c r="K1710" i="1"/>
  <c r="L1710" i="1"/>
  <c r="M1710" i="1"/>
  <c r="K1711" i="1"/>
  <c r="L1711" i="1"/>
  <c r="M1711" i="1"/>
  <c r="K1712" i="1"/>
  <c r="L1712" i="1"/>
  <c r="M1712" i="1"/>
  <c r="K1713" i="1"/>
  <c r="L1713" i="1"/>
  <c r="M1713" i="1"/>
  <c r="K1714" i="1"/>
  <c r="L1714" i="1"/>
  <c r="M1714" i="1"/>
  <c r="K1715" i="1"/>
  <c r="L1715" i="1"/>
  <c r="M1715" i="1"/>
  <c r="K1716" i="1"/>
  <c r="L1716" i="1"/>
  <c r="M1716" i="1"/>
  <c r="K1717" i="1"/>
  <c r="L1717" i="1"/>
  <c r="M1717" i="1"/>
  <c r="K1718" i="1"/>
  <c r="L1718" i="1"/>
  <c r="M1718" i="1"/>
  <c r="K1719" i="1"/>
  <c r="L1719" i="1"/>
  <c r="M1719" i="1"/>
  <c r="K1720" i="1"/>
  <c r="L1720" i="1"/>
  <c r="M1720" i="1"/>
  <c r="K1721" i="1"/>
  <c r="L1721" i="1"/>
  <c r="M1721" i="1"/>
  <c r="K1722" i="1"/>
  <c r="L1722" i="1"/>
  <c r="M1722" i="1"/>
  <c r="K1723" i="1"/>
  <c r="L1723" i="1"/>
  <c r="M1723" i="1"/>
  <c r="K1724" i="1"/>
  <c r="L1724" i="1"/>
  <c r="M1724" i="1"/>
  <c r="K1725" i="1"/>
  <c r="L1725" i="1"/>
  <c r="M1725" i="1"/>
  <c r="K1726" i="1"/>
  <c r="L1726" i="1"/>
  <c r="M1726" i="1"/>
  <c r="K1727" i="1"/>
  <c r="L1727" i="1"/>
  <c r="M1727" i="1"/>
  <c r="K1728" i="1"/>
  <c r="L1728" i="1"/>
  <c r="M1728" i="1"/>
  <c r="K1729" i="1"/>
  <c r="L1729" i="1"/>
  <c r="M1729" i="1"/>
  <c r="K1730" i="1"/>
  <c r="L1730" i="1"/>
  <c r="M1730" i="1"/>
  <c r="K1731" i="1"/>
  <c r="L1731" i="1"/>
  <c r="M1731" i="1"/>
  <c r="K1732" i="1"/>
  <c r="L1732" i="1"/>
  <c r="M1732" i="1"/>
  <c r="K1733" i="1"/>
  <c r="L1733" i="1"/>
  <c r="M1733" i="1"/>
  <c r="K1734" i="1"/>
  <c r="L1734" i="1"/>
  <c r="M1734" i="1"/>
  <c r="K1735" i="1"/>
  <c r="L1735" i="1"/>
  <c r="M1735" i="1"/>
  <c r="K1736" i="1"/>
  <c r="L1736" i="1"/>
  <c r="M1736" i="1"/>
  <c r="K1737" i="1"/>
  <c r="L1737" i="1"/>
  <c r="M1737" i="1"/>
  <c r="K1738" i="1"/>
  <c r="L1738" i="1"/>
  <c r="M1738" i="1"/>
  <c r="K1739" i="1"/>
  <c r="L1739" i="1"/>
  <c r="M1739" i="1"/>
  <c r="K1740" i="1"/>
  <c r="L1740" i="1"/>
  <c r="M1740" i="1"/>
  <c r="K1741" i="1"/>
  <c r="L1741" i="1"/>
  <c r="M1741" i="1"/>
  <c r="K1742" i="1"/>
  <c r="L1742" i="1"/>
  <c r="M1742" i="1"/>
  <c r="K1743" i="1"/>
  <c r="L1743" i="1"/>
  <c r="M1743" i="1"/>
  <c r="K1744" i="1"/>
  <c r="L1744" i="1"/>
  <c r="M1744" i="1"/>
  <c r="K1745" i="1"/>
  <c r="L1745" i="1"/>
  <c r="M1745" i="1"/>
  <c r="K1746" i="1"/>
  <c r="L1746" i="1"/>
  <c r="M1746" i="1"/>
  <c r="K1747" i="1"/>
  <c r="L1747" i="1"/>
  <c r="M1747" i="1"/>
  <c r="K1748" i="1"/>
  <c r="L1748" i="1"/>
  <c r="M1748" i="1"/>
  <c r="K1749" i="1"/>
  <c r="L1749" i="1"/>
  <c r="M1749" i="1"/>
  <c r="K1750" i="1"/>
  <c r="L1750" i="1"/>
  <c r="M1750" i="1"/>
  <c r="K1751" i="1"/>
  <c r="L1751" i="1"/>
  <c r="M1751" i="1"/>
  <c r="K1752" i="1"/>
  <c r="L1752" i="1"/>
  <c r="M1752" i="1"/>
  <c r="K1753" i="1"/>
  <c r="L1753" i="1"/>
  <c r="M1753" i="1"/>
  <c r="K1754" i="1"/>
  <c r="L1754" i="1"/>
  <c r="M1754" i="1"/>
  <c r="K1755" i="1"/>
  <c r="L1755" i="1"/>
  <c r="M1755" i="1"/>
  <c r="K1756" i="1"/>
  <c r="L1756" i="1"/>
  <c r="M1756" i="1"/>
  <c r="K1757" i="1"/>
  <c r="L1757" i="1"/>
  <c r="M1757" i="1"/>
  <c r="K1758" i="1"/>
  <c r="L1758" i="1"/>
  <c r="M1758" i="1"/>
  <c r="K1759" i="1"/>
  <c r="L1759" i="1"/>
  <c r="M1759" i="1"/>
  <c r="K1760" i="1"/>
  <c r="L1760" i="1"/>
  <c r="M1760" i="1"/>
  <c r="K1761" i="1"/>
  <c r="L1761" i="1"/>
  <c r="M1761" i="1"/>
  <c r="K1762" i="1"/>
  <c r="L1762" i="1"/>
  <c r="M1762" i="1"/>
  <c r="K1763" i="1"/>
  <c r="L1763" i="1"/>
  <c r="M1763" i="1"/>
  <c r="K1764" i="1"/>
  <c r="L1764" i="1"/>
  <c r="M1764" i="1"/>
  <c r="K1765" i="1"/>
  <c r="L1765" i="1"/>
  <c r="M1765" i="1"/>
  <c r="K1766" i="1"/>
  <c r="L1766" i="1"/>
  <c r="M1766" i="1"/>
  <c r="K1767" i="1"/>
  <c r="L1767" i="1"/>
  <c r="M1767" i="1"/>
  <c r="K1768" i="1"/>
  <c r="L1768" i="1"/>
  <c r="M1768" i="1"/>
  <c r="K1769" i="1"/>
  <c r="L1769" i="1"/>
  <c r="M1769" i="1"/>
  <c r="K1770" i="1"/>
  <c r="L1770" i="1"/>
  <c r="M1770" i="1"/>
  <c r="K1771" i="1"/>
  <c r="L1771" i="1"/>
  <c r="M1771" i="1"/>
  <c r="K1772" i="1"/>
  <c r="L1772" i="1"/>
  <c r="M1772" i="1"/>
  <c r="K1773" i="1"/>
  <c r="L1773" i="1"/>
  <c r="M1773" i="1"/>
  <c r="K1774" i="1"/>
  <c r="L1774" i="1"/>
  <c r="M1774" i="1"/>
  <c r="K1775" i="1"/>
  <c r="L1775" i="1"/>
  <c r="M1775" i="1"/>
  <c r="K1776" i="1"/>
  <c r="L1776" i="1"/>
  <c r="M1776" i="1"/>
  <c r="K1777" i="1"/>
  <c r="L1777" i="1"/>
  <c r="M1777" i="1"/>
  <c r="K1778" i="1"/>
  <c r="L1778" i="1"/>
  <c r="M1778" i="1"/>
  <c r="K1779" i="1"/>
  <c r="L1779" i="1"/>
  <c r="M1779" i="1"/>
  <c r="K1780" i="1"/>
  <c r="L1780" i="1"/>
  <c r="M1780" i="1"/>
  <c r="K1781" i="1"/>
  <c r="L1781" i="1"/>
  <c r="M1781" i="1"/>
  <c r="K1782" i="1"/>
  <c r="L1782" i="1"/>
  <c r="M1782" i="1"/>
  <c r="K1783" i="1"/>
  <c r="L1783" i="1"/>
  <c r="M1783" i="1"/>
  <c r="K1784" i="1"/>
  <c r="L1784" i="1"/>
  <c r="M1784" i="1"/>
  <c r="K1785" i="1"/>
  <c r="L1785" i="1"/>
  <c r="M1785" i="1"/>
  <c r="K1786" i="1"/>
  <c r="L1786" i="1"/>
  <c r="M1786" i="1"/>
  <c r="K1787" i="1"/>
  <c r="L1787" i="1"/>
  <c r="M1787" i="1"/>
  <c r="K1788" i="1"/>
  <c r="L1788" i="1"/>
  <c r="M1788" i="1"/>
  <c r="K1789" i="1"/>
  <c r="L1789" i="1"/>
  <c r="M1789" i="1"/>
  <c r="K1790" i="1"/>
  <c r="L1790" i="1"/>
  <c r="M1790" i="1"/>
  <c r="K1791" i="1"/>
  <c r="L1791" i="1"/>
  <c r="M1791" i="1"/>
  <c r="K1792" i="1"/>
  <c r="L1792" i="1"/>
  <c r="M1792" i="1"/>
  <c r="K1793" i="1"/>
  <c r="L1793" i="1"/>
  <c r="M1793" i="1"/>
  <c r="K1794" i="1"/>
  <c r="L1794" i="1"/>
  <c r="M1794" i="1"/>
  <c r="K1795" i="1"/>
  <c r="L1795" i="1"/>
  <c r="M1795" i="1"/>
  <c r="K1796" i="1"/>
  <c r="L1796" i="1"/>
  <c r="M1796" i="1"/>
  <c r="K1797" i="1"/>
  <c r="L1797" i="1"/>
  <c r="M1797" i="1"/>
  <c r="K1798" i="1"/>
  <c r="L1798" i="1"/>
  <c r="M1798" i="1"/>
  <c r="K1799" i="1"/>
  <c r="L1799" i="1"/>
  <c r="M1799" i="1"/>
  <c r="K1800" i="1"/>
  <c r="L1800" i="1"/>
  <c r="M1800" i="1"/>
  <c r="K1801" i="1"/>
  <c r="L1801" i="1"/>
  <c r="M1801" i="1"/>
  <c r="K1802" i="1"/>
  <c r="L1802" i="1"/>
  <c r="M1802" i="1"/>
  <c r="K1803" i="1"/>
  <c r="L1803" i="1"/>
  <c r="M1803" i="1"/>
  <c r="K1804" i="1"/>
  <c r="L1804" i="1"/>
  <c r="M1804" i="1"/>
  <c r="K1805" i="1"/>
  <c r="L1805" i="1"/>
  <c r="M1805" i="1"/>
  <c r="K1806" i="1"/>
  <c r="L1806" i="1"/>
  <c r="M1806" i="1"/>
  <c r="K1807" i="1"/>
  <c r="L1807" i="1"/>
  <c r="M1807" i="1"/>
  <c r="K1808" i="1"/>
  <c r="L1808" i="1"/>
  <c r="M1808" i="1"/>
  <c r="K1809" i="1"/>
  <c r="L1809" i="1"/>
  <c r="M1809" i="1"/>
  <c r="K1810" i="1"/>
  <c r="L1810" i="1"/>
  <c r="M1810" i="1"/>
  <c r="K1811" i="1"/>
  <c r="L1811" i="1"/>
  <c r="M1811" i="1"/>
  <c r="K1812" i="1"/>
  <c r="L1812" i="1"/>
  <c r="M1812" i="1"/>
  <c r="K1813" i="1"/>
  <c r="L1813" i="1"/>
  <c r="M1813" i="1"/>
  <c r="K1814" i="1"/>
  <c r="L1814" i="1"/>
  <c r="M1814" i="1"/>
  <c r="K1815" i="1"/>
  <c r="L1815" i="1"/>
  <c r="M1815" i="1"/>
  <c r="K1816" i="1"/>
  <c r="L1816" i="1"/>
  <c r="M1816" i="1"/>
  <c r="K1817" i="1"/>
  <c r="L1817" i="1"/>
  <c r="M1817" i="1"/>
  <c r="K1818" i="1"/>
  <c r="L1818" i="1"/>
  <c r="M1818" i="1"/>
  <c r="K1819" i="1"/>
  <c r="L1819" i="1"/>
  <c r="M1819" i="1"/>
  <c r="K1820" i="1"/>
  <c r="L1820" i="1"/>
  <c r="M1820" i="1"/>
  <c r="K1821" i="1"/>
  <c r="L1821" i="1"/>
  <c r="M1821" i="1"/>
  <c r="K1822" i="1"/>
  <c r="L1822" i="1"/>
  <c r="M1822" i="1"/>
  <c r="K1823" i="1"/>
  <c r="L1823" i="1"/>
  <c r="M1823" i="1"/>
  <c r="K1824" i="1"/>
  <c r="L1824" i="1"/>
  <c r="M1824" i="1"/>
  <c r="K1825" i="1"/>
  <c r="L1825" i="1"/>
  <c r="M1825" i="1"/>
  <c r="K1826" i="1"/>
  <c r="L1826" i="1"/>
  <c r="M1826" i="1"/>
  <c r="K1827" i="1"/>
  <c r="L1827" i="1"/>
  <c r="M1827" i="1"/>
  <c r="K1828" i="1"/>
  <c r="L1828" i="1"/>
  <c r="M1828" i="1"/>
  <c r="K1829" i="1"/>
  <c r="L1829" i="1"/>
  <c r="M1829" i="1"/>
  <c r="K1830" i="1"/>
  <c r="L1830" i="1"/>
  <c r="M1830" i="1"/>
  <c r="K1831" i="1"/>
  <c r="L1831" i="1"/>
  <c r="M1831" i="1"/>
  <c r="K1832" i="1"/>
  <c r="L1832" i="1"/>
  <c r="M1832" i="1"/>
  <c r="K1833" i="1"/>
  <c r="L1833" i="1"/>
  <c r="M1833" i="1"/>
  <c r="K1834" i="1"/>
  <c r="L1834" i="1"/>
  <c r="M1834" i="1"/>
  <c r="K1835" i="1"/>
  <c r="L1835" i="1"/>
  <c r="M1835" i="1"/>
  <c r="K1836" i="1"/>
  <c r="L1836" i="1"/>
  <c r="M1836" i="1"/>
  <c r="K1837" i="1"/>
  <c r="L1837" i="1"/>
  <c r="M1837" i="1"/>
  <c r="K1838" i="1"/>
  <c r="L1838" i="1"/>
  <c r="M1838" i="1"/>
  <c r="K1839" i="1"/>
  <c r="L1839" i="1"/>
  <c r="M1839" i="1"/>
  <c r="K1840" i="1"/>
  <c r="L1840" i="1"/>
  <c r="M1840" i="1"/>
  <c r="K1841" i="1"/>
  <c r="L1841" i="1"/>
  <c r="M1841" i="1"/>
  <c r="K1842" i="1"/>
  <c r="L1842" i="1"/>
  <c r="M1842" i="1"/>
  <c r="K1843" i="1"/>
  <c r="L1843" i="1"/>
  <c r="M1843" i="1"/>
  <c r="K1844" i="1"/>
  <c r="L1844" i="1"/>
  <c r="M1844" i="1"/>
  <c r="K1845" i="1"/>
  <c r="L1845" i="1"/>
  <c r="M1845" i="1"/>
  <c r="K1846" i="1"/>
  <c r="L1846" i="1"/>
  <c r="M1846" i="1"/>
  <c r="K1847" i="1"/>
  <c r="L1847" i="1"/>
  <c r="M1847" i="1"/>
  <c r="K1848" i="1"/>
  <c r="L1848" i="1"/>
  <c r="M1848" i="1"/>
  <c r="K1849" i="1"/>
  <c r="L1849" i="1"/>
  <c r="M1849" i="1"/>
  <c r="K1850" i="1"/>
  <c r="L1850" i="1"/>
  <c r="M1850" i="1"/>
  <c r="K1851" i="1"/>
  <c r="L1851" i="1"/>
  <c r="M1851" i="1"/>
  <c r="K1852" i="1"/>
  <c r="L1852" i="1"/>
  <c r="M1852" i="1"/>
  <c r="K1853" i="1"/>
  <c r="L1853" i="1"/>
  <c r="M1853" i="1"/>
  <c r="K1854" i="1"/>
  <c r="L1854" i="1"/>
  <c r="M1854" i="1"/>
  <c r="K1855" i="1"/>
  <c r="L1855" i="1"/>
  <c r="M1855" i="1"/>
  <c r="K1856" i="1"/>
  <c r="L1856" i="1"/>
  <c r="M1856" i="1"/>
  <c r="K1857" i="1"/>
  <c r="L1857" i="1"/>
  <c r="M1857" i="1"/>
  <c r="K1858" i="1"/>
  <c r="L1858" i="1"/>
  <c r="M1858" i="1"/>
  <c r="K1859" i="1"/>
  <c r="L1859" i="1"/>
  <c r="M1859" i="1"/>
  <c r="K1860" i="1"/>
  <c r="L1860" i="1"/>
  <c r="M1860" i="1"/>
  <c r="K1861" i="1"/>
  <c r="L1861" i="1"/>
  <c r="M1861" i="1"/>
  <c r="K1862" i="1"/>
  <c r="L1862" i="1"/>
  <c r="M1862" i="1"/>
  <c r="K1863" i="1"/>
  <c r="L1863" i="1"/>
  <c r="M1863" i="1"/>
  <c r="K1864" i="1"/>
  <c r="L1864" i="1"/>
  <c r="M1864" i="1"/>
  <c r="K1865" i="1"/>
  <c r="L1865" i="1"/>
  <c r="M1865" i="1"/>
  <c r="K1866" i="1"/>
  <c r="L1866" i="1"/>
  <c r="M1866" i="1"/>
  <c r="K1867" i="1"/>
  <c r="L1867" i="1"/>
  <c r="M1867" i="1"/>
  <c r="K1868" i="1"/>
  <c r="L1868" i="1"/>
  <c r="M1868" i="1"/>
  <c r="K1869" i="1"/>
  <c r="L1869" i="1"/>
  <c r="M1869" i="1"/>
  <c r="K1870" i="1"/>
  <c r="L1870" i="1"/>
  <c r="M1870" i="1"/>
  <c r="K1871" i="1"/>
  <c r="L1871" i="1"/>
  <c r="M1871" i="1"/>
  <c r="K1872" i="1"/>
  <c r="L1872" i="1"/>
  <c r="M1872" i="1"/>
  <c r="K1873" i="1"/>
  <c r="L1873" i="1"/>
  <c r="M1873" i="1"/>
  <c r="K1874" i="1"/>
  <c r="L1874" i="1"/>
  <c r="M1874" i="1"/>
  <c r="K1875" i="1"/>
  <c r="L1875" i="1"/>
  <c r="M1875" i="1"/>
  <c r="K1876" i="1"/>
  <c r="L1876" i="1"/>
  <c r="M1876" i="1"/>
  <c r="K1877" i="1"/>
  <c r="L1877" i="1"/>
  <c r="M1877" i="1"/>
  <c r="K1878" i="1"/>
  <c r="L1878" i="1"/>
  <c r="M1878" i="1"/>
  <c r="K1879" i="1"/>
  <c r="L1879" i="1"/>
  <c r="M1879" i="1"/>
  <c r="K1880" i="1"/>
  <c r="L1880" i="1"/>
  <c r="M1880" i="1"/>
  <c r="K1881" i="1"/>
  <c r="L1881" i="1"/>
  <c r="M1881" i="1"/>
  <c r="K1882" i="1"/>
  <c r="L1882" i="1"/>
  <c r="M1882" i="1"/>
  <c r="K1883" i="1"/>
  <c r="L1883" i="1"/>
  <c r="M1883" i="1"/>
  <c r="K1884" i="1"/>
  <c r="L1884" i="1"/>
  <c r="M1884" i="1"/>
  <c r="K1885" i="1"/>
  <c r="L1885" i="1"/>
  <c r="M1885" i="1"/>
  <c r="K1886" i="1"/>
  <c r="L1886" i="1"/>
  <c r="M1886" i="1"/>
  <c r="K1887" i="1"/>
  <c r="L1887" i="1"/>
  <c r="M1887" i="1"/>
  <c r="K1888" i="1"/>
  <c r="L1888" i="1"/>
  <c r="M1888" i="1"/>
  <c r="K1889" i="1"/>
  <c r="L1889" i="1"/>
  <c r="M1889" i="1"/>
  <c r="K1890" i="1"/>
  <c r="L1890" i="1"/>
  <c r="M1890" i="1"/>
  <c r="K1891" i="1"/>
  <c r="L1891" i="1"/>
  <c r="M1891" i="1"/>
  <c r="K1892" i="1"/>
  <c r="L1892" i="1"/>
  <c r="M1892" i="1"/>
  <c r="K1893" i="1"/>
  <c r="L1893" i="1"/>
  <c r="M1893" i="1"/>
  <c r="K1894" i="1"/>
  <c r="L1894" i="1"/>
  <c r="M1894" i="1"/>
  <c r="K1895" i="1"/>
  <c r="L1895" i="1"/>
  <c r="M1895" i="1"/>
  <c r="K1896" i="1"/>
  <c r="L1896" i="1"/>
  <c r="M1896" i="1"/>
  <c r="K1897" i="1"/>
  <c r="L1897" i="1"/>
  <c r="M1897" i="1"/>
  <c r="K1898" i="1"/>
  <c r="L1898" i="1"/>
  <c r="M1898" i="1"/>
  <c r="K1899" i="1"/>
  <c r="L1899" i="1"/>
  <c r="M1899" i="1"/>
  <c r="K1900" i="1"/>
  <c r="L1900" i="1"/>
  <c r="M1900" i="1"/>
  <c r="K1901" i="1"/>
  <c r="L1901" i="1"/>
  <c r="M1901" i="1"/>
  <c r="K1902" i="1"/>
  <c r="L1902" i="1"/>
  <c r="M1902" i="1"/>
  <c r="K1903" i="1"/>
  <c r="L1903" i="1"/>
  <c r="M1903" i="1"/>
  <c r="K1904" i="1"/>
  <c r="L1904" i="1"/>
  <c r="M1904" i="1"/>
  <c r="K1905" i="1"/>
  <c r="L1905" i="1"/>
  <c r="M1905" i="1"/>
  <c r="K1906" i="1"/>
  <c r="L1906" i="1"/>
  <c r="M1906" i="1"/>
  <c r="K1907" i="1"/>
  <c r="L1907" i="1"/>
  <c r="M1907" i="1"/>
  <c r="K1908" i="1"/>
  <c r="L1908" i="1"/>
  <c r="M1908" i="1"/>
  <c r="K1909" i="1"/>
  <c r="L1909" i="1"/>
  <c r="M1909" i="1"/>
  <c r="K1910" i="1"/>
  <c r="L1910" i="1"/>
  <c r="M1910" i="1"/>
  <c r="K1911" i="1"/>
  <c r="L1911" i="1"/>
  <c r="M1911" i="1"/>
  <c r="K1912" i="1"/>
  <c r="L1912" i="1"/>
  <c r="M1912" i="1"/>
  <c r="K1913" i="1"/>
  <c r="L1913" i="1"/>
  <c r="M1913" i="1"/>
  <c r="K1914" i="1"/>
  <c r="L1914" i="1"/>
  <c r="M1914" i="1"/>
  <c r="K1915" i="1"/>
  <c r="L1915" i="1"/>
  <c r="M1915" i="1"/>
  <c r="K1916" i="1"/>
  <c r="L1916" i="1"/>
  <c r="M1916" i="1"/>
  <c r="K1917" i="1"/>
  <c r="L1917" i="1"/>
  <c r="M1917" i="1"/>
  <c r="K1918" i="1"/>
  <c r="L1918" i="1"/>
  <c r="M1918" i="1"/>
  <c r="K1919" i="1"/>
  <c r="L1919" i="1"/>
  <c r="M1919" i="1"/>
  <c r="K1920" i="1"/>
  <c r="L1920" i="1"/>
  <c r="M1920" i="1"/>
  <c r="K1921" i="1"/>
  <c r="L1921" i="1"/>
  <c r="M1921" i="1"/>
  <c r="K1922" i="1"/>
  <c r="L1922" i="1"/>
  <c r="M1922" i="1"/>
  <c r="K1923" i="1"/>
  <c r="L1923" i="1"/>
  <c r="M1923" i="1"/>
  <c r="K1924" i="1"/>
  <c r="L1924" i="1"/>
  <c r="M1924" i="1"/>
  <c r="K1925" i="1"/>
  <c r="L1925" i="1"/>
  <c r="M1925" i="1"/>
  <c r="K1926" i="1"/>
  <c r="L1926" i="1"/>
  <c r="M1926" i="1"/>
  <c r="K1927" i="1"/>
  <c r="L1927" i="1"/>
  <c r="M1927" i="1"/>
  <c r="K1928" i="1"/>
  <c r="L1928" i="1"/>
  <c r="M1928" i="1"/>
  <c r="K1929" i="1"/>
  <c r="L1929" i="1"/>
  <c r="M1929" i="1"/>
  <c r="K1930" i="1"/>
  <c r="L1930" i="1"/>
  <c r="M1930" i="1"/>
  <c r="K1931" i="1"/>
  <c r="L1931" i="1"/>
  <c r="M1931" i="1"/>
  <c r="K1932" i="1"/>
  <c r="L1932" i="1"/>
  <c r="M1932" i="1"/>
  <c r="K1933" i="1"/>
  <c r="L1933" i="1"/>
  <c r="M1933" i="1"/>
  <c r="K1934" i="1"/>
  <c r="L1934" i="1"/>
  <c r="M1934" i="1"/>
  <c r="K1935" i="1"/>
  <c r="L1935" i="1"/>
  <c r="M1935" i="1"/>
  <c r="K1936" i="1"/>
  <c r="L1936" i="1"/>
  <c r="M1936" i="1"/>
  <c r="K1937" i="1"/>
  <c r="L1937" i="1"/>
  <c r="M1937" i="1"/>
  <c r="K1938" i="1"/>
  <c r="L1938" i="1"/>
  <c r="M1938" i="1"/>
  <c r="K1939" i="1"/>
  <c r="L1939" i="1"/>
  <c r="M1939" i="1"/>
  <c r="K1940" i="1"/>
  <c r="L1940" i="1"/>
  <c r="M1940" i="1"/>
  <c r="K1941" i="1"/>
  <c r="L1941" i="1"/>
  <c r="M1941" i="1"/>
  <c r="K1942" i="1"/>
  <c r="L1942" i="1"/>
  <c r="M1942" i="1"/>
  <c r="K1943" i="1"/>
  <c r="L1943" i="1"/>
  <c r="M1943" i="1"/>
  <c r="K1944" i="1"/>
  <c r="L1944" i="1"/>
  <c r="M1944" i="1"/>
  <c r="K1945" i="1"/>
  <c r="L1945" i="1"/>
  <c r="M1945" i="1"/>
  <c r="K1946" i="1"/>
  <c r="L1946" i="1"/>
  <c r="M1946" i="1"/>
  <c r="K1947" i="1"/>
  <c r="L1947" i="1"/>
  <c r="M1947" i="1"/>
  <c r="K1948" i="1"/>
  <c r="L1948" i="1"/>
  <c r="M1948" i="1"/>
  <c r="K1949" i="1"/>
  <c r="L1949" i="1"/>
  <c r="M1949" i="1"/>
  <c r="K1950" i="1"/>
  <c r="L1950" i="1"/>
  <c r="M1950" i="1"/>
  <c r="K1951" i="1"/>
  <c r="L1951" i="1"/>
  <c r="M1951" i="1"/>
  <c r="K1952" i="1"/>
  <c r="L1952" i="1"/>
  <c r="M1952" i="1"/>
  <c r="K1953" i="1"/>
  <c r="L1953" i="1"/>
  <c r="M1953" i="1"/>
  <c r="K1954" i="1"/>
  <c r="L1954" i="1"/>
  <c r="M1954" i="1"/>
  <c r="K1955" i="1"/>
  <c r="L1955" i="1"/>
  <c r="M1955" i="1"/>
  <c r="K1956" i="1"/>
  <c r="L1956" i="1"/>
  <c r="M1956" i="1"/>
  <c r="K1957" i="1"/>
  <c r="L1957" i="1"/>
  <c r="M1957" i="1"/>
  <c r="K1958" i="1"/>
  <c r="L1958" i="1"/>
  <c r="M1958" i="1"/>
  <c r="K1959" i="1"/>
  <c r="L1959" i="1"/>
  <c r="M1959" i="1"/>
  <c r="K1960" i="1"/>
  <c r="L1960" i="1"/>
  <c r="M1960" i="1"/>
  <c r="K1961" i="1"/>
  <c r="L1961" i="1"/>
  <c r="M1961" i="1"/>
  <c r="K1962" i="1"/>
  <c r="L1962" i="1"/>
  <c r="M1962" i="1"/>
  <c r="K1963" i="1"/>
  <c r="L1963" i="1"/>
  <c r="M1963" i="1"/>
  <c r="K1964" i="1"/>
  <c r="L1964" i="1"/>
  <c r="M1964" i="1"/>
  <c r="K1965" i="1"/>
  <c r="L1965" i="1"/>
  <c r="M1965" i="1"/>
  <c r="K1966" i="1"/>
  <c r="L1966" i="1"/>
  <c r="M1966" i="1"/>
  <c r="K1967" i="1"/>
  <c r="L1967" i="1"/>
  <c r="M1967" i="1"/>
  <c r="K1968" i="1"/>
  <c r="L1968" i="1"/>
  <c r="M1968" i="1"/>
  <c r="K1969" i="1"/>
  <c r="L1969" i="1"/>
  <c r="M1969" i="1"/>
  <c r="K1970" i="1"/>
  <c r="L1970" i="1"/>
  <c r="M1970" i="1"/>
  <c r="K1971" i="1"/>
  <c r="L1971" i="1"/>
  <c r="M1971" i="1"/>
  <c r="K1972" i="1"/>
  <c r="L1972" i="1"/>
  <c r="M1972" i="1"/>
  <c r="K1973" i="1"/>
  <c r="L1973" i="1"/>
  <c r="M1973" i="1"/>
  <c r="K1974" i="1"/>
  <c r="L1974" i="1"/>
  <c r="M1974" i="1"/>
  <c r="K1975" i="1"/>
  <c r="L1975" i="1"/>
  <c r="M1975" i="1"/>
  <c r="K1976" i="1"/>
  <c r="L1976" i="1"/>
  <c r="M1976" i="1"/>
  <c r="K1977" i="1"/>
  <c r="L1977" i="1"/>
  <c r="M1977" i="1"/>
  <c r="K1978" i="1"/>
  <c r="L1978" i="1"/>
  <c r="M1978" i="1"/>
  <c r="K1979" i="1"/>
  <c r="L1979" i="1"/>
  <c r="M1979" i="1"/>
  <c r="K1980" i="1"/>
  <c r="L1980" i="1"/>
  <c r="M1980" i="1"/>
  <c r="K1981" i="1"/>
  <c r="L1981" i="1"/>
  <c r="M1981" i="1"/>
  <c r="K1982" i="1"/>
  <c r="L1982" i="1"/>
  <c r="M1982" i="1"/>
  <c r="K1983" i="1"/>
  <c r="L1983" i="1"/>
  <c r="M1983" i="1"/>
  <c r="K1984" i="1"/>
  <c r="L1984" i="1"/>
  <c r="M1984" i="1"/>
  <c r="K1985" i="1"/>
  <c r="L1985" i="1"/>
  <c r="M1985" i="1"/>
  <c r="K1986" i="1"/>
  <c r="L1986" i="1"/>
  <c r="M1986" i="1"/>
  <c r="K1987" i="1"/>
  <c r="L1987" i="1"/>
  <c r="M1987" i="1"/>
  <c r="K1988" i="1"/>
  <c r="L1988" i="1"/>
  <c r="M1988" i="1"/>
  <c r="K1989" i="1"/>
  <c r="L1989" i="1"/>
  <c r="M1989" i="1"/>
  <c r="K1990" i="1"/>
  <c r="L1990" i="1"/>
  <c r="M1990" i="1"/>
  <c r="K1991" i="1"/>
  <c r="L1991" i="1"/>
  <c r="M1991" i="1"/>
  <c r="K1992" i="1"/>
  <c r="L1992" i="1"/>
  <c r="M1992" i="1"/>
  <c r="K1993" i="1"/>
  <c r="L1993" i="1"/>
  <c r="M1993" i="1"/>
  <c r="K1994" i="1"/>
  <c r="L1994" i="1"/>
  <c r="M1994" i="1"/>
  <c r="K1995" i="1"/>
  <c r="L1995" i="1"/>
  <c r="M1995" i="1"/>
  <c r="K1996" i="1"/>
  <c r="L1996" i="1"/>
  <c r="M1996" i="1"/>
  <c r="K1997" i="1"/>
  <c r="L1997" i="1"/>
  <c r="M1997" i="1"/>
  <c r="K1998" i="1"/>
  <c r="L1998" i="1"/>
  <c r="M1998" i="1"/>
  <c r="K1999" i="1"/>
  <c r="L1999" i="1"/>
  <c r="M1999" i="1"/>
  <c r="K2000" i="1"/>
  <c r="L2000" i="1"/>
  <c r="M2000" i="1"/>
  <c r="K2001" i="1"/>
  <c r="L2001" i="1"/>
  <c r="M2001" i="1"/>
  <c r="K2002" i="1"/>
  <c r="L2002" i="1"/>
  <c r="M2002" i="1"/>
  <c r="K2003" i="1"/>
  <c r="L2003" i="1"/>
  <c r="M2003" i="1"/>
  <c r="K2004" i="1"/>
  <c r="L2004" i="1"/>
  <c r="M2004" i="1"/>
  <c r="K2005" i="1"/>
  <c r="L2005" i="1"/>
  <c r="M2005" i="1"/>
  <c r="K2006" i="1"/>
  <c r="L2006" i="1"/>
  <c r="M2006" i="1"/>
  <c r="K2007" i="1"/>
  <c r="L2007" i="1"/>
  <c r="M2007" i="1"/>
  <c r="K2008" i="1"/>
  <c r="L2008" i="1"/>
  <c r="M2008" i="1"/>
  <c r="K2009" i="1"/>
  <c r="L2009" i="1"/>
  <c r="M2009" i="1"/>
  <c r="K2010" i="1"/>
  <c r="L2010" i="1"/>
  <c r="M2010" i="1"/>
  <c r="K2011" i="1"/>
  <c r="L2011" i="1"/>
  <c r="M2011" i="1"/>
  <c r="K2012" i="1"/>
  <c r="L2012" i="1"/>
  <c r="M2012" i="1"/>
  <c r="K2013" i="1"/>
  <c r="L2013" i="1"/>
  <c r="M2013" i="1"/>
  <c r="K2014" i="1"/>
  <c r="L2014" i="1"/>
  <c r="M2014" i="1"/>
  <c r="K2015" i="1"/>
  <c r="L2015" i="1"/>
  <c r="M2015" i="1"/>
  <c r="K2016" i="1"/>
  <c r="L2016" i="1"/>
  <c r="M2016" i="1"/>
  <c r="K2017" i="1"/>
  <c r="L2017" i="1"/>
  <c r="M2017" i="1"/>
  <c r="K2018" i="1"/>
  <c r="L2018" i="1"/>
  <c r="M2018" i="1"/>
  <c r="K2019" i="1"/>
  <c r="L2019" i="1"/>
  <c r="M2019" i="1"/>
  <c r="K2020" i="1"/>
  <c r="L2020" i="1"/>
  <c r="M2020" i="1"/>
  <c r="K2021" i="1"/>
  <c r="L2021" i="1"/>
  <c r="M2021" i="1"/>
  <c r="K2022" i="1"/>
  <c r="L2022" i="1"/>
  <c r="M2022" i="1"/>
  <c r="K2023" i="1"/>
  <c r="L2023" i="1"/>
  <c r="M2023" i="1"/>
  <c r="K2024" i="1"/>
  <c r="L2024" i="1"/>
  <c r="M2024" i="1"/>
  <c r="K2025" i="1"/>
  <c r="L2025" i="1"/>
  <c r="M2025" i="1"/>
  <c r="K2026" i="1"/>
  <c r="L2026" i="1"/>
  <c r="M2026" i="1"/>
  <c r="K2027" i="1"/>
  <c r="L2027" i="1"/>
  <c r="M2027" i="1"/>
  <c r="K2028" i="1"/>
  <c r="L2028" i="1"/>
  <c r="M2028" i="1"/>
  <c r="K2029" i="1"/>
  <c r="L2029" i="1"/>
  <c r="M2029" i="1"/>
  <c r="K2030" i="1"/>
  <c r="L2030" i="1"/>
  <c r="M2030" i="1"/>
  <c r="K2031" i="1"/>
  <c r="L2031" i="1"/>
  <c r="M2031" i="1"/>
  <c r="K2032" i="1"/>
  <c r="L2032" i="1"/>
  <c r="M2032" i="1"/>
  <c r="K2033" i="1"/>
  <c r="L2033" i="1"/>
  <c r="M2033" i="1"/>
  <c r="K2034" i="1"/>
  <c r="L2034" i="1"/>
  <c r="M2034" i="1"/>
  <c r="K2035" i="1"/>
  <c r="L2035" i="1"/>
  <c r="M2035" i="1"/>
  <c r="K2036" i="1"/>
  <c r="L2036" i="1"/>
  <c r="M2036" i="1"/>
  <c r="K2037" i="1"/>
  <c r="L2037" i="1"/>
  <c r="M2037" i="1"/>
  <c r="K2038" i="1"/>
  <c r="L2038" i="1"/>
  <c r="M2038" i="1"/>
  <c r="K2039" i="1"/>
  <c r="L2039" i="1"/>
  <c r="M2039" i="1"/>
  <c r="K2040" i="1"/>
  <c r="L2040" i="1"/>
  <c r="M2040" i="1"/>
  <c r="K2041" i="1"/>
  <c r="L2041" i="1"/>
  <c r="M2041" i="1"/>
  <c r="K2042" i="1"/>
  <c r="L2042" i="1"/>
  <c r="M2042" i="1"/>
  <c r="K2043" i="1"/>
  <c r="L2043" i="1"/>
  <c r="M2043" i="1"/>
  <c r="K2044" i="1"/>
  <c r="L2044" i="1"/>
  <c r="M2044" i="1"/>
  <c r="K2045" i="1"/>
  <c r="L2045" i="1"/>
  <c r="M2045" i="1"/>
  <c r="K2046" i="1"/>
  <c r="L2046" i="1"/>
  <c r="M2046" i="1"/>
  <c r="K2047" i="1"/>
  <c r="L2047" i="1"/>
  <c r="M2047" i="1"/>
  <c r="K2048" i="1"/>
  <c r="L2048" i="1"/>
  <c r="M2048" i="1"/>
  <c r="K2049" i="1"/>
  <c r="L2049" i="1"/>
  <c r="M2049" i="1"/>
  <c r="K2050" i="1"/>
  <c r="L2050" i="1"/>
  <c r="M2050" i="1"/>
  <c r="K2051" i="1"/>
  <c r="L2051" i="1"/>
  <c r="M2051" i="1"/>
  <c r="K2052" i="1"/>
  <c r="L2052" i="1"/>
  <c r="M2052" i="1"/>
  <c r="K2053" i="1"/>
  <c r="L2053" i="1"/>
  <c r="M2053" i="1"/>
  <c r="K2054" i="1"/>
  <c r="L2054" i="1"/>
  <c r="M2054" i="1"/>
  <c r="K2055" i="1"/>
  <c r="L2055" i="1"/>
  <c r="M2055" i="1"/>
  <c r="K2056" i="1"/>
  <c r="L2056" i="1"/>
  <c r="M2056" i="1"/>
  <c r="K2057" i="1"/>
  <c r="L2057" i="1"/>
  <c r="M2057" i="1"/>
  <c r="K2058" i="1"/>
  <c r="L2058" i="1"/>
  <c r="M2058" i="1"/>
  <c r="K2059" i="1"/>
  <c r="L2059" i="1"/>
  <c r="M2059" i="1"/>
  <c r="K2060" i="1"/>
  <c r="L2060" i="1"/>
  <c r="M2060" i="1"/>
  <c r="K2061" i="1"/>
  <c r="L2061" i="1"/>
  <c r="M2061" i="1"/>
  <c r="K2062" i="1"/>
  <c r="L2062" i="1"/>
  <c r="M2062" i="1"/>
  <c r="K2063" i="1"/>
  <c r="L2063" i="1"/>
  <c r="M2063" i="1"/>
  <c r="K2064" i="1"/>
  <c r="L2064" i="1"/>
  <c r="M2064" i="1"/>
  <c r="K2065" i="1"/>
  <c r="L2065" i="1"/>
  <c r="M2065" i="1"/>
  <c r="K2066" i="1"/>
  <c r="L2066" i="1"/>
  <c r="M2066" i="1"/>
  <c r="K2067" i="1"/>
  <c r="L2067" i="1"/>
  <c r="M2067" i="1"/>
  <c r="K2068" i="1"/>
  <c r="L2068" i="1"/>
  <c r="M2068" i="1"/>
  <c r="K2069" i="1"/>
  <c r="L2069" i="1"/>
  <c r="M2069" i="1"/>
  <c r="K2070" i="1"/>
  <c r="L2070" i="1"/>
  <c r="M2070" i="1"/>
  <c r="K2071" i="1"/>
  <c r="L2071" i="1"/>
  <c r="M2071" i="1"/>
  <c r="K2072" i="1"/>
  <c r="L2072" i="1"/>
  <c r="M2072" i="1"/>
  <c r="K2073" i="1"/>
  <c r="L2073" i="1"/>
  <c r="M2073" i="1"/>
  <c r="K2074" i="1"/>
  <c r="L2074" i="1"/>
  <c r="M2074" i="1"/>
  <c r="K2075" i="1"/>
  <c r="L2075" i="1"/>
  <c r="M2075" i="1"/>
  <c r="K2076" i="1"/>
  <c r="L2076" i="1"/>
  <c r="M2076" i="1"/>
  <c r="K2077" i="1"/>
  <c r="L2077" i="1"/>
  <c r="M2077" i="1"/>
  <c r="K2078" i="1"/>
  <c r="L2078" i="1"/>
  <c r="M2078" i="1"/>
  <c r="K2079" i="1"/>
  <c r="L2079" i="1"/>
  <c r="M2079" i="1"/>
  <c r="K2080" i="1"/>
  <c r="L2080" i="1"/>
  <c r="M2080" i="1"/>
  <c r="K2081" i="1"/>
  <c r="L2081" i="1"/>
  <c r="M2081" i="1"/>
  <c r="K2082" i="1"/>
  <c r="L2082" i="1"/>
  <c r="M2082" i="1"/>
  <c r="K2083" i="1"/>
  <c r="L2083" i="1"/>
  <c r="M2083" i="1"/>
  <c r="K2084" i="1"/>
  <c r="L2084" i="1"/>
  <c r="M2084" i="1"/>
  <c r="K2085" i="1"/>
  <c r="L2085" i="1"/>
  <c r="M2085" i="1"/>
  <c r="K2086" i="1"/>
  <c r="L2086" i="1"/>
  <c r="M2086" i="1"/>
  <c r="K2087" i="1"/>
  <c r="L2087" i="1"/>
  <c r="M2087" i="1"/>
  <c r="K2088" i="1"/>
  <c r="L2088" i="1"/>
  <c r="M2088" i="1"/>
  <c r="K2089" i="1"/>
  <c r="L2089" i="1"/>
  <c r="M2089" i="1"/>
  <c r="K2090" i="1"/>
  <c r="L2090" i="1"/>
  <c r="M2090" i="1"/>
  <c r="K2091" i="1"/>
  <c r="L2091" i="1"/>
  <c r="M2091" i="1"/>
  <c r="K2092" i="1"/>
  <c r="L2092" i="1"/>
  <c r="M2092" i="1"/>
  <c r="K2093" i="1"/>
  <c r="L2093" i="1"/>
  <c r="M2093" i="1"/>
  <c r="K2094" i="1"/>
  <c r="L2094" i="1"/>
  <c r="M2094" i="1"/>
  <c r="K2095" i="1"/>
  <c r="L2095" i="1"/>
  <c r="M2095" i="1"/>
  <c r="K2096" i="1"/>
  <c r="L2096" i="1"/>
  <c r="M2096" i="1"/>
  <c r="K2097" i="1"/>
  <c r="L2097" i="1"/>
  <c r="M2097" i="1"/>
  <c r="K2098" i="1"/>
  <c r="L2098" i="1"/>
  <c r="M2098" i="1"/>
  <c r="K2099" i="1"/>
  <c r="L2099" i="1"/>
  <c r="M2099" i="1"/>
  <c r="K2100" i="1"/>
  <c r="L2100" i="1"/>
  <c r="M2100" i="1"/>
  <c r="K2101" i="1"/>
  <c r="L2101" i="1"/>
  <c r="M2101" i="1"/>
  <c r="K2102" i="1"/>
  <c r="L2102" i="1"/>
  <c r="M2102" i="1"/>
  <c r="K2103" i="1"/>
  <c r="L2103" i="1"/>
  <c r="M2103" i="1"/>
  <c r="K2104" i="1"/>
  <c r="L2104" i="1"/>
  <c r="M2104" i="1"/>
  <c r="K2105" i="1"/>
  <c r="L2105" i="1"/>
  <c r="M2105" i="1"/>
  <c r="K2106" i="1"/>
  <c r="L2106" i="1"/>
  <c r="M2106" i="1"/>
  <c r="K2107" i="1"/>
  <c r="L2107" i="1"/>
  <c r="M2107" i="1"/>
  <c r="K2108" i="1"/>
  <c r="L2108" i="1"/>
  <c r="M2108" i="1"/>
  <c r="K2109" i="1"/>
  <c r="L2109" i="1"/>
  <c r="M2109" i="1"/>
  <c r="K2110" i="1"/>
  <c r="L2110" i="1"/>
  <c r="M2110" i="1"/>
  <c r="K2111" i="1"/>
  <c r="L2111" i="1"/>
  <c r="M2111" i="1"/>
  <c r="K2112" i="1"/>
  <c r="L2112" i="1"/>
  <c r="M2112" i="1"/>
  <c r="K2113" i="1"/>
  <c r="L2113" i="1"/>
  <c r="M2113" i="1"/>
  <c r="K2114" i="1"/>
  <c r="L2114" i="1"/>
  <c r="M2114" i="1"/>
  <c r="K2115" i="1"/>
  <c r="L2115" i="1"/>
  <c r="M2115" i="1"/>
  <c r="K2116" i="1"/>
  <c r="L2116" i="1"/>
  <c r="M2116" i="1"/>
  <c r="K2117" i="1"/>
  <c r="L2117" i="1"/>
  <c r="M2117" i="1"/>
  <c r="K2118" i="1"/>
  <c r="L2118" i="1"/>
  <c r="M2118" i="1"/>
  <c r="K2119" i="1"/>
  <c r="L2119" i="1"/>
  <c r="M2119" i="1"/>
  <c r="K2120" i="1"/>
  <c r="L2120" i="1"/>
  <c r="M2120" i="1"/>
  <c r="K2121" i="1"/>
  <c r="L2121" i="1"/>
  <c r="M2121" i="1"/>
  <c r="K2122" i="1"/>
  <c r="L2122" i="1"/>
  <c r="M2122" i="1"/>
  <c r="K2123" i="1"/>
  <c r="L2123" i="1"/>
  <c r="M2123" i="1"/>
  <c r="K2124" i="1"/>
  <c r="L2124" i="1"/>
  <c r="M2124" i="1"/>
  <c r="K2125" i="1"/>
  <c r="L2125" i="1"/>
  <c r="M2125" i="1"/>
  <c r="K2126" i="1"/>
  <c r="L2126" i="1"/>
  <c r="M2126" i="1"/>
  <c r="K2127" i="1"/>
  <c r="L2127" i="1"/>
  <c r="M2127" i="1"/>
  <c r="K2128" i="1"/>
  <c r="L2128" i="1"/>
  <c r="M2128" i="1"/>
  <c r="K2129" i="1"/>
  <c r="L2129" i="1"/>
  <c r="M2129" i="1"/>
  <c r="K2130" i="1"/>
  <c r="L2130" i="1"/>
  <c r="M2130" i="1"/>
  <c r="K2131" i="1"/>
  <c r="L2131" i="1"/>
  <c r="M2131" i="1"/>
  <c r="K2132" i="1"/>
  <c r="L2132" i="1"/>
  <c r="M2132" i="1"/>
  <c r="K2133" i="1"/>
  <c r="L2133" i="1"/>
  <c r="M2133" i="1"/>
  <c r="K2134" i="1"/>
  <c r="L2134" i="1"/>
  <c r="M2134" i="1"/>
  <c r="K2135" i="1"/>
  <c r="L2135" i="1"/>
  <c r="M2135" i="1"/>
  <c r="K2136" i="1"/>
  <c r="L2136" i="1"/>
  <c r="M2136" i="1"/>
  <c r="K2137" i="1"/>
  <c r="L2137" i="1"/>
  <c r="M2137" i="1"/>
  <c r="K2138" i="1"/>
  <c r="L2138" i="1"/>
  <c r="M2138" i="1"/>
  <c r="K2139" i="1"/>
  <c r="L2139" i="1"/>
  <c r="M2139" i="1"/>
  <c r="K2140" i="1"/>
  <c r="L2140" i="1"/>
  <c r="M2140" i="1"/>
  <c r="K2141" i="1"/>
  <c r="L2141" i="1"/>
  <c r="M2141" i="1"/>
  <c r="K2142" i="1"/>
  <c r="L2142" i="1"/>
  <c r="M2142" i="1"/>
  <c r="K2143" i="1"/>
  <c r="L2143" i="1"/>
  <c r="M2143" i="1"/>
  <c r="K2144" i="1"/>
  <c r="L2144" i="1"/>
  <c r="M2144" i="1"/>
  <c r="K2145" i="1"/>
  <c r="L2145" i="1"/>
  <c r="M2145" i="1"/>
  <c r="K2146" i="1"/>
  <c r="L2146" i="1"/>
  <c r="M2146" i="1"/>
  <c r="K2147" i="1"/>
  <c r="L2147" i="1"/>
  <c r="M2147" i="1"/>
  <c r="K2148" i="1"/>
  <c r="L2148" i="1"/>
  <c r="M2148" i="1"/>
  <c r="K2149" i="1"/>
  <c r="L2149" i="1"/>
  <c r="M2149" i="1"/>
  <c r="K2150" i="1"/>
  <c r="L2150" i="1"/>
  <c r="M2150" i="1"/>
  <c r="K2151" i="1"/>
  <c r="L2151" i="1"/>
  <c r="M2151" i="1"/>
  <c r="K2152" i="1"/>
  <c r="L2152" i="1"/>
  <c r="M2152" i="1"/>
  <c r="K2153" i="1"/>
  <c r="L2153" i="1"/>
  <c r="M2153" i="1"/>
  <c r="K2154" i="1"/>
  <c r="L2154" i="1"/>
  <c r="M2154" i="1"/>
  <c r="K2155" i="1"/>
  <c r="L2155" i="1"/>
  <c r="M2155" i="1"/>
  <c r="K2156" i="1"/>
  <c r="L2156" i="1"/>
  <c r="M2156" i="1"/>
  <c r="K2157" i="1"/>
  <c r="L2157" i="1"/>
  <c r="M2157" i="1"/>
  <c r="K2158" i="1"/>
  <c r="L2158" i="1"/>
  <c r="M2158" i="1"/>
  <c r="K2159" i="1"/>
  <c r="L2159" i="1"/>
  <c r="M2159" i="1"/>
  <c r="K2160" i="1"/>
  <c r="L2160" i="1"/>
  <c r="M2160" i="1"/>
  <c r="K2161" i="1"/>
  <c r="L2161" i="1"/>
  <c r="M2161" i="1"/>
  <c r="K2162" i="1"/>
  <c r="L2162" i="1"/>
  <c r="M2162" i="1"/>
  <c r="K2163" i="1"/>
  <c r="L2163" i="1"/>
  <c r="M2163" i="1"/>
  <c r="K2164" i="1"/>
  <c r="L2164" i="1"/>
  <c r="M2164" i="1"/>
  <c r="K2165" i="1"/>
  <c r="L2165" i="1"/>
  <c r="M2165" i="1"/>
  <c r="K2166" i="1"/>
  <c r="L2166" i="1"/>
  <c r="M2166" i="1"/>
  <c r="K2167" i="1"/>
  <c r="L2167" i="1"/>
  <c r="M2167" i="1"/>
  <c r="K2168" i="1"/>
  <c r="L2168" i="1"/>
  <c r="M2168" i="1"/>
  <c r="K2169" i="1"/>
  <c r="L2169" i="1"/>
  <c r="M2169" i="1"/>
  <c r="K2170" i="1"/>
  <c r="L2170" i="1"/>
  <c r="M2170" i="1"/>
  <c r="K2171" i="1"/>
  <c r="L2171" i="1"/>
  <c r="M2171" i="1"/>
  <c r="K2172" i="1"/>
  <c r="L2172" i="1"/>
  <c r="M2172" i="1"/>
  <c r="K2173" i="1"/>
  <c r="L2173" i="1"/>
  <c r="M2173" i="1"/>
  <c r="K2174" i="1"/>
  <c r="L2174" i="1"/>
  <c r="M2174" i="1"/>
  <c r="K2175" i="1"/>
  <c r="L2175" i="1"/>
  <c r="M2175" i="1"/>
  <c r="K2176" i="1"/>
  <c r="L2176" i="1"/>
  <c r="M2176" i="1"/>
  <c r="K2177" i="1"/>
  <c r="L2177" i="1"/>
  <c r="M2177" i="1"/>
  <c r="K2178" i="1"/>
  <c r="L2178" i="1"/>
  <c r="M2178" i="1"/>
  <c r="K2179" i="1"/>
  <c r="L2179" i="1"/>
  <c r="M2179" i="1"/>
  <c r="K2180" i="1"/>
  <c r="L2180" i="1"/>
  <c r="M2180" i="1"/>
  <c r="K2181" i="1"/>
  <c r="L2181" i="1"/>
  <c r="M2181" i="1"/>
  <c r="K2182" i="1"/>
  <c r="L2182" i="1"/>
  <c r="M2182" i="1"/>
  <c r="K2183" i="1"/>
  <c r="L2183" i="1"/>
  <c r="M2183" i="1"/>
  <c r="K2184" i="1"/>
  <c r="L2184" i="1"/>
  <c r="M2184" i="1"/>
  <c r="K2185" i="1"/>
  <c r="L2185" i="1"/>
  <c r="M2185" i="1"/>
  <c r="K2186" i="1"/>
  <c r="L2186" i="1"/>
  <c r="M2186" i="1"/>
  <c r="K2187" i="1"/>
  <c r="L2187" i="1"/>
  <c r="M2187" i="1"/>
  <c r="K2188" i="1"/>
  <c r="L2188" i="1"/>
  <c r="M2188" i="1"/>
  <c r="K2189" i="1"/>
  <c r="L2189" i="1"/>
  <c r="M2189" i="1"/>
  <c r="K2190" i="1"/>
  <c r="L2190" i="1"/>
  <c r="M2190" i="1"/>
  <c r="K2191" i="1"/>
  <c r="L2191" i="1"/>
  <c r="M2191" i="1"/>
  <c r="K2192" i="1"/>
  <c r="L2192" i="1"/>
  <c r="M2192" i="1"/>
  <c r="K2193" i="1"/>
  <c r="L2193" i="1"/>
  <c r="M2193" i="1"/>
  <c r="K2194" i="1"/>
  <c r="L2194" i="1"/>
  <c r="M2194" i="1"/>
  <c r="K2195" i="1"/>
  <c r="L2195" i="1"/>
  <c r="M2195" i="1"/>
  <c r="K2196" i="1"/>
  <c r="L2196" i="1"/>
  <c r="M2196" i="1"/>
  <c r="K2197" i="1"/>
  <c r="L2197" i="1"/>
  <c r="M2197" i="1"/>
  <c r="K2198" i="1"/>
  <c r="L2198" i="1"/>
  <c r="M2198" i="1"/>
  <c r="K2199" i="1"/>
  <c r="L2199" i="1"/>
  <c r="M2199" i="1"/>
  <c r="K2200" i="1"/>
  <c r="L2200" i="1"/>
  <c r="M2200" i="1"/>
  <c r="K2201" i="1"/>
  <c r="L2201" i="1"/>
  <c r="M2201" i="1"/>
  <c r="K2202" i="1"/>
  <c r="L2202" i="1"/>
  <c r="M2202" i="1"/>
  <c r="K2203" i="1"/>
  <c r="L2203" i="1"/>
  <c r="M2203" i="1"/>
  <c r="K2204" i="1"/>
  <c r="L2204" i="1"/>
  <c r="M2204" i="1"/>
  <c r="K2205" i="1"/>
  <c r="L2205" i="1"/>
  <c r="M2205" i="1"/>
  <c r="K2206" i="1"/>
  <c r="L2206" i="1"/>
  <c r="M2206" i="1"/>
  <c r="K2207" i="1"/>
  <c r="L2207" i="1"/>
  <c r="M2207" i="1"/>
  <c r="K2208" i="1"/>
  <c r="L2208" i="1"/>
  <c r="M2208" i="1"/>
  <c r="K2209" i="1"/>
  <c r="L2209" i="1"/>
  <c r="M2209" i="1"/>
  <c r="K2210" i="1"/>
  <c r="L2210" i="1"/>
  <c r="M2210" i="1"/>
  <c r="K2211" i="1"/>
  <c r="L2211" i="1"/>
  <c r="M2211" i="1"/>
  <c r="K2212" i="1"/>
  <c r="L2212" i="1"/>
  <c r="M2212" i="1"/>
  <c r="K2213" i="1"/>
  <c r="L2213" i="1"/>
  <c r="M2213" i="1"/>
  <c r="K2214" i="1"/>
  <c r="L2214" i="1"/>
  <c r="M2214" i="1"/>
  <c r="K2215" i="1"/>
  <c r="L2215" i="1"/>
  <c r="M2215" i="1"/>
  <c r="K2216" i="1"/>
  <c r="L2216" i="1"/>
  <c r="M2216" i="1"/>
  <c r="K2217" i="1"/>
  <c r="L2217" i="1"/>
  <c r="M2217" i="1"/>
  <c r="K2218" i="1"/>
  <c r="L2218" i="1"/>
  <c r="M2218" i="1"/>
  <c r="K2219" i="1"/>
  <c r="L2219" i="1"/>
  <c r="M2219" i="1"/>
  <c r="K2220" i="1"/>
  <c r="L2220" i="1"/>
  <c r="M2220" i="1"/>
  <c r="K2221" i="1"/>
  <c r="L2221" i="1"/>
  <c r="M2221" i="1"/>
  <c r="K2222" i="1"/>
  <c r="L2222" i="1"/>
  <c r="M2222" i="1"/>
  <c r="K2223" i="1"/>
  <c r="L2223" i="1"/>
  <c r="M2223" i="1"/>
  <c r="K2224" i="1"/>
  <c r="L2224" i="1"/>
  <c r="M2224" i="1"/>
  <c r="K2225" i="1"/>
  <c r="L2225" i="1"/>
  <c r="M2225" i="1"/>
  <c r="K2226" i="1"/>
  <c r="L2226" i="1"/>
  <c r="M2226" i="1"/>
  <c r="K2227" i="1"/>
  <c r="L2227" i="1"/>
  <c r="M2227" i="1"/>
  <c r="K2228" i="1"/>
  <c r="L2228" i="1"/>
  <c r="M2228" i="1"/>
  <c r="K2229" i="1"/>
  <c r="L2229" i="1"/>
  <c r="M2229" i="1"/>
  <c r="K2230" i="1"/>
  <c r="L2230" i="1"/>
  <c r="M2230" i="1"/>
  <c r="K2231" i="1"/>
  <c r="L2231" i="1"/>
  <c r="M2231" i="1"/>
  <c r="K2232" i="1"/>
  <c r="L2232" i="1"/>
  <c r="M2232" i="1"/>
  <c r="K2233" i="1"/>
  <c r="L2233" i="1"/>
  <c r="M2233" i="1"/>
  <c r="K2234" i="1"/>
  <c r="L2234" i="1"/>
  <c r="M2234" i="1"/>
  <c r="K2235" i="1"/>
  <c r="L2235" i="1"/>
  <c r="M2235" i="1"/>
  <c r="K2236" i="1"/>
  <c r="L2236" i="1"/>
  <c r="M2236" i="1"/>
  <c r="K2237" i="1"/>
  <c r="L2237" i="1"/>
  <c r="M2237" i="1"/>
  <c r="K2238" i="1"/>
  <c r="L2238" i="1"/>
  <c r="M2238" i="1"/>
  <c r="K2239" i="1"/>
  <c r="L2239" i="1"/>
  <c r="M2239" i="1"/>
  <c r="K2240" i="1"/>
  <c r="L2240" i="1"/>
  <c r="M2240" i="1"/>
  <c r="K2241" i="1"/>
  <c r="L2241" i="1"/>
  <c r="M2241" i="1"/>
  <c r="K2242" i="1"/>
  <c r="L2242" i="1"/>
  <c r="M2242" i="1"/>
  <c r="K2243" i="1"/>
  <c r="L2243" i="1"/>
  <c r="M2243" i="1"/>
  <c r="K2244" i="1"/>
  <c r="L2244" i="1"/>
  <c r="M2244" i="1"/>
  <c r="K2245" i="1"/>
  <c r="L2245" i="1"/>
  <c r="M2245" i="1"/>
  <c r="K2246" i="1"/>
  <c r="L2246" i="1"/>
  <c r="M2246" i="1"/>
  <c r="K2247" i="1"/>
  <c r="L2247" i="1"/>
  <c r="M2247" i="1"/>
  <c r="K2248" i="1"/>
  <c r="L2248" i="1"/>
  <c r="M2248" i="1"/>
  <c r="K2249" i="1"/>
  <c r="L2249" i="1"/>
  <c r="M2249" i="1"/>
  <c r="K2250" i="1"/>
  <c r="L2250" i="1"/>
  <c r="M2250" i="1"/>
  <c r="K2251" i="1"/>
  <c r="L2251" i="1"/>
  <c r="M2251" i="1"/>
  <c r="K2252" i="1"/>
  <c r="L2252" i="1"/>
  <c r="M2252" i="1"/>
  <c r="K2253" i="1"/>
  <c r="L2253" i="1"/>
  <c r="M2253" i="1"/>
  <c r="K2254" i="1"/>
  <c r="L2254" i="1"/>
  <c r="M2254" i="1"/>
  <c r="K2255" i="1"/>
  <c r="L2255" i="1"/>
  <c r="M2255" i="1"/>
  <c r="K2256" i="1"/>
  <c r="L2256" i="1"/>
  <c r="M2256" i="1"/>
  <c r="K2257" i="1"/>
  <c r="L2257" i="1"/>
  <c r="M2257" i="1"/>
  <c r="K2258" i="1"/>
  <c r="L2258" i="1"/>
  <c r="M2258" i="1"/>
  <c r="K2259" i="1"/>
  <c r="L2259" i="1"/>
  <c r="M2259" i="1"/>
  <c r="K2260" i="1"/>
  <c r="L2260" i="1"/>
  <c r="M2260" i="1"/>
  <c r="K2261" i="1"/>
  <c r="L2261" i="1"/>
  <c r="M2261" i="1"/>
  <c r="K2262" i="1"/>
  <c r="L2262" i="1"/>
  <c r="M2262" i="1"/>
  <c r="K2263" i="1"/>
  <c r="L2263" i="1"/>
  <c r="M2263" i="1"/>
  <c r="K2264" i="1"/>
  <c r="L2264" i="1"/>
  <c r="M2264" i="1"/>
  <c r="K2265" i="1"/>
  <c r="L2265" i="1"/>
  <c r="M2265" i="1"/>
  <c r="K2266" i="1"/>
  <c r="L2266" i="1"/>
  <c r="M2266" i="1"/>
  <c r="K2267" i="1"/>
  <c r="L2267" i="1"/>
  <c r="M2267" i="1"/>
  <c r="K2268" i="1"/>
  <c r="L2268" i="1"/>
  <c r="M2268" i="1"/>
  <c r="K2269" i="1"/>
  <c r="L2269" i="1"/>
  <c r="M2269" i="1"/>
  <c r="K2270" i="1"/>
  <c r="L2270" i="1"/>
  <c r="M2270" i="1"/>
  <c r="K2271" i="1"/>
  <c r="L2271" i="1"/>
  <c r="M2271" i="1"/>
  <c r="K2272" i="1"/>
  <c r="L2272" i="1"/>
  <c r="M2272" i="1"/>
  <c r="K2273" i="1"/>
  <c r="L2273" i="1"/>
  <c r="M2273" i="1"/>
  <c r="K2274" i="1"/>
  <c r="L2274" i="1"/>
  <c r="M2274" i="1"/>
  <c r="K2275" i="1"/>
  <c r="L2275" i="1"/>
  <c r="M2275" i="1"/>
  <c r="K2276" i="1"/>
  <c r="L2276" i="1"/>
  <c r="M2276" i="1"/>
  <c r="K2277" i="1"/>
  <c r="L2277" i="1"/>
  <c r="M2277" i="1"/>
  <c r="K2278" i="1"/>
  <c r="L2278" i="1"/>
  <c r="M2278" i="1"/>
  <c r="K2279" i="1"/>
  <c r="L2279" i="1"/>
  <c r="M2279" i="1"/>
  <c r="K2280" i="1"/>
  <c r="L2280" i="1"/>
  <c r="M2280" i="1"/>
  <c r="K2281" i="1"/>
  <c r="L2281" i="1"/>
  <c r="M2281" i="1"/>
  <c r="K2282" i="1"/>
  <c r="L2282" i="1"/>
  <c r="M2282" i="1"/>
  <c r="K2283" i="1"/>
  <c r="L2283" i="1"/>
  <c r="M2283" i="1"/>
  <c r="K2284" i="1"/>
  <c r="L2284" i="1"/>
  <c r="M2284" i="1"/>
  <c r="K2285" i="1"/>
  <c r="L2285" i="1"/>
  <c r="M2285" i="1"/>
  <c r="K2286" i="1"/>
  <c r="L2286" i="1"/>
  <c r="M2286" i="1"/>
  <c r="K2287" i="1"/>
  <c r="L2287" i="1"/>
  <c r="M2287" i="1"/>
  <c r="K2288" i="1"/>
  <c r="L2288" i="1"/>
  <c r="M2288" i="1"/>
  <c r="K2289" i="1"/>
  <c r="L2289" i="1"/>
  <c r="M2289" i="1"/>
  <c r="K2290" i="1"/>
  <c r="L2290" i="1"/>
  <c r="M2290" i="1"/>
  <c r="K2291" i="1"/>
  <c r="L2291" i="1"/>
  <c r="M2291" i="1"/>
  <c r="K2292" i="1"/>
  <c r="L2292" i="1"/>
  <c r="M2292" i="1"/>
  <c r="K2293" i="1"/>
  <c r="L2293" i="1"/>
  <c r="M2293" i="1"/>
  <c r="K2294" i="1"/>
  <c r="L2294" i="1"/>
  <c r="M2294" i="1"/>
  <c r="K2295" i="1"/>
  <c r="L2295" i="1"/>
  <c r="M2295" i="1"/>
  <c r="K2296" i="1"/>
  <c r="L2296" i="1"/>
  <c r="M2296" i="1"/>
  <c r="K2297" i="1"/>
  <c r="L2297" i="1"/>
  <c r="M2297" i="1"/>
  <c r="K2298" i="1"/>
  <c r="L2298" i="1"/>
  <c r="M2298" i="1"/>
  <c r="K2299" i="1"/>
  <c r="L2299" i="1"/>
  <c r="M2299" i="1"/>
  <c r="K2300" i="1"/>
  <c r="L2300" i="1"/>
  <c r="M2300" i="1"/>
  <c r="K2301" i="1"/>
  <c r="L2301" i="1"/>
  <c r="M2301" i="1"/>
  <c r="K2302" i="1"/>
  <c r="L2302" i="1"/>
  <c r="M2302" i="1"/>
  <c r="K2303" i="1"/>
  <c r="L2303" i="1"/>
  <c r="M2303" i="1"/>
  <c r="K2304" i="1"/>
  <c r="L2304" i="1"/>
  <c r="M2304" i="1"/>
  <c r="K2305" i="1"/>
  <c r="L2305" i="1"/>
  <c r="M2305" i="1"/>
  <c r="K2306" i="1"/>
  <c r="L2306" i="1"/>
  <c r="M2306" i="1"/>
  <c r="K2307" i="1"/>
  <c r="L2307" i="1"/>
  <c r="M2307" i="1"/>
  <c r="K2308" i="1"/>
  <c r="L2308" i="1"/>
  <c r="M2308" i="1"/>
  <c r="K2309" i="1"/>
  <c r="L2309" i="1"/>
  <c r="M2309" i="1"/>
  <c r="K2310" i="1"/>
  <c r="L2310" i="1"/>
  <c r="M2310" i="1"/>
  <c r="K2311" i="1"/>
  <c r="L2311" i="1"/>
  <c r="M2311" i="1"/>
  <c r="K2312" i="1"/>
  <c r="L2312" i="1"/>
  <c r="M2312" i="1"/>
  <c r="K2313" i="1"/>
  <c r="L2313" i="1"/>
  <c r="M2313" i="1"/>
  <c r="K2314" i="1"/>
  <c r="L2314" i="1"/>
  <c r="M2314" i="1"/>
  <c r="K2315" i="1"/>
  <c r="L2315" i="1"/>
  <c r="M2315" i="1"/>
  <c r="K2316" i="1"/>
  <c r="L2316" i="1"/>
  <c r="M2316" i="1"/>
  <c r="K2317" i="1"/>
  <c r="L2317" i="1"/>
  <c r="M2317" i="1"/>
  <c r="K2318" i="1"/>
  <c r="L2318" i="1"/>
  <c r="M2318" i="1"/>
  <c r="K2319" i="1"/>
  <c r="L2319" i="1"/>
  <c r="M2319" i="1"/>
  <c r="K2320" i="1"/>
  <c r="L2320" i="1"/>
  <c r="M2320" i="1"/>
  <c r="K2321" i="1"/>
  <c r="L2321" i="1"/>
  <c r="M2321" i="1"/>
  <c r="K2322" i="1"/>
  <c r="L2322" i="1"/>
  <c r="M2322" i="1"/>
  <c r="K2323" i="1"/>
  <c r="L2323" i="1"/>
  <c r="M2323" i="1"/>
  <c r="K2324" i="1"/>
  <c r="L2324" i="1"/>
  <c r="M2324" i="1"/>
  <c r="K2325" i="1"/>
  <c r="L2325" i="1"/>
  <c r="M2325" i="1"/>
  <c r="K2326" i="1"/>
  <c r="L2326" i="1"/>
  <c r="M2326" i="1"/>
  <c r="K2327" i="1"/>
  <c r="L2327" i="1"/>
  <c r="M2327" i="1"/>
  <c r="K2328" i="1"/>
  <c r="L2328" i="1"/>
  <c r="M2328" i="1"/>
  <c r="K2329" i="1"/>
  <c r="L2329" i="1"/>
  <c r="M2329" i="1"/>
  <c r="K2330" i="1"/>
  <c r="L2330" i="1"/>
  <c r="M2330" i="1"/>
  <c r="K2331" i="1"/>
  <c r="L2331" i="1"/>
  <c r="M2331" i="1"/>
  <c r="K2332" i="1"/>
  <c r="L2332" i="1"/>
  <c r="M2332" i="1"/>
  <c r="K2333" i="1"/>
  <c r="L2333" i="1"/>
  <c r="M2333" i="1"/>
  <c r="K2334" i="1"/>
  <c r="L2334" i="1"/>
  <c r="M2334" i="1"/>
  <c r="K2335" i="1"/>
  <c r="L2335" i="1"/>
  <c r="M2335" i="1"/>
  <c r="K2336" i="1"/>
  <c r="L2336" i="1"/>
  <c r="M2336" i="1"/>
  <c r="K2337" i="1"/>
  <c r="L2337" i="1"/>
  <c r="M2337" i="1"/>
  <c r="K2338" i="1"/>
  <c r="L2338" i="1"/>
  <c r="M2338" i="1"/>
  <c r="K2339" i="1"/>
  <c r="L2339" i="1"/>
  <c r="M2339" i="1"/>
  <c r="K2340" i="1"/>
  <c r="L2340" i="1"/>
  <c r="M2340" i="1"/>
  <c r="K2341" i="1"/>
  <c r="L2341" i="1"/>
  <c r="M2341" i="1"/>
  <c r="K2342" i="1"/>
  <c r="L2342" i="1"/>
  <c r="M2342" i="1"/>
  <c r="K2343" i="1"/>
  <c r="L2343" i="1"/>
  <c r="M2343" i="1"/>
  <c r="K2344" i="1"/>
  <c r="L2344" i="1"/>
  <c r="M2344" i="1"/>
  <c r="K2345" i="1"/>
  <c r="L2345" i="1"/>
  <c r="M2345" i="1"/>
  <c r="K2346" i="1"/>
  <c r="L2346" i="1"/>
  <c r="M2346" i="1"/>
  <c r="K2347" i="1"/>
  <c r="L2347" i="1"/>
  <c r="M2347" i="1"/>
  <c r="K2348" i="1"/>
  <c r="L2348" i="1"/>
  <c r="M2348" i="1"/>
  <c r="K2349" i="1"/>
  <c r="L2349" i="1"/>
  <c r="M2349" i="1"/>
  <c r="K2350" i="1"/>
  <c r="L2350" i="1"/>
  <c r="M2350" i="1"/>
  <c r="K2351" i="1"/>
  <c r="L2351" i="1"/>
  <c r="M2351" i="1"/>
  <c r="K2352" i="1"/>
  <c r="L2352" i="1"/>
  <c r="M2352" i="1"/>
  <c r="K2353" i="1"/>
  <c r="L2353" i="1"/>
  <c r="M2353" i="1"/>
  <c r="K2354" i="1"/>
  <c r="L2354" i="1"/>
  <c r="M2354" i="1"/>
  <c r="K2355" i="1"/>
  <c r="L2355" i="1"/>
  <c r="M2355" i="1"/>
  <c r="K2356" i="1"/>
  <c r="L2356" i="1"/>
  <c r="M2356" i="1"/>
  <c r="K2357" i="1"/>
  <c r="L2357" i="1"/>
  <c r="M2357" i="1"/>
  <c r="K2358" i="1"/>
  <c r="L2358" i="1"/>
  <c r="M2358" i="1"/>
  <c r="K2359" i="1"/>
  <c r="L2359" i="1"/>
  <c r="M2359" i="1"/>
  <c r="K2360" i="1"/>
  <c r="L2360" i="1"/>
  <c r="M2360" i="1"/>
  <c r="K2361" i="1"/>
  <c r="L2361" i="1"/>
  <c r="M2361" i="1"/>
  <c r="K2362" i="1"/>
  <c r="L2362" i="1"/>
  <c r="M2362" i="1"/>
  <c r="K2363" i="1"/>
  <c r="L2363" i="1"/>
  <c r="M2363" i="1"/>
  <c r="K2364" i="1"/>
  <c r="L2364" i="1"/>
  <c r="M2364" i="1"/>
  <c r="K2365" i="1"/>
  <c r="L2365" i="1"/>
  <c r="M2365" i="1"/>
  <c r="K2366" i="1"/>
  <c r="L2366" i="1"/>
  <c r="M2366" i="1"/>
  <c r="K2367" i="1"/>
  <c r="L2367" i="1"/>
  <c r="M2367" i="1"/>
  <c r="K2368" i="1"/>
  <c r="L2368" i="1"/>
  <c r="M2368" i="1"/>
  <c r="K2369" i="1"/>
  <c r="L2369" i="1"/>
  <c r="M2369" i="1"/>
  <c r="K2370" i="1"/>
  <c r="L2370" i="1"/>
  <c r="M2370" i="1"/>
  <c r="K2371" i="1"/>
  <c r="L2371" i="1"/>
  <c r="M2371" i="1"/>
  <c r="K2372" i="1"/>
  <c r="L2372" i="1"/>
  <c r="M2372" i="1"/>
  <c r="K2373" i="1"/>
  <c r="L2373" i="1"/>
  <c r="M2373" i="1"/>
  <c r="K2374" i="1"/>
  <c r="L2374" i="1"/>
  <c r="M2374" i="1"/>
  <c r="K2375" i="1"/>
  <c r="L2375" i="1"/>
  <c r="M2375" i="1"/>
  <c r="K2376" i="1"/>
  <c r="L2376" i="1"/>
  <c r="M2376" i="1"/>
  <c r="K2377" i="1"/>
  <c r="L2377" i="1"/>
  <c r="M2377" i="1"/>
  <c r="K2378" i="1"/>
  <c r="L2378" i="1"/>
  <c r="M2378" i="1"/>
  <c r="K2379" i="1"/>
  <c r="L2379" i="1"/>
  <c r="M2379" i="1"/>
  <c r="K2380" i="1"/>
  <c r="L2380" i="1"/>
  <c r="M2380" i="1"/>
  <c r="K2381" i="1"/>
  <c r="L2381" i="1"/>
  <c r="M2381" i="1"/>
  <c r="K2382" i="1"/>
  <c r="L2382" i="1"/>
  <c r="M2382" i="1"/>
  <c r="K2383" i="1"/>
  <c r="L2383" i="1"/>
  <c r="M2383" i="1"/>
  <c r="K2384" i="1"/>
  <c r="L2384" i="1"/>
  <c r="M2384" i="1"/>
  <c r="K2385" i="1"/>
  <c r="L2385" i="1"/>
  <c r="M2385" i="1"/>
  <c r="K2386" i="1"/>
  <c r="L2386" i="1"/>
  <c r="M2386" i="1"/>
  <c r="K2387" i="1"/>
  <c r="L2387" i="1"/>
  <c r="M2387" i="1"/>
  <c r="K2388" i="1"/>
  <c r="L2388" i="1"/>
  <c r="M2388" i="1"/>
  <c r="K2389" i="1"/>
  <c r="L2389" i="1"/>
  <c r="M2389" i="1"/>
  <c r="K2390" i="1"/>
  <c r="L2390" i="1"/>
  <c r="M2390" i="1"/>
  <c r="K2391" i="1"/>
  <c r="L2391" i="1"/>
  <c r="M2391" i="1"/>
  <c r="K2392" i="1"/>
  <c r="L2392" i="1"/>
  <c r="M2392" i="1"/>
  <c r="K2393" i="1"/>
  <c r="L2393" i="1"/>
  <c r="M2393" i="1"/>
  <c r="K2394" i="1"/>
  <c r="L2394" i="1"/>
  <c r="M2394" i="1"/>
  <c r="K2395" i="1"/>
  <c r="L2395" i="1"/>
  <c r="M2395" i="1"/>
  <c r="K2396" i="1"/>
  <c r="L2396" i="1"/>
  <c r="M2396" i="1"/>
  <c r="K2397" i="1"/>
  <c r="L2397" i="1"/>
  <c r="M2397" i="1"/>
  <c r="K2398" i="1"/>
  <c r="L2398" i="1"/>
  <c r="M2398" i="1"/>
  <c r="K2399" i="1"/>
  <c r="L2399" i="1"/>
  <c r="M2399" i="1"/>
  <c r="K2400" i="1"/>
  <c r="L2400" i="1"/>
  <c r="M2400" i="1"/>
  <c r="K2401" i="1"/>
  <c r="L2401" i="1"/>
  <c r="M2401" i="1"/>
  <c r="K2402" i="1"/>
  <c r="L2402" i="1"/>
  <c r="M2402" i="1"/>
  <c r="K2403" i="1"/>
  <c r="L2403" i="1"/>
  <c r="M2403" i="1"/>
  <c r="K2404" i="1"/>
  <c r="L2404" i="1"/>
  <c r="M2404" i="1"/>
  <c r="K2405" i="1"/>
  <c r="L2405" i="1"/>
  <c r="M2405" i="1"/>
  <c r="K2406" i="1"/>
  <c r="L2406" i="1"/>
  <c r="M2406" i="1"/>
  <c r="K2407" i="1"/>
  <c r="L2407" i="1"/>
  <c r="M2407" i="1"/>
  <c r="K2408" i="1"/>
  <c r="L2408" i="1"/>
  <c r="M2408" i="1"/>
  <c r="K2409" i="1"/>
  <c r="L2409" i="1"/>
  <c r="M2409" i="1"/>
  <c r="K2410" i="1"/>
  <c r="L2410" i="1"/>
  <c r="M2410" i="1"/>
  <c r="K2411" i="1"/>
  <c r="L2411" i="1"/>
  <c r="M2411" i="1"/>
  <c r="K2412" i="1"/>
  <c r="L2412" i="1"/>
  <c r="M2412" i="1"/>
  <c r="M3" i="1"/>
  <c r="L3" i="1"/>
  <c r="K3" i="1"/>
  <c r="J4" i="1" l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H99" i="1"/>
  <c r="I99" i="1"/>
  <c r="J99" i="1"/>
  <c r="H100" i="1"/>
  <c r="I100" i="1"/>
  <c r="J100" i="1"/>
  <c r="H101" i="1"/>
  <c r="I101" i="1"/>
  <c r="J101" i="1"/>
  <c r="H102" i="1"/>
  <c r="I102" i="1"/>
  <c r="J102" i="1"/>
  <c r="H103" i="1"/>
  <c r="I103" i="1"/>
  <c r="J103" i="1"/>
  <c r="H104" i="1"/>
  <c r="I104" i="1"/>
  <c r="J104" i="1"/>
  <c r="H105" i="1"/>
  <c r="I105" i="1"/>
  <c r="J105" i="1"/>
  <c r="H106" i="1"/>
  <c r="I106" i="1"/>
  <c r="J106" i="1"/>
  <c r="H107" i="1"/>
  <c r="I107" i="1"/>
  <c r="J107" i="1"/>
  <c r="H108" i="1"/>
  <c r="I108" i="1"/>
  <c r="J108" i="1"/>
  <c r="H109" i="1"/>
  <c r="I109" i="1"/>
  <c r="J109" i="1"/>
  <c r="H110" i="1"/>
  <c r="I110" i="1"/>
  <c r="J110" i="1"/>
  <c r="H111" i="1"/>
  <c r="I111" i="1"/>
  <c r="J111" i="1"/>
  <c r="H112" i="1"/>
  <c r="I112" i="1"/>
  <c r="J112" i="1"/>
  <c r="H113" i="1"/>
  <c r="I113" i="1"/>
  <c r="J113" i="1"/>
  <c r="H114" i="1"/>
  <c r="I114" i="1"/>
  <c r="J114" i="1"/>
  <c r="H115" i="1"/>
  <c r="I115" i="1"/>
  <c r="J115" i="1"/>
  <c r="H116" i="1"/>
  <c r="I116" i="1"/>
  <c r="J116" i="1"/>
  <c r="H117" i="1"/>
  <c r="I117" i="1"/>
  <c r="J117" i="1"/>
  <c r="H118" i="1"/>
  <c r="I118" i="1"/>
  <c r="J118" i="1"/>
  <c r="H119" i="1"/>
  <c r="I119" i="1"/>
  <c r="J119" i="1"/>
  <c r="H120" i="1"/>
  <c r="I120" i="1"/>
  <c r="J120" i="1"/>
  <c r="H121" i="1"/>
  <c r="I121" i="1"/>
  <c r="J121" i="1"/>
  <c r="H122" i="1"/>
  <c r="I122" i="1"/>
  <c r="J122" i="1"/>
  <c r="H123" i="1"/>
  <c r="I123" i="1"/>
  <c r="J123" i="1"/>
  <c r="H124" i="1"/>
  <c r="I124" i="1"/>
  <c r="J124" i="1"/>
  <c r="H125" i="1"/>
  <c r="I125" i="1"/>
  <c r="J125" i="1"/>
  <c r="H126" i="1"/>
  <c r="I126" i="1"/>
  <c r="J126" i="1"/>
  <c r="H127" i="1"/>
  <c r="I127" i="1"/>
  <c r="J127" i="1"/>
  <c r="H128" i="1"/>
  <c r="I128" i="1"/>
  <c r="J128" i="1"/>
  <c r="H129" i="1"/>
  <c r="I129" i="1"/>
  <c r="J129" i="1"/>
  <c r="H130" i="1"/>
  <c r="I130" i="1"/>
  <c r="J130" i="1"/>
  <c r="H131" i="1"/>
  <c r="I131" i="1"/>
  <c r="J131" i="1"/>
  <c r="H132" i="1"/>
  <c r="I132" i="1"/>
  <c r="J132" i="1"/>
  <c r="H133" i="1"/>
  <c r="I133" i="1"/>
  <c r="J133" i="1"/>
  <c r="H134" i="1"/>
  <c r="I134" i="1"/>
  <c r="J134" i="1"/>
  <c r="H135" i="1"/>
  <c r="I135" i="1"/>
  <c r="J135" i="1"/>
  <c r="H136" i="1"/>
  <c r="I136" i="1"/>
  <c r="J136" i="1"/>
  <c r="H137" i="1"/>
  <c r="I137" i="1"/>
  <c r="J137" i="1"/>
  <c r="H138" i="1"/>
  <c r="I138" i="1"/>
  <c r="J138" i="1"/>
  <c r="H139" i="1"/>
  <c r="I139" i="1"/>
  <c r="J139" i="1"/>
  <c r="H140" i="1"/>
  <c r="I140" i="1"/>
  <c r="J140" i="1"/>
  <c r="H141" i="1"/>
  <c r="I141" i="1"/>
  <c r="J141" i="1"/>
  <c r="H142" i="1"/>
  <c r="I142" i="1"/>
  <c r="J142" i="1"/>
  <c r="H143" i="1"/>
  <c r="I143" i="1"/>
  <c r="J143" i="1"/>
  <c r="H144" i="1"/>
  <c r="I144" i="1"/>
  <c r="J144" i="1"/>
  <c r="H145" i="1"/>
  <c r="I145" i="1"/>
  <c r="J145" i="1"/>
  <c r="H146" i="1"/>
  <c r="I146" i="1"/>
  <c r="J146" i="1"/>
  <c r="H147" i="1"/>
  <c r="I147" i="1"/>
  <c r="J147" i="1"/>
  <c r="H148" i="1"/>
  <c r="I148" i="1"/>
  <c r="J148" i="1"/>
  <c r="H149" i="1"/>
  <c r="I149" i="1"/>
  <c r="J149" i="1"/>
  <c r="H150" i="1"/>
  <c r="I150" i="1"/>
  <c r="J150" i="1"/>
  <c r="H151" i="1"/>
  <c r="I151" i="1"/>
  <c r="J151" i="1"/>
  <c r="H152" i="1"/>
  <c r="I152" i="1"/>
  <c r="J152" i="1"/>
  <c r="H153" i="1"/>
  <c r="I153" i="1"/>
  <c r="J153" i="1"/>
  <c r="H154" i="1"/>
  <c r="I154" i="1"/>
  <c r="J154" i="1"/>
  <c r="H155" i="1"/>
  <c r="I155" i="1"/>
  <c r="J155" i="1"/>
  <c r="H156" i="1"/>
  <c r="I156" i="1"/>
  <c r="J156" i="1"/>
  <c r="H157" i="1"/>
  <c r="I157" i="1"/>
  <c r="J157" i="1"/>
  <c r="H158" i="1"/>
  <c r="I158" i="1"/>
  <c r="J158" i="1"/>
  <c r="H159" i="1"/>
  <c r="I159" i="1"/>
  <c r="J159" i="1"/>
  <c r="H160" i="1"/>
  <c r="I160" i="1"/>
  <c r="J160" i="1"/>
  <c r="H161" i="1"/>
  <c r="I161" i="1"/>
  <c r="J161" i="1"/>
  <c r="H162" i="1"/>
  <c r="I162" i="1"/>
  <c r="J162" i="1"/>
  <c r="H163" i="1"/>
  <c r="I163" i="1"/>
  <c r="J163" i="1"/>
  <c r="H164" i="1"/>
  <c r="I164" i="1"/>
  <c r="J164" i="1"/>
  <c r="H165" i="1"/>
  <c r="I165" i="1"/>
  <c r="J165" i="1"/>
  <c r="H166" i="1"/>
  <c r="I166" i="1"/>
  <c r="J166" i="1"/>
  <c r="H167" i="1"/>
  <c r="I167" i="1"/>
  <c r="J167" i="1"/>
  <c r="H168" i="1"/>
  <c r="I168" i="1"/>
  <c r="J168" i="1"/>
  <c r="H169" i="1"/>
  <c r="I169" i="1"/>
  <c r="J169" i="1"/>
  <c r="H170" i="1"/>
  <c r="I170" i="1"/>
  <c r="J170" i="1"/>
  <c r="H171" i="1"/>
  <c r="I171" i="1"/>
  <c r="J171" i="1"/>
  <c r="H172" i="1"/>
  <c r="I172" i="1"/>
  <c r="J172" i="1"/>
  <c r="H173" i="1"/>
  <c r="I173" i="1"/>
  <c r="J173" i="1"/>
  <c r="H174" i="1"/>
  <c r="I174" i="1"/>
  <c r="J174" i="1"/>
  <c r="H175" i="1"/>
  <c r="I175" i="1"/>
  <c r="J175" i="1"/>
  <c r="H176" i="1"/>
  <c r="I176" i="1"/>
  <c r="J176" i="1"/>
  <c r="H177" i="1"/>
  <c r="I177" i="1"/>
  <c r="J177" i="1"/>
  <c r="H178" i="1"/>
  <c r="I178" i="1"/>
  <c r="J178" i="1"/>
  <c r="H179" i="1"/>
  <c r="I179" i="1"/>
  <c r="J179" i="1"/>
  <c r="H180" i="1"/>
  <c r="I180" i="1"/>
  <c r="J180" i="1"/>
  <c r="H181" i="1"/>
  <c r="I181" i="1"/>
  <c r="J181" i="1"/>
  <c r="H182" i="1"/>
  <c r="I182" i="1"/>
  <c r="J182" i="1"/>
  <c r="H183" i="1"/>
  <c r="I183" i="1"/>
  <c r="J183" i="1"/>
  <c r="H184" i="1"/>
  <c r="I184" i="1"/>
  <c r="J184" i="1"/>
  <c r="H185" i="1"/>
  <c r="I185" i="1"/>
  <c r="J185" i="1"/>
  <c r="H186" i="1"/>
  <c r="I186" i="1"/>
  <c r="J186" i="1"/>
  <c r="H187" i="1"/>
  <c r="I187" i="1"/>
  <c r="J187" i="1"/>
  <c r="H188" i="1"/>
  <c r="I188" i="1"/>
  <c r="J188" i="1"/>
  <c r="H189" i="1"/>
  <c r="I189" i="1"/>
  <c r="J189" i="1"/>
  <c r="H190" i="1"/>
  <c r="I190" i="1"/>
  <c r="J190" i="1"/>
  <c r="H191" i="1"/>
  <c r="I191" i="1"/>
  <c r="J191" i="1"/>
  <c r="H192" i="1"/>
  <c r="I192" i="1"/>
  <c r="J192" i="1"/>
  <c r="H193" i="1"/>
  <c r="I193" i="1"/>
  <c r="J193" i="1"/>
  <c r="H194" i="1"/>
  <c r="I194" i="1"/>
  <c r="J194" i="1"/>
  <c r="H195" i="1"/>
  <c r="I195" i="1"/>
  <c r="J195" i="1"/>
  <c r="H196" i="1"/>
  <c r="I196" i="1"/>
  <c r="J196" i="1"/>
  <c r="H197" i="1"/>
  <c r="I197" i="1"/>
  <c r="J197" i="1"/>
  <c r="H198" i="1"/>
  <c r="I198" i="1"/>
  <c r="J198" i="1"/>
  <c r="H199" i="1"/>
  <c r="I199" i="1"/>
  <c r="J199" i="1"/>
  <c r="H200" i="1"/>
  <c r="I200" i="1"/>
  <c r="J200" i="1"/>
  <c r="H201" i="1"/>
  <c r="I201" i="1"/>
  <c r="J201" i="1"/>
  <c r="H202" i="1"/>
  <c r="I202" i="1"/>
  <c r="J202" i="1"/>
  <c r="H203" i="1"/>
  <c r="I203" i="1"/>
  <c r="J203" i="1"/>
  <c r="H204" i="1"/>
  <c r="I204" i="1"/>
  <c r="J204" i="1"/>
  <c r="H205" i="1"/>
  <c r="I205" i="1"/>
  <c r="J205" i="1"/>
  <c r="H206" i="1"/>
  <c r="I206" i="1"/>
  <c r="J206" i="1"/>
  <c r="H207" i="1"/>
  <c r="I207" i="1"/>
  <c r="J207" i="1"/>
  <c r="H208" i="1"/>
  <c r="I208" i="1"/>
  <c r="J208" i="1"/>
  <c r="H209" i="1"/>
  <c r="I209" i="1"/>
  <c r="J209" i="1"/>
  <c r="H210" i="1"/>
  <c r="I210" i="1"/>
  <c r="J210" i="1"/>
  <c r="H211" i="1"/>
  <c r="I211" i="1"/>
  <c r="J211" i="1"/>
  <c r="H212" i="1"/>
  <c r="I212" i="1"/>
  <c r="J212" i="1"/>
  <c r="H213" i="1"/>
  <c r="I213" i="1"/>
  <c r="J213" i="1"/>
  <c r="H214" i="1"/>
  <c r="I214" i="1"/>
  <c r="J214" i="1"/>
  <c r="H215" i="1"/>
  <c r="I215" i="1"/>
  <c r="J215" i="1"/>
  <c r="H216" i="1"/>
  <c r="I216" i="1"/>
  <c r="J216" i="1"/>
  <c r="H217" i="1"/>
  <c r="I217" i="1"/>
  <c r="J217" i="1"/>
  <c r="H218" i="1"/>
  <c r="I218" i="1"/>
  <c r="J218" i="1"/>
  <c r="H219" i="1"/>
  <c r="I219" i="1"/>
  <c r="J219" i="1"/>
  <c r="H220" i="1"/>
  <c r="I220" i="1"/>
  <c r="J220" i="1"/>
  <c r="H221" i="1"/>
  <c r="I221" i="1"/>
  <c r="J221" i="1"/>
  <c r="H222" i="1"/>
  <c r="I222" i="1"/>
  <c r="J222" i="1"/>
  <c r="H223" i="1"/>
  <c r="I223" i="1"/>
  <c r="J223" i="1"/>
  <c r="H224" i="1"/>
  <c r="I224" i="1"/>
  <c r="J224" i="1"/>
  <c r="H225" i="1"/>
  <c r="I225" i="1"/>
  <c r="J225" i="1"/>
  <c r="H226" i="1"/>
  <c r="I226" i="1"/>
  <c r="J226" i="1"/>
  <c r="H227" i="1"/>
  <c r="I227" i="1"/>
  <c r="J227" i="1"/>
  <c r="H228" i="1"/>
  <c r="I228" i="1"/>
  <c r="J228" i="1"/>
  <c r="H229" i="1"/>
  <c r="I229" i="1"/>
  <c r="J229" i="1"/>
  <c r="H230" i="1"/>
  <c r="I230" i="1"/>
  <c r="J230" i="1"/>
  <c r="H231" i="1"/>
  <c r="I231" i="1"/>
  <c r="J231" i="1"/>
  <c r="H232" i="1"/>
  <c r="I232" i="1"/>
  <c r="J232" i="1"/>
  <c r="H233" i="1"/>
  <c r="I233" i="1"/>
  <c r="J233" i="1"/>
  <c r="H234" i="1"/>
  <c r="I234" i="1"/>
  <c r="J234" i="1"/>
  <c r="H235" i="1"/>
  <c r="I235" i="1"/>
  <c r="J235" i="1"/>
  <c r="H236" i="1"/>
  <c r="I236" i="1"/>
  <c r="J236" i="1"/>
  <c r="H237" i="1"/>
  <c r="I237" i="1"/>
  <c r="J237" i="1"/>
  <c r="H238" i="1"/>
  <c r="I238" i="1"/>
  <c r="J238" i="1"/>
  <c r="H239" i="1"/>
  <c r="I239" i="1"/>
  <c r="J239" i="1"/>
  <c r="H240" i="1"/>
  <c r="I240" i="1"/>
  <c r="J240" i="1"/>
  <c r="H241" i="1"/>
  <c r="I241" i="1"/>
  <c r="J241" i="1"/>
  <c r="H242" i="1"/>
  <c r="I242" i="1"/>
  <c r="J242" i="1"/>
  <c r="H243" i="1"/>
  <c r="I243" i="1"/>
  <c r="J243" i="1"/>
  <c r="H244" i="1"/>
  <c r="I244" i="1"/>
  <c r="J244" i="1"/>
  <c r="H245" i="1"/>
  <c r="I245" i="1"/>
  <c r="J245" i="1"/>
  <c r="H246" i="1"/>
  <c r="I246" i="1"/>
  <c r="J246" i="1"/>
  <c r="H247" i="1"/>
  <c r="I247" i="1"/>
  <c r="J247" i="1"/>
  <c r="H248" i="1"/>
  <c r="I248" i="1"/>
  <c r="J248" i="1"/>
  <c r="H249" i="1"/>
  <c r="I249" i="1"/>
  <c r="J249" i="1"/>
  <c r="H250" i="1"/>
  <c r="I250" i="1"/>
  <c r="J250" i="1"/>
  <c r="H251" i="1"/>
  <c r="I251" i="1"/>
  <c r="J251" i="1"/>
  <c r="H252" i="1"/>
  <c r="I252" i="1"/>
  <c r="J252" i="1"/>
  <c r="H253" i="1"/>
  <c r="I253" i="1"/>
  <c r="J253" i="1"/>
  <c r="H254" i="1"/>
  <c r="I254" i="1"/>
  <c r="J254" i="1"/>
  <c r="H255" i="1"/>
  <c r="I255" i="1"/>
  <c r="J255" i="1"/>
  <c r="H256" i="1"/>
  <c r="I256" i="1"/>
  <c r="J256" i="1"/>
  <c r="H257" i="1"/>
  <c r="I257" i="1"/>
  <c r="J257" i="1"/>
  <c r="H258" i="1"/>
  <c r="I258" i="1"/>
  <c r="J258" i="1"/>
  <c r="H259" i="1"/>
  <c r="I259" i="1"/>
  <c r="J259" i="1"/>
  <c r="H260" i="1"/>
  <c r="I260" i="1"/>
  <c r="J260" i="1"/>
  <c r="H261" i="1"/>
  <c r="I261" i="1"/>
  <c r="J261" i="1"/>
  <c r="H262" i="1"/>
  <c r="I262" i="1"/>
  <c r="J262" i="1"/>
  <c r="H263" i="1"/>
  <c r="I263" i="1"/>
  <c r="J263" i="1"/>
  <c r="H264" i="1"/>
  <c r="I264" i="1"/>
  <c r="J264" i="1"/>
  <c r="H265" i="1"/>
  <c r="I265" i="1"/>
  <c r="J265" i="1"/>
  <c r="H266" i="1"/>
  <c r="I266" i="1"/>
  <c r="J266" i="1"/>
  <c r="H267" i="1"/>
  <c r="I267" i="1"/>
  <c r="J267" i="1"/>
  <c r="H268" i="1"/>
  <c r="I268" i="1"/>
  <c r="J268" i="1"/>
  <c r="H269" i="1"/>
  <c r="I269" i="1"/>
  <c r="J269" i="1"/>
  <c r="H270" i="1"/>
  <c r="I270" i="1"/>
  <c r="J270" i="1"/>
  <c r="H271" i="1"/>
  <c r="I271" i="1"/>
  <c r="J271" i="1"/>
  <c r="H272" i="1"/>
  <c r="I272" i="1"/>
  <c r="J272" i="1"/>
  <c r="H273" i="1"/>
  <c r="I273" i="1"/>
  <c r="J273" i="1"/>
  <c r="H274" i="1"/>
  <c r="I274" i="1"/>
  <c r="J274" i="1"/>
  <c r="H275" i="1"/>
  <c r="I275" i="1"/>
  <c r="J275" i="1"/>
  <c r="H276" i="1"/>
  <c r="I276" i="1"/>
  <c r="J276" i="1"/>
  <c r="H277" i="1"/>
  <c r="I277" i="1"/>
  <c r="J277" i="1"/>
  <c r="H278" i="1"/>
  <c r="I278" i="1"/>
  <c r="J278" i="1"/>
  <c r="H279" i="1"/>
  <c r="I279" i="1"/>
  <c r="J279" i="1"/>
  <c r="H280" i="1"/>
  <c r="I280" i="1"/>
  <c r="J280" i="1"/>
  <c r="H281" i="1"/>
  <c r="I281" i="1"/>
  <c r="J281" i="1"/>
  <c r="H282" i="1"/>
  <c r="I282" i="1"/>
  <c r="J282" i="1"/>
  <c r="H283" i="1"/>
  <c r="I283" i="1"/>
  <c r="J283" i="1"/>
  <c r="H284" i="1"/>
  <c r="I284" i="1"/>
  <c r="J284" i="1"/>
  <c r="H285" i="1"/>
  <c r="I285" i="1"/>
  <c r="J285" i="1"/>
  <c r="H286" i="1"/>
  <c r="I286" i="1"/>
  <c r="J286" i="1"/>
  <c r="H287" i="1"/>
  <c r="I287" i="1"/>
  <c r="J287" i="1"/>
  <c r="H288" i="1"/>
  <c r="I288" i="1"/>
  <c r="J288" i="1"/>
  <c r="H289" i="1"/>
  <c r="I289" i="1"/>
  <c r="J289" i="1"/>
  <c r="H290" i="1"/>
  <c r="I290" i="1"/>
  <c r="J290" i="1"/>
  <c r="H291" i="1"/>
  <c r="I291" i="1"/>
  <c r="J291" i="1"/>
  <c r="H292" i="1"/>
  <c r="I292" i="1"/>
  <c r="J292" i="1"/>
  <c r="H293" i="1"/>
  <c r="I293" i="1"/>
  <c r="J293" i="1"/>
  <c r="H294" i="1"/>
  <c r="I294" i="1"/>
  <c r="J294" i="1"/>
  <c r="H295" i="1"/>
  <c r="I295" i="1"/>
  <c r="J295" i="1"/>
  <c r="H296" i="1"/>
  <c r="I296" i="1"/>
  <c r="J296" i="1"/>
  <c r="H297" i="1"/>
  <c r="I297" i="1"/>
  <c r="J297" i="1"/>
  <c r="H298" i="1"/>
  <c r="I298" i="1"/>
  <c r="J298" i="1"/>
  <c r="H299" i="1"/>
  <c r="I299" i="1"/>
  <c r="J299" i="1"/>
  <c r="H300" i="1"/>
  <c r="I300" i="1"/>
  <c r="J300" i="1"/>
  <c r="H301" i="1"/>
  <c r="I301" i="1"/>
  <c r="J301" i="1"/>
  <c r="H302" i="1"/>
  <c r="I302" i="1"/>
  <c r="J302" i="1"/>
  <c r="H303" i="1"/>
  <c r="I303" i="1"/>
  <c r="J303" i="1"/>
  <c r="H304" i="1"/>
  <c r="I304" i="1"/>
  <c r="J304" i="1"/>
  <c r="H305" i="1"/>
  <c r="I305" i="1"/>
  <c r="J305" i="1"/>
  <c r="H306" i="1"/>
  <c r="I306" i="1"/>
  <c r="J306" i="1"/>
  <c r="H307" i="1"/>
  <c r="I307" i="1"/>
  <c r="J307" i="1"/>
  <c r="H308" i="1"/>
  <c r="I308" i="1"/>
  <c r="J308" i="1"/>
  <c r="H309" i="1"/>
  <c r="I309" i="1"/>
  <c r="J309" i="1"/>
  <c r="H310" i="1"/>
  <c r="I310" i="1"/>
  <c r="J310" i="1"/>
  <c r="H311" i="1"/>
  <c r="I311" i="1"/>
  <c r="J311" i="1"/>
  <c r="H312" i="1"/>
  <c r="I312" i="1"/>
  <c r="J312" i="1"/>
  <c r="H313" i="1"/>
  <c r="I313" i="1"/>
  <c r="J313" i="1"/>
  <c r="H314" i="1"/>
  <c r="I314" i="1"/>
  <c r="J314" i="1"/>
  <c r="H315" i="1"/>
  <c r="I315" i="1"/>
  <c r="J315" i="1"/>
  <c r="H316" i="1"/>
  <c r="I316" i="1"/>
  <c r="J316" i="1"/>
  <c r="H317" i="1"/>
  <c r="I317" i="1"/>
  <c r="J317" i="1"/>
  <c r="H318" i="1"/>
  <c r="I318" i="1"/>
  <c r="J318" i="1"/>
  <c r="H319" i="1"/>
  <c r="I319" i="1"/>
  <c r="J319" i="1"/>
  <c r="H320" i="1"/>
  <c r="I320" i="1"/>
  <c r="J320" i="1"/>
  <c r="H321" i="1"/>
  <c r="I321" i="1"/>
  <c r="J321" i="1"/>
  <c r="H322" i="1"/>
  <c r="I322" i="1"/>
  <c r="J322" i="1"/>
  <c r="H323" i="1"/>
  <c r="I323" i="1"/>
  <c r="J323" i="1"/>
  <c r="H324" i="1"/>
  <c r="I324" i="1"/>
  <c r="J324" i="1"/>
  <c r="H325" i="1"/>
  <c r="I325" i="1"/>
  <c r="J325" i="1"/>
  <c r="H326" i="1"/>
  <c r="I326" i="1"/>
  <c r="J326" i="1"/>
  <c r="H327" i="1"/>
  <c r="I327" i="1"/>
  <c r="J327" i="1"/>
  <c r="H328" i="1"/>
  <c r="I328" i="1"/>
  <c r="J328" i="1"/>
  <c r="H329" i="1"/>
  <c r="I329" i="1"/>
  <c r="J329" i="1"/>
  <c r="H330" i="1"/>
  <c r="I330" i="1"/>
  <c r="J330" i="1"/>
  <c r="H331" i="1"/>
  <c r="I331" i="1"/>
  <c r="J331" i="1"/>
  <c r="H332" i="1"/>
  <c r="I332" i="1"/>
  <c r="J332" i="1"/>
  <c r="H333" i="1"/>
  <c r="I333" i="1"/>
  <c r="J333" i="1"/>
  <c r="H334" i="1"/>
  <c r="I334" i="1"/>
  <c r="J334" i="1"/>
  <c r="H335" i="1"/>
  <c r="I335" i="1"/>
  <c r="J335" i="1"/>
  <c r="H336" i="1"/>
  <c r="I336" i="1"/>
  <c r="J336" i="1"/>
  <c r="H337" i="1"/>
  <c r="I337" i="1"/>
  <c r="J337" i="1"/>
  <c r="H338" i="1"/>
  <c r="I338" i="1"/>
  <c r="J338" i="1"/>
  <c r="H339" i="1"/>
  <c r="I339" i="1"/>
  <c r="J339" i="1"/>
  <c r="H340" i="1"/>
  <c r="I340" i="1"/>
  <c r="J340" i="1"/>
  <c r="H341" i="1"/>
  <c r="I341" i="1"/>
  <c r="J341" i="1"/>
  <c r="H342" i="1"/>
  <c r="I342" i="1"/>
  <c r="J342" i="1"/>
  <c r="H343" i="1"/>
  <c r="I343" i="1"/>
  <c r="J343" i="1"/>
  <c r="H344" i="1"/>
  <c r="I344" i="1"/>
  <c r="J344" i="1"/>
  <c r="H345" i="1"/>
  <c r="I345" i="1"/>
  <c r="J345" i="1"/>
  <c r="H346" i="1"/>
  <c r="I346" i="1"/>
  <c r="J346" i="1"/>
  <c r="H347" i="1"/>
  <c r="I347" i="1"/>
  <c r="J347" i="1"/>
  <c r="H348" i="1"/>
  <c r="I348" i="1"/>
  <c r="J348" i="1"/>
  <c r="H349" i="1"/>
  <c r="I349" i="1"/>
  <c r="J349" i="1"/>
  <c r="H350" i="1"/>
  <c r="I350" i="1"/>
  <c r="J350" i="1"/>
  <c r="H351" i="1"/>
  <c r="I351" i="1"/>
  <c r="J351" i="1"/>
  <c r="H352" i="1"/>
  <c r="I352" i="1"/>
  <c r="J352" i="1"/>
  <c r="H353" i="1"/>
  <c r="I353" i="1"/>
  <c r="J353" i="1"/>
  <c r="H354" i="1"/>
  <c r="I354" i="1"/>
  <c r="J354" i="1"/>
  <c r="H355" i="1"/>
  <c r="I355" i="1"/>
  <c r="J355" i="1"/>
  <c r="H356" i="1"/>
  <c r="I356" i="1"/>
  <c r="J356" i="1"/>
  <c r="H357" i="1"/>
  <c r="I357" i="1"/>
  <c r="J357" i="1"/>
  <c r="H358" i="1"/>
  <c r="I358" i="1"/>
  <c r="J358" i="1"/>
  <c r="H359" i="1"/>
  <c r="I359" i="1"/>
  <c r="J359" i="1"/>
  <c r="H360" i="1"/>
  <c r="I360" i="1"/>
  <c r="J360" i="1"/>
  <c r="H361" i="1"/>
  <c r="I361" i="1"/>
  <c r="J361" i="1"/>
  <c r="H362" i="1"/>
  <c r="I362" i="1"/>
  <c r="J362" i="1"/>
  <c r="H363" i="1"/>
  <c r="I363" i="1"/>
  <c r="J363" i="1"/>
  <c r="H364" i="1"/>
  <c r="I364" i="1"/>
  <c r="J364" i="1"/>
  <c r="H365" i="1"/>
  <c r="I365" i="1"/>
  <c r="J365" i="1"/>
  <c r="H366" i="1"/>
  <c r="I366" i="1"/>
  <c r="J366" i="1"/>
  <c r="H367" i="1"/>
  <c r="I367" i="1"/>
  <c r="J367" i="1"/>
  <c r="H368" i="1"/>
  <c r="I368" i="1"/>
  <c r="J368" i="1"/>
  <c r="H369" i="1"/>
  <c r="I369" i="1"/>
  <c r="J369" i="1"/>
  <c r="H370" i="1"/>
  <c r="I370" i="1"/>
  <c r="J370" i="1"/>
  <c r="H371" i="1"/>
  <c r="I371" i="1"/>
  <c r="J371" i="1"/>
  <c r="H372" i="1"/>
  <c r="I372" i="1"/>
  <c r="J372" i="1"/>
  <c r="H373" i="1"/>
  <c r="I373" i="1"/>
  <c r="J373" i="1"/>
  <c r="H374" i="1"/>
  <c r="I374" i="1"/>
  <c r="J374" i="1"/>
  <c r="H375" i="1"/>
  <c r="I375" i="1"/>
  <c r="J375" i="1"/>
  <c r="H376" i="1"/>
  <c r="I376" i="1"/>
  <c r="J376" i="1"/>
  <c r="H377" i="1"/>
  <c r="I377" i="1"/>
  <c r="J377" i="1"/>
  <c r="H378" i="1"/>
  <c r="I378" i="1"/>
  <c r="J378" i="1"/>
  <c r="H379" i="1"/>
  <c r="I379" i="1"/>
  <c r="J379" i="1"/>
  <c r="H380" i="1"/>
  <c r="I380" i="1"/>
  <c r="J380" i="1"/>
  <c r="H381" i="1"/>
  <c r="I381" i="1"/>
  <c r="J381" i="1"/>
  <c r="H382" i="1"/>
  <c r="I382" i="1"/>
  <c r="J382" i="1"/>
  <c r="H383" i="1"/>
  <c r="I383" i="1"/>
  <c r="J383" i="1"/>
  <c r="H384" i="1"/>
  <c r="I384" i="1"/>
  <c r="J384" i="1"/>
  <c r="H385" i="1"/>
  <c r="I385" i="1"/>
  <c r="J385" i="1"/>
  <c r="H386" i="1"/>
  <c r="I386" i="1"/>
  <c r="J386" i="1"/>
  <c r="H387" i="1"/>
  <c r="I387" i="1"/>
  <c r="J387" i="1"/>
  <c r="H388" i="1"/>
  <c r="I388" i="1"/>
  <c r="J388" i="1"/>
  <c r="H389" i="1"/>
  <c r="I389" i="1"/>
  <c r="J389" i="1"/>
  <c r="H390" i="1"/>
  <c r="I390" i="1"/>
  <c r="J390" i="1"/>
  <c r="H391" i="1"/>
  <c r="I391" i="1"/>
  <c r="J391" i="1"/>
  <c r="H392" i="1"/>
  <c r="I392" i="1"/>
  <c r="J392" i="1"/>
  <c r="H393" i="1"/>
  <c r="I393" i="1"/>
  <c r="J393" i="1"/>
  <c r="H394" i="1"/>
  <c r="I394" i="1"/>
  <c r="J394" i="1"/>
  <c r="H395" i="1"/>
  <c r="I395" i="1"/>
  <c r="J395" i="1"/>
  <c r="H396" i="1"/>
  <c r="I396" i="1"/>
  <c r="J396" i="1"/>
  <c r="H397" i="1"/>
  <c r="I397" i="1"/>
  <c r="J397" i="1"/>
  <c r="H398" i="1"/>
  <c r="I398" i="1"/>
  <c r="J398" i="1"/>
  <c r="H399" i="1"/>
  <c r="I399" i="1"/>
  <c r="J399" i="1"/>
  <c r="H400" i="1"/>
  <c r="I400" i="1"/>
  <c r="J400" i="1"/>
  <c r="H401" i="1"/>
  <c r="I401" i="1"/>
  <c r="J401" i="1"/>
  <c r="H402" i="1"/>
  <c r="I402" i="1"/>
  <c r="J402" i="1"/>
  <c r="H403" i="1"/>
  <c r="I403" i="1"/>
  <c r="J403" i="1"/>
  <c r="H404" i="1"/>
  <c r="I404" i="1"/>
  <c r="J404" i="1"/>
  <c r="H405" i="1"/>
  <c r="I405" i="1"/>
  <c r="J405" i="1"/>
  <c r="H406" i="1"/>
  <c r="I406" i="1"/>
  <c r="J406" i="1"/>
  <c r="H407" i="1"/>
  <c r="I407" i="1"/>
  <c r="J407" i="1"/>
  <c r="H408" i="1"/>
  <c r="I408" i="1"/>
  <c r="J408" i="1"/>
  <c r="H409" i="1"/>
  <c r="I409" i="1"/>
  <c r="J409" i="1"/>
  <c r="H410" i="1"/>
  <c r="I410" i="1"/>
  <c r="J410" i="1"/>
  <c r="H411" i="1"/>
  <c r="I411" i="1"/>
  <c r="J411" i="1"/>
  <c r="H412" i="1"/>
  <c r="I412" i="1"/>
  <c r="J412" i="1"/>
  <c r="H413" i="1"/>
  <c r="I413" i="1"/>
  <c r="J413" i="1"/>
  <c r="H414" i="1"/>
  <c r="I414" i="1"/>
  <c r="J414" i="1"/>
  <c r="H415" i="1"/>
  <c r="I415" i="1"/>
  <c r="J415" i="1"/>
  <c r="H416" i="1"/>
  <c r="I416" i="1"/>
  <c r="J416" i="1"/>
  <c r="H417" i="1"/>
  <c r="I417" i="1"/>
  <c r="J417" i="1"/>
  <c r="H418" i="1"/>
  <c r="I418" i="1"/>
  <c r="J418" i="1"/>
  <c r="H419" i="1"/>
  <c r="I419" i="1"/>
  <c r="J419" i="1"/>
  <c r="H420" i="1"/>
  <c r="I420" i="1"/>
  <c r="J420" i="1"/>
  <c r="H421" i="1"/>
  <c r="I421" i="1"/>
  <c r="J421" i="1"/>
  <c r="H422" i="1"/>
  <c r="I422" i="1"/>
  <c r="J422" i="1"/>
  <c r="H423" i="1"/>
  <c r="I423" i="1"/>
  <c r="J423" i="1"/>
  <c r="H424" i="1"/>
  <c r="I424" i="1"/>
  <c r="J424" i="1"/>
  <c r="H425" i="1"/>
  <c r="I425" i="1"/>
  <c r="J425" i="1"/>
  <c r="H426" i="1"/>
  <c r="I426" i="1"/>
  <c r="J426" i="1"/>
  <c r="H427" i="1"/>
  <c r="I427" i="1"/>
  <c r="J427" i="1"/>
  <c r="H428" i="1"/>
  <c r="I428" i="1"/>
  <c r="J428" i="1"/>
  <c r="H429" i="1"/>
  <c r="I429" i="1"/>
  <c r="J429" i="1"/>
  <c r="H430" i="1"/>
  <c r="I430" i="1"/>
  <c r="J430" i="1"/>
  <c r="H431" i="1"/>
  <c r="I431" i="1"/>
  <c r="J431" i="1"/>
  <c r="H432" i="1"/>
  <c r="I432" i="1"/>
  <c r="J432" i="1"/>
  <c r="H433" i="1"/>
  <c r="I433" i="1"/>
  <c r="J433" i="1"/>
  <c r="H434" i="1"/>
  <c r="I434" i="1"/>
  <c r="J434" i="1"/>
  <c r="H435" i="1"/>
  <c r="I435" i="1"/>
  <c r="J435" i="1"/>
  <c r="H436" i="1"/>
  <c r="I436" i="1"/>
  <c r="J436" i="1"/>
  <c r="H437" i="1"/>
  <c r="I437" i="1"/>
  <c r="J437" i="1"/>
  <c r="H438" i="1"/>
  <c r="I438" i="1"/>
  <c r="J438" i="1"/>
  <c r="H439" i="1"/>
  <c r="I439" i="1"/>
  <c r="J439" i="1"/>
  <c r="H440" i="1"/>
  <c r="I440" i="1"/>
  <c r="J440" i="1"/>
  <c r="H441" i="1"/>
  <c r="I441" i="1"/>
  <c r="J441" i="1"/>
  <c r="H442" i="1"/>
  <c r="I442" i="1"/>
  <c r="J442" i="1"/>
  <c r="H443" i="1"/>
  <c r="I443" i="1"/>
  <c r="J443" i="1"/>
  <c r="H444" i="1"/>
  <c r="I444" i="1"/>
  <c r="J444" i="1"/>
  <c r="H445" i="1"/>
  <c r="I445" i="1"/>
  <c r="J445" i="1"/>
  <c r="H446" i="1"/>
  <c r="I446" i="1"/>
  <c r="J446" i="1"/>
  <c r="H447" i="1"/>
  <c r="I447" i="1"/>
  <c r="J447" i="1"/>
  <c r="H448" i="1"/>
  <c r="I448" i="1"/>
  <c r="J448" i="1"/>
  <c r="H449" i="1"/>
  <c r="I449" i="1"/>
  <c r="J449" i="1"/>
  <c r="H450" i="1"/>
  <c r="I450" i="1"/>
  <c r="J450" i="1"/>
  <c r="H451" i="1"/>
  <c r="I451" i="1"/>
  <c r="J451" i="1"/>
  <c r="H452" i="1"/>
  <c r="I452" i="1"/>
  <c r="J452" i="1"/>
  <c r="H453" i="1"/>
  <c r="I453" i="1"/>
  <c r="J453" i="1"/>
  <c r="H454" i="1"/>
  <c r="I454" i="1"/>
  <c r="J454" i="1"/>
  <c r="H455" i="1"/>
  <c r="I455" i="1"/>
  <c r="J455" i="1"/>
  <c r="H456" i="1"/>
  <c r="I456" i="1"/>
  <c r="J456" i="1"/>
  <c r="H457" i="1"/>
  <c r="I457" i="1"/>
  <c r="J457" i="1"/>
  <c r="H458" i="1"/>
  <c r="I458" i="1"/>
  <c r="J458" i="1"/>
  <c r="H459" i="1"/>
  <c r="I459" i="1"/>
  <c r="J459" i="1"/>
  <c r="H460" i="1"/>
  <c r="I460" i="1"/>
  <c r="J460" i="1"/>
  <c r="H461" i="1"/>
  <c r="I461" i="1"/>
  <c r="J461" i="1"/>
  <c r="H462" i="1"/>
  <c r="I462" i="1"/>
  <c r="J462" i="1"/>
  <c r="H463" i="1"/>
  <c r="I463" i="1"/>
  <c r="J463" i="1"/>
  <c r="H464" i="1"/>
  <c r="I464" i="1"/>
  <c r="J464" i="1"/>
  <c r="H465" i="1"/>
  <c r="I465" i="1"/>
  <c r="J465" i="1"/>
  <c r="H466" i="1"/>
  <c r="I466" i="1"/>
  <c r="J466" i="1"/>
  <c r="H467" i="1"/>
  <c r="I467" i="1"/>
  <c r="J467" i="1"/>
  <c r="H468" i="1"/>
  <c r="I468" i="1"/>
  <c r="J468" i="1"/>
  <c r="H469" i="1"/>
  <c r="I469" i="1"/>
  <c r="J469" i="1"/>
  <c r="H470" i="1"/>
  <c r="I470" i="1"/>
  <c r="J470" i="1"/>
  <c r="H471" i="1"/>
  <c r="I471" i="1"/>
  <c r="J471" i="1"/>
  <c r="H472" i="1"/>
  <c r="I472" i="1"/>
  <c r="J472" i="1"/>
  <c r="H473" i="1"/>
  <c r="I473" i="1"/>
  <c r="J473" i="1"/>
  <c r="H474" i="1"/>
  <c r="I474" i="1"/>
  <c r="J474" i="1"/>
  <c r="H475" i="1"/>
  <c r="I475" i="1"/>
  <c r="J475" i="1"/>
  <c r="H476" i="1"/>
  <c r="I476" i="1"/>
  <c r="J476" i="1"/>
  <c r="H477" i="1"/>
  <c r="I477" i="1"/>
  <c r="J477" i="1"/>
  <c r="H478" i="1"/>
  <c r="I478" i="1"/>
  <c r="J478" i="1"/>
  <c r="H479" i="1"/>
  <c r="I479" i="1"/>
  <c r="J479" i="1"/>
  <c r="H480" i="1"/>
  <c r="I480" i="1"/>
  <c r="J480" i="1"/>
  <c r="H481" i="1"/>
  <c r="I481" i="1"/>
  <c r="J481" i="1"/>
  <c r="H482" i="1"/>
  <c r="I482" i="1"/>
  <c r="J482" i="1"/>
  <c r="H483" i="1"/>
  <c r="I483" i="1"/>
  <c r="J483" i="1"/>
  <c r="H484" i="1"/>
  <c r="I484" i="1"/>
  <c r="J484" i="1"/>
  <c r="H485" i="1"/>
  <c r="I485" i="1"/>
  <c r="J485" i="1"/>
  <c r="H486" i="1"/>
  <c r="I486" i="1"/>
  <c r="J486" i="1"/>
  <c r="H487" i="1"/>
  <c r="I487" i="1"/>
  <c r="J487" i="1"/>
  <c r="H488" i="1"/>
  <c r="I488" i="1"/>
  <c r="J488" i="1"/>
  <c r="H489" i="1"/>
  <c r="I489" i="1"/>
  <c r="J489" i="1"/>
  <c r="H490" i="1"/>
  <c r="I490" i="1"/>
  <c r="J490" i="1"/>
  <c r="H491" i="1"/>
  <c r="I491" i="1"/>
  <c r="J491" i="1"/>
  <c r="H492" i="1"/>
  <c r="I492" i="1"/>
  <c r="J492" i="1"/>
  <c r="H493" i="1"/>
  <c r="I493" i="1"/>
  <c r="J493" i="1"/>
  <c r="H494" i="1"/>
  <c r="I494" i="1"/>
  <c r="J494" i="1"/>
  <c r="H495" i="1"/>
  <c r="I495" i="1"/>
  <c r="J495" i="1"/>
  <c r="H496" i="1"/>
  <c r="I496" i="1"/>
  <c r="J496" i="1"/>
  <c r="H497" i="1"/>
  <c r="I497" i="1"/>
  <c r="J497" i="1"/>
  <c r="H498" i="1"/>
  <c r="I498" i="1"/>
  <c r="J498" i="1"/>
  <c r="H499" i="1"/>
  <c r="I499" i="1"/>
  <c r="J499" i="1"/>
  <c r="H500" i="1"/>
  <c r="I500" i="1"/>
  <c r="J500" i="1"/>
  <c r="H501" i="1"/>
  <c r="I501" i="1"/>
  <c r="J501" i="1"/>
  <c r="H502" i="1"/>
  <c r="I502" i="1"/>
  <c r="J502" i="1"/>
  <c r="H503" i="1"/>
  <c r="I503" i="1"/>
  <c r="J503" i="1"/>
  <c r="H504" i="1"/>
  <c r="I504" i="1"/>
  <c r="J504" i="1"/>
  <c r="H505" i="1"/>
  <c r="I505" i="1"/>
  <c r="J505" i="1"/>
  <c r="H506" i="1"/>
  <c r="I506" i="1"/>
  <c r="J506" i="1"/>
  <c r="H507" i="1"/>
  <c r="I507" i="1"/>
  <c r="J507" i="1"/>
  <c r="H508" i="1"/>
  <c r="I508" i="1"/>
  <c r="J508" i="1"/>
  <c r="H509" i="1"/>
  <c r="I509" i="1"/>
  <c r="J509" i="1"/>
  <c r="H510" i="1"/>
  <c r="I510" i="1"/>
  <c r="J510" i="1"/>
  <c r="H511" i="1"/>
  <c r="I511" i="1"/>
  <c r="J511" i="1"/>
  <c r="H512" i="1"/>
  <c r="I512" i="1"/>
  <c r="J512" i="1"/>
  <c r="H513" i="1"/>
  <c r="I513" i="1"/>
  <c r="J513" i="1"/>
  <c r="H514" i="1"/>
  <c r="I514" i="1"/>
  <c r="J514" i="1"/>
  <c r="H515" i="1"/>
  <c r="I515" i="1"/>
  <c r="J515" i="1"/>
  <c r="H516" i="1"/>
  <c r="I516" i="1"/>
  <c r="J516" i="1"/>
  <c r="H517" i="1"/>
  <c r="I517" i="1"/>
  <c r="J517" i="1"/>
  <c r="H518" i="1"/>
  <c r="I518" i="1"/>
  <c r="J518" i="1"/>
  <c r="H519" i="1"/>
  <c r="I519" i="1"/>
  <c r="J519" i="1"/>
  <c r="H520" i="1"/>
  <c r="I520" i="1"/>
  <c r="J520" i="1"/>
  <c r="H521" i="1"/>
  <c r="I521" i="1"/>
  <c r="J521" i="1"/>
  <c r="H522" i="1"/>
  <c r="I522" i="1"/>
  <c r="J522" i="1"/>
  <c r="H523" i="1"/>
  <c r="I523" i="1"/>
  <c r="J523" i="1"/>
  <c r="H524" i="1"/>
  <c r="I524" i="1"/>
  <c r="J524" i="1"/>
  <c r="H525" i="1"/>
  <c r="I525" i="1"/>
  <c r="J525" i="1"/>
  <c r="H526" i="1"/>
  <c r="I526" i="1"/>
  <c r="J526" i="1"/>
  <c r="H527" i="1"/>
  <c r="I527" i="1"/>
  <c r="J527" i="1"/>
  <c r="H528" i="1"/>
  <c r="I528" i="1"/>
  <c r="J528" i="1"/>
  <c r="H529" i="1"/>
  <c r="I529" i="1"/>
  <c r="J529" i="1"/>
  <c r="H530" i="1"/>
  <c r="I530" i="1"/>
  <c r="J530" i="1"/>
  <c r="H531" i="1"/>
  <c r="I531" i="1"/>
  <c r="J531" i="1"/>
  <c r="H532" i="1"/>
  <c r="I532" i="1"/>
  <c r="J532" i="1"/>
  <c r="H533" i="1"/>
  <c r="I533" i="1"/>
  <c r="J533" i="1"/>
  <c r="H534" i="1"/>
  <c r="I534" i="1"/>
  <c r="J534" i="1"/>
  <c r="H535" i="1"/>
  <c r="I535" i="1"/>
  <c r="J535" i="1"/>
  <c r="H536" i="1"/>
  <c r="I536" i="1"/>
  <c r="J536" i="1"/>
  <c r="H537" i="1"/>
  <c r="I537" i="1"/>
  <c r="J537" i="1"/>
  <c r="H538" i="1"/>
  <c r="I538" i="1"/>
  <c r="J538" i="1"/>
  <c r="H539" i="1"/>
  <c r="I539" i="1"/>
  <c r="J539" i="1"/>
  <c r="H540" i="1"/>
  <c r="I540" i="1"/>
  <c r="J540" i="1"/>
  <c r="H541" i="1"/>
  <c r="I541" i="1"/>
  <c r="J541" i="1"/>
  <c r="H542" i="1"/>
  <c r="I542" i="1"/>
  <c r="J542" i="1"/>
  <c r="H543" i="1"/>
  <c r="I543" i="1"/>
  <c r="J543" i="1"/>
  <c r="H544" i="1"/>
  <c r="I544" i="1"/>
  <c r="J544" i="1"/>
  <c r="H545" i="1"/>
  <c r="I545" i="1"/>
  <c r="J545" i="1"/>
  <c r="H546" i="1"/>
  <c r="I546" i="1"/>
  <c r="J546" i="1"/>
  <c r="H547" i="1"/>
  <c r="I547" i="1"/>
  <c r="J547" i="1"/>
  <c r="H548" i="1"/>
  <c r="I548" i="1"/>
  <c r="J548" i="1"/>
  <c r="H549" i="1"/>
  <c r="I549" i="1"/>
  <c r="J549" i="1"/>
  <c r="H550" i="1"/>
  <c r="I550" i="1"/>
  <c r="J550" i="1"/>
  <c r="H551" i="1"/>
  <c r="I551" i="1"/>
  <c r="J551" i="1"/>
  <c r="H552" i="1"/>
  <c r="I552" i="1"/>
  <c r="J552" i="1"/>
  <c r="H553" i="1"/>
  <c r="I553" i="1"/>
  <c r="J553" i="1"/>
  <c r="H554" i="1"/>
  <c r="I554" i="1"/>
  <c r="J554" i="1"/>
  <c r="H555" i="1"/>
  <c r="I555" i="1"/>
  <c r="J555" i="1"/>
  <c r="H556" i="1"/>
  <c r="I556" i="1"/>
  <c r="J556" i="1"/>
  <c r="H557" i="1"/>
  <c r="I557" i="1"/>
  <c r="J557" i="1"/>
  <c r="H558" i="1"/>
  <c r="I558" i="1"/>
  <c r="J558" i="1"/>
  <c r="H559" i="1"/>
  <c r="I559" i="1"/>
  <c r="J559" i="1"/>
  <c r="H560" i="1"/>
  <c r="I560" i="1"/>
  <c r="J560" i="1"/>
  <c r="H561" i="1"/>
  <c r="I561" i="1"/>
  <c r="J561" i="1"/>
  <c r="H562" i="1"/>
  <c r="I562" i="1"/>
  <c r="J562" i="1"/>
  <c r="H563" i="1"/>
  <c r="I563" i="1"/>
  <c r="J563" i="1"/>
  <c r="H564" i="1"/>
  <c r="I564" i="1"/>
  <c r="J564" i="1"/>
  <c r="H565" i="1"/>
  <c r="I565" i="1"/>
  <c r="J565" i="1"/>
  <c r="H566" i="1"/>
  <c r="I566" i="1"/>
  <c r="J566" i="1"/>
  <c r="H567" i="1"/>
  <c r="I567" i="1"/>
  <c r="J567" i="1"/>
  <c r="H568" i="1"/>
  <c r="I568" i="1"/>
  <c r="J568" i="1"/>
  <c r="H569" i="1"/>
  <c r="I569" i="1"/>
  <c r="J569" i="1"/>
  <c r="H570" i="1"/>
  <c r="I570" i="1"/>
  <c r="J570" i="1"/>
  <c r="H571" i="1"/>
  <c r="I571" i="1"/>
  <c r="J571" i="1"/>
  <c r="H572" i="1"/>
  <c r="I572" i="1"/>
  <c r="J572" i="1"/>
  <c r="H573" i="1"/>
  <c r="I573" i="1"/>
  <c r="J573" i="1"/>
  <c r="H574" i="1"/>
  <c r="I574" i="1"/>
  <c r="J574" i="1"/>
  <c r="H575" i="1"/>
  <c r="I575" i="1"/>
  <c r="J575" i="1"/>
  <c r="H576" i="1"/>
  <c r="I576" i="1"/>
  <c r="J576" i="1"/>
  <c r="H577" i="1"/>
  <c r="I577" i="1"/>
  <c r="J577" i="1"/>
  <c r="H578" i="1"/>
  <c r="I578" i="1"/>
  <c r="J578" i="1"/>
  <c r="H579" i="1"/>
  <c r="I579" i="1"/>
  <c r="J579" i="1"/>
  <c r="H580" i="1"/>
  <c r="I580" i="1"/>
  <c r="J580" i="1"/>
  <c r="H581" i="1"/>
  <c r="I581" i="1"/>
  <c r="J581" i="1"/>
  <c r="H582" i="1"/>
  <c r="I582" i="1"/>
  <c r="J582" i="1"/>
  <c r="H583" i="1"/>
  <c r="I583" i="1"/>
  <c r="J583" i="1"/>
  <c r="H584" i="1"/>
  <c r="I584" i="1"/>
  <c r="J584" i="1"/>
  <c r="H585" i="1"/>
  <c r="I585" i="1"/>
  <c r="J585" i="1"/>
  <c r="H586" i="1"/>
  <c r="I586" i="1"/>
  <c r="J586" i="1"/>
  <c r="H587" i="1"/>
  <c r="I587" i="1"/>
  <c r="J587" i="1"/>
  <c r="H588" i="1"/>
  <c r="I588" i="1"/>
  <c r="J588" i="1"/>
  <c r="H589" i="1"/>
  <c r="I589" i="1"/>
  <c r="J589" i="1"/>
  <c r="H590" i="1"/>
  <c r="I590" i="1"/>
  <c r="J590" i="1"/>
  <c r="H591" i="1"/>
  <c r="I591" i="1"/>
  <c r="J591" i="1"/>
  <c r="H592" i="1"/>
  <c r="I592" i="1"/>
  <c r="J592" i="1"/>
  <c r="H593" i="1"/>
  <c r="I593" i="1"/>
  <c r="J593" i="1"/>
  <c r="H594" i="1"/>
  <c r="I594" i="1"/>
  <c r="J594" i="1"/>
  <c r="H595" i="1"/>
  <c r="I595" i="1"/>
  <c r="J595" i="1"/>
  <c r="H596" i="1"/>
  <c r="I596" i="1"/>
  <c r="J596" i="1"/>
  <c r="H597" i="1"/>
  <c r="I597" i="1"/>
  <c r="J597" i="1"/>
  <c r="H598" i="1"/>
  <c r="I598" i="1"/>
  <c r="J598" i="1"/>
  <c r="H599" i="1"/>
  <c r="I599" i="1"/>
  <c r="J599" i="1"/>
  <c r="H600" i="1"/>
  <c r="I600" i="1"/>
  <c r="J600" i="1"/>
  <c r="H601" i="1"/>
  <c r="I601" i="1"/>
  <c r="J601" i="1"/>
  <c r="H602" i="1"/>
  <c r="I602" i="1"/>
  <c r="J602" i="1"/>
  <c r="H603" i="1"/>
  <c r="I603" i="1"/>
  <c r="J603" i="1"/>
  <c r="H604" i="1"/>
  <c r="I604" i="1"/>
  <c r="J604" i="1"/>
  <c r="H605" i="1"/>
  <c r="I605" i="1"/>
  <c r="J605" i="1"/>
  <c r="H606" i="1"/>
  <c r="I606" i="1"/>
  <c r="J606" i="1"/>
  <c r="H607" i="1"/>
  <c r="I607" i="1"/>
  <c r="J607" i="1"/>
  <c r="H608" i="1"/>
  <c r="I608" i="1"/>
  <c r="J608" i="1"/>
  <c r="H609" i="1"/>
  <c r="I609" i="1"/>
  <c r="J609" i="1"/>
  <c r="H610" i="1"/>
  <c r="I610" i="1"/>
  <c r="J610" i="1"/>
  <c r="H611" i="1"/>
  <c r="I611" i="1"/>
  <c r="J611" i="1"/>
  <c r="H612" i="1"/>
  <c r="I612" i="1"/>
  <c r="J612" i="1"/>
  <c r="H613" i="1"/>
  <c r="I613" i="1"/>
  <c r="J613" i="1"/>
  <c r="H614" i="1"/>
  <c r="I614" i="1"/>
  <c r="J614" i="1"/>
  <c r="H615" i="1"/>
  <c r="I615" i="1"/>
  <c r="J615" i="1"/>
  <c r="H616" i="1"/>
  <c r="I616" i="1"/>
  <c r="J616" i="1"/>
  <c r="H617" i="1"/>
  <c r="I617" i="1"/>
  <c r="J617" i="1"/>
  <c r="H618" i="1"/>
  <c r="I618" i="1"/>
  <c r="J618" i="1"/>
  <c r="H619" i="1"/>
  <c r="I619" i="1"/>
  <c r="J619" i="1"/>
  <c r="H620" i="1"/>
  <c r="I620" i="1"/>
  <c r="J620" i="1"/>
  <c r="H621" i="1"/>
  <c r="I621" i="1"/>
  <c r="J621" i="1"/>
  <c r="H622" i="1"/>
  <c r="I622" i="1"/>
  <c r="J622" i="1"/>
  <c r="H623" i="1"/>
  <c r="I623" i="1"/>
  <c r="J623" i="1"/>
  <c r="H624" i="1"/>
  <c r="I624" i="1"/>
  <c r="J624" i="1"/>
  <c r="H625" i="1"/>
  <c r="I625" i="1"/>
  <c r="J625" i="1"/>
  <c r="H626" i="1"/>
  <c r="I626" i="1"/>
  <c r="J626" i="1"/>
  <c r="H627" i="1"/>
  <c r="I627" i="1"/>
  <c r="J627" i="1"/>
  <c r="H628" i="1"/>
  <c r="I628" i="1"/>
  <c r="J628" i="1"/>
  <c r="H629" i="1"/>
  <c r="I629" i="1"/>
  <c r="J629" i="1"/>
  <c r="H630" i="1"/>
  <c r="I630" i="1"/>
  <c r="J630" i="1"/>
  <c r="H631" i="1"/>
  <c r="I631" i="1"/>
  <c r="J631" i="1"/>
  <c r="H632" i="1"/>
  <c r="I632" i="1"/>
  <c r="J632" i="1"/>
  <c r="H633" i="1"/>
  <c r="I633" i="1"/>
  <c r="J633" i="1"/>
  <c r="H634" i="1"/>
  <c r="I634" i="1"/>
  <c r="J634" i="1"/>
  <c r="H635" i="1"/>
  <c r="I635" i="1"/>
  <c r="J635" i="1"/>
  <c r="H636" i="1"/>
  <c r="I636" i="1"/>
  <c r="J636" i="1"/>
  <c r="H637" i="1"/>
  <c r="I637" i="1"/>
  <c r="J637" i="1"/>
  <c r="H638" i="1"/>
  <c r="I638" i="1"/>
  <c r="J638" i="1"/>
  <c r="H639" i="1"/>
  <c r="I639" i="1"/>
  <c r="J639" i="1"/>
  <c r="H640" i="1"/>
  <c r="I640" i="1"/>
  <c r="J640" i="1"/>
  <c r="H641" i="1"/>
  <c r="I641" i="1"/>
  <c r="J641" i="1"/>
  <c r="H642" i="1"/>
  <c r="I642" i="1"/>
  <c r="J642" i="1"/>
  <c r="H643" i="1"/>
  <c r="I643" i="1"/>
  <c r="J643" i="1"/>
  <c r="H644" i="1"/>
  <c r="I644" i="1"/>
  <c r="J644" i="1"/>
  <c r="H645" i="1"/>
  <c r="I645" i="1"/>
  <c r="J645" i="1"/>
  <c r="H646" i="1"/>
  <c r="I646" i="1"/>
  <c r="J646" i="1"/>
  <c r="H647" i="1"/>
  <c r="I647" i="1"/>
  <c r="J647" i="1"/>
  <c r="H648" i="1"/>
  <c r="I648" i="1"/>
  <c r="J648" i="1"/>
  <c r="H649" i="1"/>
  <c r="I649" i="1"/>
  <c r="J649" i="1"/>
  <c r="H650" i="1"/>
  <c r="I650" i="1"/>
  <c r="J650" i="1"/>
  <c r="H651" i="1"/>
  <c r="I651" i="1"/>
  <c r="J651" i="1"/>
  <c r="H652" i="1"/>
  <c r="I652" i="1"/>
  <c r="J652" i="1"/>
  <c r="H653" i="1"/>
  <c r="I653" i="1"/>
  <c r="J653" i="1"/>
  <c r="H654" i="1"/>
  <c r="I654" i="1"/>
  <c r="J654" i="1"/>
  <c r="H655" i="1"/>
  <c r="I655" i="1"/>
  <c r="J655" i="1"/>
  <c r="H656" i="1"/>
  <c r="I656" i="1"/>
  <c r="J656" i="1"/>
  <c r="H657" i="1"/>
  <c r="I657" i="1"/>
  <c r="J657" i="1"/>
  <c r="H658" i="1"/>
  <c r="I658" i="1"/>
  <c r="J658" i="1"/>
  <c r="H659" i="1"/>
  <c r="I659" i="1"/>
  <c r="J659" i="1"/>
  <c r="H660" i="1"/>
  <c r="I660" i="1"/>
  <c r="J660" i="1"/>
  <c r="H661" i="1"/>
  <c r="I661" i="1"/>
  <c r="J661" i="1"/>
  <c r="H662" i="1"/>
  <c r="I662" i="1"/>
  <c r="J662" i="1"/>
  <c r="H663" i="1"/>
  <c r="I663" i="1"/>
  <c r="J663" i="1"/>
  <c r="H664" i="1"/>
  <c r="I664" i="1"/>
  <c r="J664" i="1"/>
  <c r="H665" i="1"/>
  <c r="I665" i="1"/>
  <c r="J665" i="1"/>
  <c r="H666" i="1"/>
  <c r="I666" i="1"/>
  <c r="J666" i="1"/>
  <c r="H667" i="1"/>
  <c r="I667" i="1"/>
  <c r="J667" i="1"/>
  <c r="H668" i="1"/>
  <c r="I668" i="1"/>
  <c r="J668" i="1"/>
  <c r="H669" i="1"/>
  <c r="I669" i="1"/>
  <c r="J669" i="1"/>
  <c r="H670" i="1"/>
  <c r="I670" i="1"/>
  <c r="J670" i="1"/>
  <c r="H671" i="1"/>
  <c r="I671" i="1"/>
  <c r="J671" i="1"/>
  <c r="H672" i="1"/>
  <c r="I672" i="1"/>
  <c r="J672" i="1"/>
  <c r="H673" i="1"/>
  <c r="I673" i="1"/>
  <c r="J673" i="1"/>
  <c r="H674" i="1"/>
  <c r="I674" i="1"/>
  <c r="J674" i="1"/>
  <c r="H675" i="1"/>
  <c r="I675" i="1"/>
  <c r="J675" i="1"/>
  <c r="H676" i="1"/>
  <c r="I676" i="1"/>
  <c r="J676" i="1"/>
  <c r="H677" i="1"/>
  <c r="I677" i="1"/>
  <c r="J677" i="1"/>
  <c r="H678" i="1"/>
  <c r="I678" i="1"/>
  <c r="J678" i="1"/>
  <c r="H679" i="1"/>
  <c r="I679" i="1"/>
  <c r="J679" i="1"/>
  <c r="H680" i="1"/>
  <c r="I680" i="1"/>
  <c r="J680" i="1"/>
  <c r="H681" i="1"/>
  <c r="I681" i="1"/>
  <c r="J681" i="1"/>
  <c r="H682" i="1"/>
  <c r="I682" i="1"/>
  <c r="J682" i="1"/>
  <c r="H683" i="1"/>
  <c r="I683" i="1"/>
  <c r="J683" i="1"/>
  <c r="H684" i="1"/>
  <c r="I684" i="1"/>
  <c r="J684" i="1"/>
  <c r="H685" i="1"/>
  <c r="I685" i="1"/>
  <c r="J685" i="1"/>
  <c r="H686" i="1"/>
  <c r="I686" i="1"/>
  <c r="J686" i="1"/>
  <c r="H687" i="1"/>
  <c r="I687" i="1"/>
  <c r="J687" i="1"/>
  <c r="H688" i="1"/>
  <c r="I688" i="1"/>
  <c r="J688" i="1"/>
  <c r="H689" i="1"/>
  <c r="I689" i="1"/>
  <c r="J689" i="1"/>
  <c r="H690" i="1"/>
  <c r="I690" i="1"/>
  <c r="J690" i="1"/>
  <c r="H691" i="1"/>
  <c r="I691" i="1"/>
  <c r="J691" i="1"/>
  <c r="H692" i="1"/>
  <c r="I692" i="1"/>
  <c r="J692" i="1"/>
  <c r="H693" i="1"/>
  <c r="I693" i="1"/>
  <c r="J693" i="1"/>
  <c r="H694" i="1"/>
  <c r="I694" i="1"/>
  <c r="J694" i="1"/>
  <c r="H695" i="1"/>
  <c r="I695" i="1"/>
  <c r="J695" i="1"/>
  <c r="H696" i="1"/>
  <c r="I696" i="1"/>
  <c r="J696" i="1"/>
  <c r="H697" i="1"/>
  <c r="I697" i="1"/>
  <c r="J697" i="1"/>
  <c r="H698" i="1"/>
  <c r="I698" i="1"/>
  <c r="J698" i="1"/>
  <c r="H699" i="1"/>
  <c r="I699" i="1"/>
  <c r="J699" i="1"/>
  <c r="H700" i="1"/>
  <c r="I700" i="1"/>
  <c r="J700" i="1"/>
  <c r="H701" i="1"/>
  <c r="I701" i="1"/>
  <c r="J701" i="1"/>
  <c r="H702" i="1"/>
  <c r="I702" i="1"/>
  <c r="J702" i="1"/>
  <c r="H703" i="1"/>
  <c r="I703" i="1"/>
  <c r="J703" i="1"/>
  <c r="H704" i="1"/>
  <c r="I704" i="1"/>
  <c r="J704" i="1"/>
  <c r="H705" i="1"/>
  <c r="I705" i="1"/>
  <c r="J705" i="1"/>
  <c r="H706" i="1"/>
  <c r="I706" i="1"/>
  <c r="J706" i="1"/>
  <c r="H707" i="1"/>
  <c r="I707" i="1"/>
  <c r="J707" i="1"/>
  <c r="H708" i="1"/>
  <c r="I708" i="1"/>
  <c r="J708" i="1"/>
  <c r="H709" i="1"/>
  <c r="I709" i="1"/>
  <c r="J709" i="1"/>
  <c r="H710" i="1"/>
  <c r="I710" i="1"/>
  <c r="J710" i="1"/>
  <c r="H711" i="1"/>
  <c r="I711" i="1"/>
  <c r="J711" i="1"/>
  <c r="H712" i="1"/>
  <c r="I712" i="1"/>
  <c r="J712" i="1"/>
  <c r="H713" i="1"/>
  <c r="I713" i="1"/>
  <c r="J713" i="1"/>
  <c r="H714" i="1"/>
  <c r="I714" i="1"/>
  <c r="J714" i="1"/>
  <c r="H715" i="1"/>
  <c r="I715" i="1"/>
  <c r="J715" i="1"/>
  <c r="H716" i="1"/>
  <c r="I716" i="1"/>
  <c r="J716" i="1"/>
  <c r="H717" i="1"/>
  <c r="I717" i="1"/>
  <c r="J717" i="1"/>
  <c r="H718" i="1"/>
  <c r="I718" i="1"/>
  <c r="J718" i="1"/>
  <c r="H719" i="1"/>
  <c r="I719" i="1"/>
  <c r="J719" i="1"/>
  <c r="H720" i="1"/>
  <c r="I720" i="1"/>
  <c r="J720" i="1"/>
  <c r="H721" i="1"/>
  <c r="I721" i="1"/>
  <c r="J721" i="1"/>
  <c r="H722" i="1"/>
  <c r="I722" i="1"/>
  <c r="J722" i="1"/>
  <c r="H723" i="1"/>
  <c r="I723" i="1"/>
  <c r="J723" i="1"/>
  <c r="H724" i="1"/>
  <c r="I724" i="1"/>
  <c r="J724" i="1"/>
  <c r="H725" i="1"/>
  <c r="I725" i="1"/>
  <c r="J725" i="1"/>
  <c r="H726" i="1"/>
  <c r="I726" i="1"/>
  <c r="J726" i="1"/>
  <c r="H727" i="1"/>
  <c r="I727" i="1"/>
  <c r="J727" i="1"/>
  <c r="H728" i="1"/>
  <c r="I728" i="1"/>
  <c r="J728" i="1"/>
  <c r="H729" i="1"/>
  <c r="I729" i="1"/>
  <c r="J729" i="1"/>
  <c r="H730" i="1"/>
  <c r="I730" i="1"/>
  <c r="J730" i="1"/>
  <c r="H731" i="1"/>
  <c r="I731" i="1"/>
  <c r="J731" i="1"/>
  <c r="H732" i="1"/>
  <c r="I732" i="1"/>
  <c r="J732" i="1"/>
  <c r="H733" i="1"/>
  <c r="I733" i="1"/>
  <c r="J733" i="1"/>
  <c r="H734" i="1"/>
  <c r="I734" i="1"/>
  <c r="J734" i="1"/>
  <c r="H735" i="1"/>
  <c r="I735" i="1"/>
  <c r="J735" i="1"/>
  <c r="H736" i="1"/>
  <c r="I736" i="1"/>
  <c r="J736" i="1"/>
  <c r="H737" i="1"/>
  <c r="I737" i="1"/>
  <c r="J737" i="1"/>
  <c r="H738" i="1"/>
  <c r="I738" i="1"/>
  <c r="J738" i="1"/>
  <c r="H739" i="1"/>
  <c r="I739" i="1"/>
  <c r="J739" i="1"/>
  <c r="H740" i="1"/>
  <c r="I740" i="1"/>
  <c r="J740" i="1"/>
  <c r="H741" i="1"/>
  <c r="I741" i="1"/>
  <c r="J741" i="1"/>
  <c r="H742" i="1"/>
  <c r="I742" i="1"/>
  <c r="J742" i="1"/>
  <c r="H743" i="1"/>
  <c r="I743" i="1"/>
  <c r="J743" i="1"/>
  <c r="H744" i="1"/>
  <c r="I744" i="1"/>
  <c r="J744" i="1"/>
  <c r="H745" i="1"/>
  <c r="I745" i="1"/>
  <c r="J745" i="1"/>
  <c r="H746" i="1"/>
  <c r="I746" i="1"/>
  <c r="J746" i="1"/>
  <c r="H747" i="1"/>
  <c r="I747" i="1"/>
  <c r="J747" i="1"/>
  <c r="H748" i="1"/>
  <c r="I748" i="1"/>
  <c r="J748" i="1"/>
  <c r="H749" i="1"/>
  <c r="I749" i="1"/>
  <c r="J749" i="1"/>
  <c r="H750" i="1"/>
  <c r="I750" i="1"/>
  <c r="J750" i="1"/>
  <c r="H751" i="1"/>
  <c r="I751" i="1"/>
  <c r="J751" i="1"/>
  <c r="H752" i="1"/>
  <c r="I752" i="1"/>
  <c r="J752" i="1"/>
  <c r="H753" i="1"/>
  <c r="I753" i="1"/>
  <c r="J753" i="1"/>
  <c r="H754" i="1"/>
  <c r="I754" i="1"/>
  <c r="J754" i="1"/>
  <c r="H755" i="1"/>
  <c r="I755" i="1"/>
  <c r="J755" i="1"/>
  <c r="H756" i="1"/>
  <c r="I756" i="1"/>
  <c r="J756" i="1"/>
  <c r="H757" i="1"/>
  <c r="I757" i="1"/>
  <c r="J757" i="1"/>
  <c r="H758" i="1"/>
  <c r="I758" i="1"/>
  <c r="J758" i="1"/>
  <c r="H759" i="1"/>
  <c r="I759" i="1"/>
  <c r="J759" i="1"/>
  <c r="H760" i="1"/>
  <c r="I760" i="1"/>
  <c r="J760" i="1"/>
  <c r="H761" i="1"/>
  <c r="I761" i="1"/>
  <c r="J761" i="1"/>
  <c r="H762" i="1"/>
  <c r="I762" i="1"/>
  <c r="J762" i="1"/>
  <c r="H763" i="1"/>
  <c r="I763" i="1"/>
  <c r="J763" i="1"/>
  <c r="H764" i="1"/>
  <c r="I764" i="1"/>
  <c r="J764" i="1"/>
  <c r="H765" i="1"/>
  <c r="I765" i="1"/>
  <c r="J765" i="1"/>
  <c r="H766" i="1"/>
  <c r="I766" i="1"/>
  <c r="J766" i="1"/>
  <c r="H767" i="1"/>
  <c r="I767" i="1"/>
  <c r="J767" i="1"/>
  <c r="H768" i="1"/>
  <c r="I768" i="1"/>
  <c r="J768" i="1"/>
  <c r="H769" i="1"/>
  <c r="I769" i="1"/>
  <c r="J769" i="1"/>
  <c r="H770" i="1"/>
  <c r="I770" i="1"/>
  <c r="J770" i="1"/>
  <c r="H771" i="1"/>
  <c r="I771" i="1"/>
  <c r="J771" i="1"/>
  <c r="H772" i="1"/>
  <c r="I772" i="1"/>
  <c r="J772" i="1"/>
  <c r="H773" i="1"/>
  <c r="I773" i="1"/>
  <c r="J773" i="1"/>
  <c r="H774" i="1"/>
  <c r="I774" i="1"/>
  <c r="J774" i="1"/>
  <c r="H775" i="1"/>
  <c r="I775" i="1"/>
  <c r="J775" i="1"/>
  <c r="H776" i="1"/>
  <c r="I776" i="1"/>
  <c r="J776" i="1"/>
  <c r="H777" i="1"/>
  <c r="I777" i="1"/>
  <c r="J777" i="1"/>
  <c r="H778" i="1"/>
  <c r="I778" i="1"/>
  <c r="J778" i="1"/>
  <c r="H779" i="1"/>
  <c r="I779" i="1"/>
  <c r="J779" i="1"/>
  <c r="H780" i="1"/>
  <c r="I780" i="1"/>
  <c r="J780" i="1"/>
  <c r="H781" i="1"/>
  <c r="I781" i="1"/>
  <c r="J781" i="1"/>
  <c r="H782" i="1"/>
  <c r="I782" i="1"/>
  <c r="J782" i="1"/>
  <c r="H783" i="1"/>
  <c r="I783" i="1"/>
  <c r="J783" i="1"/>
  <c r="H784" i="1"/>
  <c r="I784" i="1"/>
  <c r="J784" i="1"/>
  <c r="H785" i="1"/>
  <c r="I785" i="1"/>
  <c r="J785" i="1"/>
  <c r="H786" i="1"/>
  <c r="I786" i="1"/>
  <c r="J786" i="1"/>
  <c r="H787" i="1"/>
  <c r="I787" i="1"/>
  <c r="J787" i="1"/>
  <c r="H788" i="1"/>
  <c r="I788" i="1"/>
  <c r="J788" i="1"/>
  <c r="H789" i="1"/>
  <c r="I789" i="1"/>
  <c r="J789" i="1"/>
  <c r="H790" i="1"/>
  <c r="I790" i="1"/>
  <c r="J790" i="1"/>
  <c r="H791" i="1"/>
  <c r="I791" i="1"/>
  <c r="J791" i="1"/>
  <c r="H792" i="1"/>
  <c r="I792" i="1"/>
  <c r="J792" i="1"/>
  <c r="H793" i="1"/>
  <c r="I793" i="1"/>
  <c r="J793" i="1"/>
  <c r="H794" i="1"/>
  <c r="I794" i="1"/>
  <c r="J794" i="1"/>
  <c r="H795" i="1"/>
  <c r="I795" i="1"/>
  <c r="J795" i="1"/>
  <c r="H796" i="1"/>
  <c r="I796" i="1"/>
  <c r="J796" i="1"/>
  <c r="H797" i="1"/>
  <c r="I797" i="1"/>
  <c r="J797" i="1"/>
  <c r="H798" i="1"/>
  <c r="I798" i="1"/>
  <c r="J798" i="1"/>
  <c r="H799" i="1"/>
  <c r="I799" i="1"/>
  <c r="J799" i="1"/>
  <c r="H800" i="1"/>
  <c r="I800" i="1"/>
  <c r="J800" i="1"/>
  <c r="H801" i="1"/>
  <c r="I801" i="1"/>
  <c r="J801" i="1"/>
  <c r="H802" i="1"/>
  <c r="I802" i="1"/>
  <c r="J802" i="1"/>
  <c r="H803" i="1"/>
  <c r="I803" i="1"/>
  <c r="J803" i="1"/>
  <c r="H804" i="1"/>
  <c r="I804" i="1"/>
  <c r="J804" i="1"/>
  <c r="H805" i="1"/>
  <c r="I805" i="1"/>
  <c r="J805" i="1"/>
  <c r="H806" i="1"/>
  <c r="I806" i="1"/>
  <c r="J806" i="1"/>
  <c r="H807" i="1"/>
  <c r="I807" i="1"/>
  <c r="J807" i="1"/>
  <c r="H808" i="1"/>
  <c r="I808" i="1"/>
  <c r="J808" i="1"/>
  <c r="H809" i="1"/>
  <c r="I809" i="1"/>
  <c r="J809" i="1"/>
  <c r="H810" i="1"/>
  <c r="I810" i="1"/>
  <c r="J810" i="1"/>
  <c r="H811" i="1"/>
  <c r="I811" i="1"/>
  <c r="J811" i="1"/>
  <c r="H812" i="1"/>
  <c r="I812" i="1"/>
  <c r="J812" i="1"/>
  <c r="H813" i="1"/>
  <c r="I813" i="1"/>
  <c r="J813" i="1"/>
  <c r="H814" i="1"/>
  <c r="I814" i="1"/>
  <c r="J814" i="1"/>
  <c r="H815" i="1"/>
  <c r="I815" i="1"/>
  <c r="J815" i="1"/>
  <c r="H816" i="1"/>
  <c r="I816" i="1"/>
  <c r="J816" i="1"/>
  <c r="H817" i="1"/>
  <c r="I817" i="1"/>
  <c r="J817" i="1"/>
  <c r="H818" i="1"/>
  <c r="I818" i="1"/>
  <c r="J818" i="1"/>
  <c r="H819" i="1"/>
  <c r="I819" i="1"/>
  <c r="J819" i="1"/>
  <c r="H820" i="1"/>
  <c r="I820" i="1"/>
  <c r="J820" i="1"/>
  <c r="H821" i="1"/>
  <c r="I821" i="1"/>
  <c r="J821" i="1"/>
  <c r="H822" i="1"/>
  <c r="I822" i="1"/>
  <c r="J822" i="1"/>
  <c r="H823" i="1"/>
  <c r="I823" i="1"/>
  <c r="J823" i="1"/>
  <c r="H824" i="1"/>
  <c r="I824" i="1"/>
  <c r="J824" i="1"/>
  <c r="H825" i="1"/>
  <c r="I825" i="1"/>
  <c r="J825" i="1"/>
  <c r="H826" i="1"/>
  <c r="I826" i="1"/>
  <c r="J826" i="1"/>
  <c r="H827" i="1"/>
  <c r="I827" i="1"/>
  <c r="J827" i="1"/>
  <c r="H828" i="1"/>
  <c r="I828" i="1"/>
  <c r="J828" i="1"/>
  <c r="H829" i="1"/>
  <c r="I829" i="1"/>
  <c r="J829" i="1"/>
  <c r="H830" i="1"/>
  <c r="I830" i="1"/>
  <c r="J830" i="1"/>
  <c r="H831" i="1"/>
  <c r="I831" i="1"/>
  <c r="J831" i="1"/>
  <c r="H832" i="1"/>
  <c r="I832" i="1"/>
  <c r="J832" i="1"/>
  <c r="H833" i="1"/>
  <c r="I833" i="1"/>
  <c r="J833" i="1"/>
  <c r="H834" i="1"/>
  <c r="I834" i="1"/>
  <c r="J834" i="1"/>
  <c r="H835" i="1"/>
  <c r="I835" i="1"/>
  <c r="J835" i="1"/>
  <c r="H836" i="1"/>
  <c r="I836" i="1"/>
  <c r="J836" i="1"/>
  <c r="H837" i="1"/>
  <c r="I837" i="1"/>
  <c r="J837" i="1"/>
  <c r="H838" i="1"/>
  <c r="I838" i="1"/>
  <c r="J838" i="1"/>
  <c r="H839" i="1"/>
  <c r="I839" i="1"/>
  <c r="J839" i="1"/>
  <c r="H840" i="1"/>
  <c r="I840" i="1"/>
  <c r="J840" i="1"/>
  <c r="H841" i="1"/>
  <c r="I841" i="1"/>
  <c r="J841" i="1"/>
  <c r="H842" i="1"/>
  <c r="I842" i="1"/>
  <c r="J842" i="1"/>
  <c r="H843" i="1"/>
  <c r="I843" i="1"/>
  <c r="J843" i="1"/>
  <c r="H844" i="1"/>
  <c r="I844" i="1"/>
  <c r="J844" i="1"/>
  <c r="H845" i="1"/>
  <c r="I845" i="1"/>
  <c r="J845" i="1"/>
  <c r="H846" i="1"/>
  <c r="I846" i="1"/>
  <c r="J846" i="1"/>
  <c r="H847" i="1"/>
  <c r="I847" i="1"/>
  <c r="J847" i="1"/>
  <c r="H848" i="1"/>
  <c r="I848" i="1"/>
  <c r="J848" i="1"/>
  <c r="H849" i="1"/>
  <c r="I849" i="1"/>
  <c r="J849" i="1"/>
  <c r="H850" i="1"/>
  <c r="I850" i="1"/>
  <c r="J850" i="1"/>
  <c r="H851" i="1"/>
  <c r="I851" i="1"/>
  <c r="J851" i="1"/>
  <c r="H852" i="1"/>
  <c r="I852" i="1"/>
  <c r="J852" i="1"/>
  <c r="H853" i="1"/>
  <c r="I853" i="1"/>
  <c r="J853" i="1"/>
  <c r="H854" i="1"/>
  <c r="I854" i="1"/>
  <c r="J854" i="1"/>
  <c r="H855" i="1"/>
  <c r="I855" i="1"/>
  <c r="J855" i="1"/>
  <c r="H856" i="1"/>
  <c r="I856" i="1"/>
  <c r="J856" i="1"/>
  <c r="H857" i="1"/>
  <c r="I857" i="1"/>
  <c r="J857" i="1"/>
  <c r="H858" i="1"/>
  <c r="I858" i="1"/>
  <c r="J858" i="1"/>
  <c r="H859" i="1"/>
  <c r="I859" i="1"/>
  <c r="J859" i="1"/>
  <c r="H860" i="1"/>
  <c r="I860" i="1"/>
  <c r="J860" i="1"/>
  <c r="H861" i="1"/>
  <c r="I861" i="1"/>
  <c r="J861" i="1"/>
  <c r="H862" i="1"/>
  <c r="I862" i="1"/>
  <c r="J862" i="1"/>
  <c r="H863" i="1"/>
  <c r="I863" i="1"/>
  <c r="J863" i="1"/>
  <c r="H864" i="1"/>
  <c r="I864" i="1"/>
  <c r="J864" i="1"/>
  <c r="H865" i="1"/>
  <c r="I865" i="1"/>
  <c r="J865" i="1"/>
  <c r="H866" i="1"/>
  <c r="I866" i="1"/>
  <c r="J866" i="1"/>
  <c r="H867" i="1"/>
  <c r="I867" i="1"/>
  <c r="J867" i="1"/>
  <c r="H868" i="1"/>
  <c r="I868" i="1"/>
  <c r="J868" i="1"/>
  <c r="H869" i="1"/>
  <c r="I869" i="1"/>
  <c r="J869" i="1"/>
  <c r="H870" i="1"/>
  <c r="I870" i="1"/>
  <c r="J870" i="1"/>
  <c r="H871" i="1"/>
  <c r="I871" i="1"/>
  <c r="J871" i="1"/>
  <c r="H872" i="1"/>
  <c r="I872" i="1"/>
  <c r="J872" i="1"/>
  <c r="H873" i="1"/>
  <c r="I873" i="1"/>
  <c r="J873" i="1"/>
  <c r="H874" i="1"/>
  <c r="I874" i="1"/>
  <c r="J874" i="1"/>
  <c r="H875" i="1"/>
  <c r="I875" i="1"/>
  <c r="J875" i="1"/>
  <c r="H876" i="1"/>
  <c r="I876" i="1"/>
  <c r="J876" i="1"/>
  <c r="H877" i="1"/>
  <c r="I877" i="1"/>
  <c r="J877" i="1"/>
  <c r="H878" i="1"/>
  <c r="I878" i="1"/>
  <c r="J878" i="1"/>
  <c r="H879" i="1"/>
  <c r="I879" i="1"/>
  <c r="J879" i="1"/>
  <c r="H880" i="1"/>
  <c r="I880" i="1"/>
  <c r="J880" i="1"/>
  <c r="H881" i="1"/>
  <c r="I881" i="1"/>
  <c r="J881" i="1"/>
  <c r="H882" i="1"/>
  <c r="I882" i="1"/>
  <c r="J882" i="1"/>
  <c r="H883" i="1"/>
  <c r="I883" i="1"/>
  <c r="J883" i="1"/>
  <c r="H884" i="1"/>
  <c r="I884" i="1"/>
  <c r="J884" i="1"/>
  <c r="H885" i="1"/>
  <c r="I885" i="1"/>
  <c r="J885" i="1"/>
  <c r="H886" i="1"/>
  <c r="I886" i="1"/>
  <c r="J886" i="1"/>
  <c r="H887" i="1"/>
  <c r="I887" i="1"/>
  <c r="J887" i="1"/>
  <c r="H888" i="1"/>
  <c r="I888" i="1"/>
  <c r="J888" i="1"/>
  <c r="H889" i="1"/>
  <c r="I889" i="1"/>
  <c r="J889" i="1"/>
  <c r="H890" i="1"/>
  <c r="I890" i="1"/>
  <c r="J890" i="1"/>
  <c r="H891" i="1"/>
  <c r="I891" i="1"/>
  <c r="J891" i="1"/>
  <c r="H892" i="1"/>
  <c r="I892" i="1"/>
  <c r="J892" i="1"/>
  <c r="H893" i="1"/>
  <c r="I893" i="1"/>
  <c r="J893" i="1"/>
  <c r="H894" i="1"/>
  <c r="I894" i="1"/>
  <c r="J894" i="1"/>
  <c r="H895" i="1"/>
  <c r="I895" i="1"/>
  <c r="J895" i="1"/>
  <c r="H896" i="1"/>
  <c r="I896" i="1"/>
  <c r="J896" i="1"/>
  <c r="H897" i="1"/>
  <c r="I897" i="1"/>
  <c r="J897" i="1"/>
  <c r="H898" i="1"/>
  <c r="I898" i="1"/>
  <c r="J898" i="1"/>
  <c r="H899" i="1"/>
  <c r="I899" i="1"/>
  <c r="J899" i="1"/>
  <c r="H900" i="1"/>
  <c r="I900" i="1"/>
  <c r="J900" i="1"/>
  <c r="H901" i="1"/>
  <c r="I901" i="1"/>
  <c r="J901" i="1"/>
  <c r="H902" i="1"/>
  <c r="I902" i="1"/>
  <c r="J902" i="1"/>
  <c r="H903" i="1"/>
  <c r="I903" i="1"/>
  <c r="J903" i="1"/>
  <c r="H904" i="1"/>
  <c r="I904" i="1"/>
  <c r="J904" i="1"/>
  <c r="H905" i="1"/>
  <c r="I905" i="1"/>
  <c r="J905" i="1"/>
  <c r="H906" i="1"/>
  <c r="I906" i="1"/>
  <c r="J906" i="1"/>
  <c r="H907" i="1"/>
  <c r="I907" i="1"/>
  <c r="J907" i="1"/>
  <c r="H908" i="1"/>
  <c r="I908" i="1"/>
  <c r="J908" i="1"/>
  <c r="H909" i="1"/>
  <c r="I909" i="1"/>
  <c r="J909" i="1"/>
  <c r="H910" i="1"/>
  <c r="I910" i="1"/>
  <c r="J910" i="1"/>
  <c r="H911" i="1"/>
  <c r="I911" i="1"/>
  <c r="J911" i="1"/>
  <c r="H912" i="1"/>
  <c r="I912" i="1"/>
  <c r="J912" i="1"/>
  <c r="H913" i="1"/>
  <c r="I913" i="1"/>
  <c r="J913" i="1"/>
  <c r="H914" i="1"/>
  <c r="I914" i="1"/>
  <c r="J914" i="1"/>
  <c r="H915" i="1"/>
  <c r="I915" i="1"/>
  <c r="J915" i="1"/>
  <c r="H916" i="1"/>
  <c r="I916" i="1"/>
  <c r="J916" i="1"/>
  <c r="H917" i="1"/>
  <c r="I917" i="1"/>
  <c r="J917" i="1"/>
  <c r="H918" i="1"/>
  <c r="I918" i="1"/>
  <c r="J918" i="1"/>
  <c r="H919" i="1"/>
  <c r="I919" i="1"/>
  <c r="J919" i="1"/>
  <c r="H920" i="1"/>
  <c r="I920" i="1"/>
  <c r="J920" i="1"/>
  <c r="H921" i="1"/>
  <c r="I921" i="1"/>
  <c r="J921" i="1"/>
  <c r="H922" i="1"/>
  <c r="I922" i="1"/>
  <c r="J922" i="1"/>
  <c r="H923" i="1"/>
  <c r="I923" i="1"/>
  <c r="J923" i="1"/>
  <c r="H924" i="1"/>
  <c r="I924" i="1"/>
  <c r="J924" i="1"/>
  <c r="H925" i="1"/>
  <c r="I925" i="1"/>
  <c r="J925" i="1"/>
  <c r="H926" i="1"/>
  <c r="I926" i="1"/>
  <c r="J926" i="1"/>
  <c r="H927" i="1"/>
  <c r="I927" i="1"/>
  <c r="J927" i="1"/>
  <c r="H928" i="1"/>
  <c r="I928" i="1"/>
  <c r="J928" i="1"/>
  <c r="H929" i="1"/>
  <c r="I929" i="1"/>
  <c r="J929" i="1"/>
  <c r="H930" i="1"/>
  <c r="I930" i="1"/>
  <c r="J930" i="1"/>
  <c r="H931" i="1"/>
  <c r="I931" i="1"/>
  <c r="J931" i="1"/>
  <c r="H932" i="1"/>
  <c r="I932" i="1"/>
  <c r="J932" i="1"/>
  <c r="H933" i="1"/>
  <c r="I933" i="1"/>
  <c r="J933" i="1"/>
  <c r="H934" i="1"/>
  <c r="I934" i="1"/>
  <c r="J934" i="1"/>
  <c r="H935" i="1"/>
  <c r="I935" i="1"/>
  <c r="J935" i="1"/>
  <c r="H936" i="1"/>
  <c r="I936" i="1"/>
  <c r="J936" i="1"/>
  <c r="H937" i="1"/>
  <c r="I937" i="1"/>
  <c r="J937" i="1"/>
  <c r="H938" i="1"/>
  <c r="I938" i="1"/>
  <c r="J938" i="1"/>
  <c r="H939" i="1"/>
  <c r="I939" i="1"/>
  <c r="J939" i="1"/>
  <c r="H940" i="1"/>
  <c r="I940" i="1"/>
  <c r="J940" i="1"/>
  <c r="H941" i="1"/>
  <c r="I941" i="1"/>
  <c r="J941" i="1"/>
  <c r="H942" i="1"/>
  <c r="I942" i="1"/>
  <c r="J942" i="1"/>
  <c r="H943" i="1"/>
  <c r="I943" i="1"/>
  <c r="J943" i="1"/>
  <c r="H944" i="1"/>
  <c r="I944" i="1"/>
  <c r="J944" i="1"/>
  <c r="H945" i="1"/>
  <c r="I945" i="1"/>
  <c r="J945" i="1"/>
  <c r="H946" i="1"/>
  <c r="I946" i="1"/>
  <c r="J946" i="1"/>
  <c r="H947" i="1"/>
  <c r="I947" i="1"/>
  <c r="J947" i="1"/>
  <c r="H948" i="1"/>
  <c r="I948" i="1"/>
  <c r="J948" i="1"/>
  <c r="H949" i="1"/>
  <c r="I949" i="1"/>
  <c r="J949" i="1"/>
  <c r="H950" i="1"/>
  <c r="I950" i="1"/>
  <c r="J950" i="1"/>
  <c r="H951" i="1"/>
  <c r="I951" i="1"/>
  <c r="J951" i="1"/>
  <c r="H952" i="1"/>
  <c r="I952" i="1"/>
  <c r="J952" i="1"/>
  <c r="H953" i="1"/>
  <c r="I953" i="1"/>
  <c r="J953" i="1"/>
  <c r="H954" i="1"/>
  <c r="I954" i="1"/>
  <c r="J954" i="1"/>
  <c r="H955" i="1"/>
  <c r="I955" i="1"/>
  <c r="J955" i="1"/>
  <c r="H956" i="1"/>
  <c r="I956" i="1"/>
  <c r="J956" i="1"/>
  <c r="H957" i="1"/>
  <c r="I957" i="1"/>
  <c r="J957" i="1"/>
  <c r="H958" i="1"/>
  <c r="I958" i="1"/>
  <c r="J958" i="1"/>
  <c r="H959" i="1"/>
  <c r="I959" i="1"/>
  <c r="J959" i="1"/>
  <c r="H960" i="1"/>
  <c r="I960" i="1"/>
  <c r="J960" i="1"/>
  <c r="H961" i="1"/>
  <c r="I961" i="1"/>
  <c r="J961" i="1"/>
  <c r="H962" i="1"/>
  <c r="I962" i="1"/>
  <c r="J962" i="1"/>
  <c r="H963" i="1"/>
  <c r="I963" i="1"/>
  <c r="J963" i="1"/>
  <c r="H964" i="1"/>
  <c r="I964" i="1"/>
  <c r="J964" i="1"/>
  <c r="H965" i="1"/>
  <c r="I965" i="1"/>
  <c r="J965" i="1"/>
  <c r="H966" i="1"/>
  <c r="I966" i="1"/>
  <c r="J966" i="1"/>
  <c r="H967" i="1"/>
  <c r="I967" i="1"/>
  <c r="J967" i="1"/>
  <c r="H968" i="1"/>
  <c r="I968" i="1"/>
  <c r="J968" i="1"/>
  <c r="H969" i="1"/>
  <c r="I969" i="1"/>
  <c r="J969" i="1"/>
  <c r="H970" i="1"/>
  <c r="I970" i="1"/>
  <c r="J970" i="1"/>
  <c r="H971" i="1"/>
  <c r="I971" i="1"/>
  <c r="J971" i="1"/>
  <c r="H972" i="1"/>
  <c r="I972" i="1"/>
  <c r="J972" i="1"/>
  <c r="H973" i="1"/>
  <c r="I973" i="1"/>
  <c r="J973" i="1"/>
  <c r="H974" i="1"/>
  <c r="I974" i="1"/>
  <c r="J974" i="1"/>
  <c r="I975" i="1"/>
  <c r="J975" i="1"/>
  <c r="H976" i="1"/>
  <c r="I976" i="1"/>
  <c r="J976" i="1"/>
  <c r="H977" i="1"/>
  <c r="I977" i="1"/>
  <c r="J977" i="1"/>
  <c r="H978" i="1"/>
  <c r="I978" i="1"/>
  <c r="J978" i="1"/>
  <c r="H979" i="1"/>
  <c r="I979" i="1"/>
  <c r="J979" i="1"/>
  <c r="H980" i="1"/>
  <c r="I980" i="1"/>
  <c r="J980" i="1"/>
  <c r="H981" i="1"/>
  <c r="I981" i="1"/>
  <c r="J981" i="1"/>
  <c r="H982" i="1"/>
  <c r="I982" i="1"/>
  <c r="J982" i="1"/>
  <c r="H983" i="1"/>
  <c r="I983" i="1"/>
  <c r="J983" i="1"/>
  <c r="H984" i="1"/>
  <c r="I984" i="1"/>
  <c r="J984" i="1"/>
  <c r="H985" i="1"/>
  <c r="I985" i="1"/>
  <c r="J985" i="1"/>
  <c r="H986" i="1"/>
  <c r="I986" i="1"/>
  <c r="J986" i="1"/>
  <c r="H987" i="1"/>
  <c r="I987" i="1"/>
  <c r="J987" i="1"/>
  <c r="H988" i="1"/>
  <c r="I988" i="1"/>
  <c r="J988" i="1"/>
  <c r="H989" i="1"/>
  <c r="I989" i="1"/>
  <c r="J989" i="1"/>
  <c r="H990" i="1"/>
  <c r="I990" i="1"/>
  <c r="J990" i="1"/>
  <c r="H991" i="1"/>
  <c r="I991" i="1"/>
  <c r="J991" i="1"/>
  <c r="H992" i="1"/>
  <c r="I992" i="1"/>
  <c r="J992" i="1"/>
  <c r="H993" i="1"/>
  <c r="I993" i="1"/>
  <c r="J993" i="1"/>
  <c r="H994" i="1"/>
  <c r="I994" i="1"/>
  <c r="J994" i="1"/>
  <c r="H995" i="1"/>
  <c r="I995" i="1"/>
  <c r="J995" i="1"/>
  <c r="H996" i="1"/>
  <c r="I996" i="1"/>
  <c r="J996" i="1"/>
  <c r="H997" i="1"/>
  <c r="I997" i="1"/>
  <c r="J997" i="1"/>
  <c r="H998" i="1"/>
  <c r="I998" i="1"/>
  <c r="J998" i="1"/>
  <c r="H999" i="1"/>
  <c r="I999" i="1"/>
  <c r="J999" i="1"/>
  <c r="H1000" i="1"/>
  <c r="I1000" i="1"/>
  <c r="J1000" i="1"/>
  <c r="H1001" i="1"/>
  <c r="I1001" i="1"/>
  <c r="J1001" i="1"/>
  <c r="H1002" i="1"/>
  <c r="I1002" i="1"/>
  <c r="J1002" i="1"/>
  <c r="H1003" i="1"/>
  <c r="I1003" i="1"/>
  <c r="J1003" i="1"/>
  <c r="H1004" i="1"/>
  <c r="I1004" i="1"/>
  <c r="J1004" i="1"/>
  <c r="H1005" i="1"/>
  <c r="I1005" i="1"/>
  <c r="J1005" i="1"/>
  <c r="H1006" i="1"/>
  <c r="I1006" i="1"/>
  <c r="J1006" i="1"/>
  <c r="H1007" i="1"/>
  <c r="I1007" i="1"/>
  <c r="J1007" i="1"/>
  <c r="H1008" i="1"/>
  <c r="I1008" i="1"/>
  <c r="J1008" i="1"/>
  <c r="H1009" i="1"/>
  <c r="I1009" i="1"/>
  <c r="J1009" i="1"/>
  <c r="H1010" i="1"/>
  <c r="I1010" i="1"/>
  <c r="J1010" i="1"/>
  <c r="H1011" i="1"/>
  <c r="I1011" i="1"/>
  <c r="J1011" i="1"/>
  <c r="H1012" i="1"/>
  <c r="I1012" i="1"/>
  <c r="J1012" i="1"/>
  <c r="H1013" i="1"/>
  <c r="I1013" i="1"/>
  <c r="J1013" i="1"/>
  <c r="H1014" i="1"/>
  <c r="I1014" i="1"/>
  <c r="J1014" i="1"/>
  <c r="H1015" i="1"/>
  <c r="I1015" i="1"/>
  <c r="J1015" i="1"/>
  <c r="H1016" i="1"/>
  <c r="I1016" i="1"/>
  <c r="J1016" i="1"/>
  <c r="H1017" i="1"/>
  <c r="I1017" i="1"/>
  <c r="J1017" i="1"/>
  <c r="H1018" i="1"/>
  <c r="I1018" i="1"/>
  <c r="J1018" i="1"/>
  <c r="H1019" i="1"/>
  <c r="I1019" i="1"/>
  <c r="J1019" i="1"/>
  <c r="H1020" i="1"/>
  <c r="I1020" i="1"/>
  <c r="J1020" i="1"/>
  <c r="H1021" i="1"/>
  <c r="I1021" i="1"/>
  <c r="J1021" i="1"/>
  <c r="H1022" i="1"/>
  <c r="I1022" i="1"/>
  <c r="J1022" i="1"/>
  <c r="H1023" i="1"/>
  <c r="I1023" i="1"/>
  <c r="J1023" i="1"/>
  <c r="H1024" i="1"/>
  <c r="I1024" i="1"/>
  <c r="J1024" i="1"/>
  <c r="H1025" i="1"/>
  <c r="I1025" i="1"/>
  <c r="J1025" i="1"/>
  <c r="H1026" i="1"/>
  <c r="I1026" i="1"/>
  <c r="J1026" i="1"/>
  <c r="H1027" i="1"/>
  <c r="I1027" i="1"/>
  <c r="J1027" i="1"/>
  <c r="H1028" i="1"/>
  <c r="I1028" i="1"/>
  <c r="J1028" i="1"/>
  <c r="H1029" i="1"/>
  <c r="I1029" i="1"/>
  <c r="J1029" i="1"/>
  <c r="H1030" i="1"/>
  <c r="I1030" i="1"/>
  <c r="J1030" i="1"/>
  <c r="H1031" i="1"/>
  <c r="I1031" i="1"/>
  <c r="J1031" i="1"/>
  <c r="H1032" i="1"/>
  <c r="I1032" i="1"/>
  <c r="J1032" i="1"/>
  <c r="H1033" i="1"/>
  <c r="I1033" i="1"/>
  <c r="J1033" i="1"/>
  <c r="H1034" i="1"/>
  <c r="I1034" i="1"/>
  <c r="J1034" i="1"/>
  <c r="H1035" i="1"/>
  <c r="I1035" i="1"/>
  <c r="J1035" i="1"/>
  <c r="H1036" i="1"/>
  <c r="I1036" i="1"/>
  <c r="J1036" i="1"/>
  <c r="H1037" i="1"/>
  <c r="I1037" i="1"/>
  <c r="J1037" i="1"/>
  <c r="H1038" i="1"/>
  <c r="I1038" i="1"/>
  <c r="J1038" i="1"/>
  <c r="H1039" i="1"/>
  <c r="I1039" i="1"/>
  <c r="J1039" i="1"/>
  <c r="H1040" i="1"/>
  <c r="I1040" i="1"/>
  <c r="J1040" i="1"/>
  <c r="H1041" i="1"/>
  <c r="I1041" i="1"/>
  <c r="J1041" i="1"/>
  <c r="H1042" i="1"/>
  <c r="I1042" i="1"/>
  <c r="J1042" i="1"/>
  <c r="H1043" i="1"/>
  <c r="I1043" i="1"/>
  <c r="J1043" i="1"/>
  <c r="H1044" i="1"/>
  <c r="I1044" i="1"/>
  <c r="J1044" i="1"/>
  <c r="H1045" i="1"/>
  <c r="I1045" i="1"/>
  <c r="J1045" i="1"/>
  <c r="H1046" i="1"/>
  <c r="I1046" i="1"/>
  <c r="J1046" i="1"/>
  <c r="H1047" i="1"/>
  <c r="I1047" i="1"/>
  <c r="J1047" i="1"/>
  <c r="H1048" i="1"/>
  <c r="I1048" i="1"/>
  <c r="J1048" i="1"/>
  <c r="H1049" i="1"/>
  <c r="I1049" i="1"/>
  <c r="J1049" i="1"/>
  <c r="H1050" i="1"/>
  <c r="I1050" i="1"/>
  <c r="J1050" i="1"/>
  <c r="H1051" i="1"/>
  <c r="I1051" i="1"/>
  <c r="J1051" i="1"/>
  <c r="H1052" i="1"/>
  <c r="I1052" i="1"/>
  <c r="J1052" i="1"/>
  <c r="H1053" i="1"/>
  <c r="I1053" i="1"/>
  <c r="J1053" i="1"/>
  <c r="H1054" i="1"/>
  <c r="I1054" i="1"/>
  <c r="J1054" i="1"/>
  <c r="H1055" i="1"/>
  <c r="I1055" i="1"/>
  <c r="J1055" i="1"/>
  <c r="H1056" i="1"/>
  <c r="I1056" i="1"/>
  <c r="J1056" i="1"/>
  <c r="H1057" i="1"/>
  <c r="I1057" i="1"/>
  <c r="J1057" i="1"/>
  <c r="H1058" i="1"/>
  <c r="I1058" i="1"/>
  <c r="J1058" i="1"/>
  <c r="H1059" i="1"/>
  <c r="I1059" i="1"/>
  <c r="J1059" i="1"/>
  <c r="H1060" i="1"/>
  <c r="I1060" i="1"/>
  <c r="J1060" i="1"/>
  <c r="H1061" i="1"/>
  <c r="I1061" i="1"/>
  <c r="J1061" i="1"/>
  <c r="H1062" i="1"/>
  <c r="I1062" i="1"/>
  <c r="J1062" i="1"/>
  <c r="H1063" i="1"/>
  <c r="I1063" i="1"/>
  <c r="J1063" i="1"/>
  <c r="H1064" i="1"/>
  <c r="I1064" i="1"/>
  <c r="J1064" i="1"/>
  <c r="H1065" i="1"/>
  <c r="I1065" i="1"/>
  <c r="J1065" i="1"/>
  <c r="H1066" i="1"/>
  <c r="I1066" i="1"/>
  <c r="J1066" i="1"/>
  <c r="H1067" i="1"/>
  <c r="I1067" i="1"/>
  <c r="J1067" i="1"/>
  <c r="H1068" i="1"/>
  <c r="I1068" i="1"/>
  <c r="J1068" i="1"/>
  <c r="H1069" i="1"/>
  <c r="I1069" i="1"/>
  <c r="J1069" i="1"/>
  <c r="H1070" i="1"/>
  <c r="I1070" i="1"/>
  <c r="J1070" i="1"/>
  <c r="H1071" i="1"/>
  <c r="I1071" i="1"/>
  <c r="J1071" i="1"/>
  <c r="H1072" i="1"/>
  <c r="I1072" i="1"/>
  <c r="J1072" i="1"/>
  <c r="H1073" i="1"/>
  <c r="I1073" i="1"/>
  <c r="J1073" i="1"/>
  <c r="H1074" i="1"/>
  <c r="I1074" i="1"/>
  <c r="J1074" i="1"/>
  <c r="H1075" i="1"/>
  <c r="I1075" i="1"/>
  <c r="J1075" i="1"/>
  <c r="H1076" i="1"/>
  <c r="I1076" i="1"/>
  <c r="J1076" i="1"/>
  <c r="H1077" i="1"/>
  <c r="I1077" i="1"/>
  <c r="J1077" i="1"/>
  <c r="H1078" i="1"/>
  <c r="I1078" i="1"/>
  <c r="J1078" i="1"/>
  <c r="H1079" i="1"/>
  <c r="I1079" i="1"/>
  <c r="J1079" i="1"/>
  <c r="H1080" i="1"/>
  <c r="I1080" i="1"/>
  <c r="J1080" i="1"/>
  <c r="H1081" i="1"/>
  <c r="I1081" i="1"/>
  <c r="J1081" i="1"/>
  <c r="H1082" i="1"/>
  <c r="I1082" i="1"/>
  <c r="J1082" i="1"/>
  <c r="H1083" i="1"/>
  <c r="I1083" i="1"/>
  <c r="J1083" i="1"/>
  <c r="H1084" i="1"/>
  <c r="I1084" i="1"/>
  <c r="J1084" i="1"/>
  <c r="H1085" i="1"/>
  <c r="I1085" i="1"/>
  <c r="J1085" i="1"/>
  <c r="H1086" i="1"/>
  <c r="I1086" i="1"/>
  <c r="J1086" i="1"/>
  <c r="H1087" i="1"/>
  <c r="I1087" i="1"/>
  <c r="J1087" i="1"/>
  <c r="H1088" i="1"/>
  <c r="I1088" i="1"/>
  <c r="J1088" i="1"/>
  <c r="H1089" i="1"/>
  <c r="I1089" i="1"/>
  <c r="J1089" i="1"/>
  <c r="H1090" i="1"/>
  <c r="I1090" i="1"/>
  <c r="J1090" i="1"/>
  <c r="H1091" i="1"/>
  <c r="I1091" i="1"/>
  <c r="J1091" i="1"/>
  <c r="H1092" i="1"/>
  <c r="I1092" i="1"/>
  <c r="J1092" i="1"/>
  <c r="H1093" i="1"/>
  <c r="I1093" i="1"/>
  <c r="J1093" i="1"/>
  <c r="H1094" i="1"/>
  <c r="I1094" i="1"/>
  <c r="J1094" i="1"/>
  <c r="H1095" i="1"/>
  <c r="I1095" i="1"/>
  <c r="J1095" i="1"/>
  <c r="H1096" i="1"/>
  <c r="I1096" i="1"/>
  <c r="J1096" i="1"/>
  <c r="H1097" i="1"/>
  <c r="I1097" i="1"/>
  <c r="J1097" i="1"/>
  <c r="H1098" i="1"/>
  <c r="I1098" i="1"/>
  <c r="J1098" i="1"/>
  <c r="H1099" i="1"/>
  <c r="I1099" i="1"/>
  <c r="J1099" i="1"/>
  <c r="H1100" i="1"/>
  <c r="I1100" i="1"/>
  <c r="J1100" i="1"/>
  <c r="H1101" i="1"/>
  <c r="I1101" i="1"/>
  <c r="J1101" i="1"/>
  <c r="H1102" i="1"/>
  <c r="I1102" i="1"/>
  <c r="J1102" i="1"/>
  <c r="H1103" i="1"/>
  <c r="I1103" i="1"/>
  <c r="J1103" i="1"/>
  <c r="H1104" i="1"/>
  <c r="I1104" i="1"/>
  <c r="J1104" i="1"/>
  <c r="H1105" i="1"/>
  <c r="I1105" i="1"/>
  <c r="J1105" i="1"/>
  <c r="H1106" i="1"/>
  <c r="I1106" i="1"/>
  <c r="J1106" i="1"/>
  <c r="H1107" i="1"/>
  <c r="I1107" i="1"/>
  <c r="J1107" i="1"/>
  <c r="H1108" i="1"/>
  <c r="I1108" i="1"/>
  <c r="J1108" i="1"/>
  <c r="H1109" i="1"/>
  <c r="I1109" i="1"/>
  <c r="J1109" i="1"/>
  <c r="H1110" i="1"/>
  <c r="I1110" i="1"/>
  <c r="J1110" i="1"/>
  <c r="H1111" i="1"/>
  <c r="I1111" i="1"/>
  <c r="J1111" i="1"/>
  <c r="H1112" i="1"/>
  <c r="I1112" i="1"/>
  <c r="J1112" i="1"/>
  <c r="H1113" i="1"/>
  <c r="I1113" i="1"/>
  <c r="J1113" i="1"/>
  <c r="H1114" i="1"/>
  <c r="I1114" i="1"/>
  <c r="J1114" i="1"/>
  <c r="H1115" i="1"/>
  <c r="I1115" i="1"/>
  <c r="J1115" i="1"/>
  <c r="H1116" i="1"/>
  <c r="I1116" i="1"/>
  <c r="J1116" i="1"/>
  <c r="H1117" i="1"/>
  <c r="I1117" i="1"/>
  <c r="J1117" i="1"/>
  <c r="H1118" i="1"/>
  <c r="I1118" i="1"/>
  <c r="J1118" i="1"/>
  <c r="H1119" i="1"/>
  <c r="I1119" i="1"/>
  <c r="J1119" i="1"/>
  <c r="H1120" i="1"/>
  <c r="I1120" i="1"/>
  <c r="J1120" i="1"/>
  <c r="H1121" i="1"/>
  <c r="I1121" i="1"/>
  <c r="J1121" i="1"/>
  <c r="H1122" i="1"/>
  <c r="I1122" i="1"/>
  <c r="J1122" i="1"/>
  <c r="H1123" i="1"/>
  <c r="I1123" i="1"/>
  <c r="J1123" i="1"/>
  <c r="H1124" i="1"/>
  <c r="I1124" i="1"/>
  <c r="J1124" i="1"/>
  <c r="H1125" i="1"/>
  <c r="I1125" i="1"/>
  <c r="J1125" i="1"/>
  <c r="H1126" i="1"/>
  <c r="I1126" i="1"/>
  <c r="J1126" i="1"/>
  <c r="H1127" i="1"/>
  <c r="I1127" i="1"/>
  <c r="J1127" i="1"/>
  <c r="H1128" i="1"/>
  <c r="I1128" i="1"/>
  <c r="J1128" i="1"/>
  <c r="H1129" i="1"/>
  <c r="I1129" i="1"/>
  <c r="J1129" i="1"/>
  <c r="H1130" i="1"/>
  <c r="I1130" i="1"/>
  <c r="J1130" i="1"/>
  <c r="H1131" i="1"/>
  <c r="I1131" i="1"/>
  <c r="J1131" i="1"/>
  <c r="H1132" i="1"/>
  <c r="I1132" i="1"/>
  <c r="J1132" i="1"/>
  <c r="H1133" i="1"/>
  <c r="I1133" i="1"/>
  <c r="J1133" i="1"/>
  <c r="H1134" i="1"/>
  <c r="I1134" i="1"/>
  <c r="J1134" i="1"/>
  <c r="H1135" i="1"/>
  <c r="I1135" i="1"/>
  <c r="J1135" i="1"/>
  <c r="H1136" i="1"/>
  <c r="I1136" i="1"/>
  <c r="J1136" i="1"/>
  <c r="H1137" i="1"/>
  <c r="I1137" i="1"/>
  <c r="J1137" i="1"/>
  <c r="H1138" i="1"/>
  <c r="I1138" i="1"/>
  <c r="J1138" i="1"/>
  <c r="H1139" i="1"/>
  <c r="I1139" i="1"/>
  <c r="J1139" i="1"/>
  <c r="H1140" i="1"/>
  <c r="I1140" i="1"/>
  <c r="J1140" i="1"/>
  <c r="H1141" i="1"/>
  <c r="I1141" i="1"/>
  <c r="J1141" i="1"/>
  <c r="H1142" i="1"/>
  <c r="I1142" i="1"/>
  <c r="J1142" i="1"/>
  <c r="H1143" i="1"/>
  <c r="I1143" i="1"/>
  <c r="J1143" i="1"/>
  <c r="H1144" i="1"/>
  <c r="I1144" i="1"/>
  <c r="J1144" i="1"/>
  <c r="H1145" i="1"/>
  <c r="I1145" i="1"/>
  <c r="J1145" i="1"/>
  <c r="H1146" i="1"/>
  <c r="I1146" i="1"/>
  <c r="J1146" i="1"/>
  <c r="H1147" i="1"/>
  <c r="I1147" i="1"/>
  <c r="J1147" i="1"/>
  <c r="H1148" i="1"/>
  <c r="I1148" i="1"/>
  <c r="J1148" i="1"/>
  <c r="H1149" i="1"/>
  <c r="I1149" i="1"/>
  <c r="J1149" i="1"/>
  <c r="H1150" i="1"/>
  <c r="I1150" i="1"/>
  <c r="J1150" i="1"/>
  <c r="H1151" i="1"/>
  <c r="I1151" i="1"/>
  <c r="J1151" i="1"/>
  <c r="H1152" i="1"/>
  <c r="I1152" i="1"/>
  <c r="J1152" i="1"/>
  <c r="H1153" i="1"/>
  <c r="I1153" i="1"/>
  <c r="J1153" i="1"/>
  <c r="H1154" i="1"/>
  <c r="I1154" i="1"/>
  <c r="J1154" i="1"/>
  <c r="H1155" i="1"/>
  <c r="I1155" i="1"/>
  <c r="J1155" i="1"/>
  <c r="H1156" i="1"/>
  <c r="I1156" i="1"/>
  <c r="J1156" i="1"/>
  <c r="H1157" i="1"/>
  <c r="I1157" i="1"/>
  <c r="J1157" i="1"/>
  <c r="H1158" i="1"/>
  <c r="I1158" i="1"/>
  <c r="J1158" i="1"/>
  <c r="H1159" i="1"/>
  <c r="I1159" i="1"/>
  <c r="J1159" i="1"/>
  <c r="H1160" i="1"/>
  <c r="I1160" i="1"/>
  <c r="J1160" i="1"/>
  <c r="H1161" i="1"/>
  <c r="I1161" i="1"/>
  <c r="J1161" i="1"/>
  <c r="H1162" i="1"/>
  <c r="I1162" i="1"/>
  <c r="J1162" i="1"/>
  <c r="H1163" i="1"/>
  <c r="I1163" i="1"/>
  <c r="J1163" i="1"/>
  <c r="H1164" i="1"/>
  <c r="I1164" i="1"/>
  <c r="J1164" i="1"/>
  <c r="H1165" i="1"/>
  <c r="I1165" i="1"/>
  <c r="J1165" i="1"/>
  <c r="H1166" i="1"/>
  <c r="I1166" i="1"/>
  <c r="J1166" i="1"/>
  <c r="H1167" i="1"/>
  <c r="I1167" i="1"/>
  <c r="J1167" i="1"/>
  <c r="H1168" i="1"/>
  <c r="I1168" i="1"/>
  <c r="J1168" i="1"/>
  <c r="H1169" i="1"/>
  <c r="I1169" i="1"/>
  <c r="J1169" i="1"/>
  <c r="H1170" i="1"/>
  <c r="I1170" i="1"/>
  <c r="J1170" i="1"/>
  <c r="H1171" i="1"/>
  <c r="I1171" i="1"/>
  <c r="J1171" i="1"/>
  <c r="H1172" i="1"/>
  <c r="I1172" i="1"/>
  <c r="J1172" i="1"/>
  <c r="H1173" i="1"/>
  <c r="I1173" i="1"/>
  <c r="J1173" i="1"/>
  <c r="H1174" i="1"/>
  <c r="I1174" i="1"/>
  <c r="J1174" i="1"/>
  <c r="H1175" i="1"/>
  <c r="I1175" i="1"/>
  <c r="J1175" i="1"/>
  <c r="H1176" i="1"/>
  <c r="I1176" i="1"/>
  <c r="J1176" i="1"/>
  <c r="H1177" i="1"/>
  <c r="I1177" i="1"/>
  <c r="J1177" i="1"/>
  <c r="H1178" i="1"/>
  <c r="I1178" i="1"/>
  <c r="J1178" i="1"/>
  <c r="H1179" i="1"/>
  <c r="I1179" i="1"/>
  <c r="J1179" i="1"/>
  <c r="H1180" i="1"/>
  <c r="I1180" i="1"/>
  <c r="J1180" i="1"/>
  <c r="H1181" i="1"/>
  <c r="I1181" i="1"/>
  <c r="J1181" i="1"/>
  <c r="H1182" i="1"/>
  <c r="I1182" i="1"/>
  <c r="J1182" i="1"/>
  <c r="H1183" i="1"/>
  <c r="I1183" i="1"/>
  <c r="J1183" i="1"/>
  <c r="H1184" i="1"/>
  <c r="I1184" i="1"/>
  <c r="J1184" i="1"/>
  <c r="H1185" i="1"/>
  <c r="I1185" i="1"/>
  <c r="J1185" i="1"/>
  <c r="H1186" i="1"/>
  <c r="I1186" i="1"/>
  <c r="J1186" i="1"/>
  <c r="H1187" i="1"/>
  <c r="I1187" i="1"/>
  <c r="J1187" i="1"/>
  <c r="H1188" i="1"/>
  <c r="I1188" i="1"/>
  <c r="J1188" i="1"/>
  <c r="H1189" i="1"/>
  <c r="I1189" i="1"/>
  <c r="J1189" i="1"/>
  <c r="H1190" i="1"/>
  <c r="I1190" i="1"/>
  <c r="J1190" i="1"/>
  <c r="H1191" i="1"/>
  <c r="I1191" i="1"/>
  <c r="J1191" i="1"/>
  <c r="H1192" i="1"/>
  <c r="I1192" i="1"/>
  <c r="J1192" i="1"/>
  <c r="H1193" i="1"/>
  <c r="I1193" i="1"/>
  <c r="J1193" i="1"/>
  <c r="H1194" i="1"/>
  <c r="I1194" i="1"/>
  <c r="J1194" i="1"/>
  <c r="H1195" i="1"/>
  <c r="I1195" i="1"/>
  <c r="J1195" i="1"/>
  <c r="H1196" i="1"/>
  <c r="I1196" i="1"/>
  <c r="J1196" i="1"/>
  <c r="H1197" i="1"/>
  <c r="I1197" i="1"/>
  <c r="J1197" i="1"/>
  <c r="H1198" i="1"/>
  <c r="I1198" i="1"/>
  <c r="J1198" i="1"/>
  <c r="H1199" i="1"/>
  <c r="I1199" i="1"/>
  <c r="J1199" i="1"/>
  <c r="H1200" i="1"/>
  <c r="I1200" i="1"/>
  <c r="J1200" i="1"/>
  <c r="H1201" i="1"/>
  <c r="I1201" i="1"/>
  <c r="J1201" i="1"/>
  <c r="H1202" i="1"/>
  <c r="I1202" i="1"/>
  <c r="J1202" i="1"/>
  <c r="H1203" i="1"/>
  <c r="I1203" i="1"/>
  <c r="J1203" i="1"/>
  <c r="H1204" i="1"/>
  <c r="I1204" i="1"/>
  <c r="J1204" i="1"/>
  <c r="H1205" i="1"/>
  <c r="I1205" i="1"/>
  <c r="J1205" i="1"/>
  <c r="H1206" i="1"/>
  <c r="I1206" i="1"/>
  <c r="J1206" i="1"/>
  <c r="H1207" i="1"/>
  <c r="I1207" i="1"/>
  <c r="J1207" i="1"/>
  <c r="H1208" i="1"/>
  <c r="I1208" i="1"/>
  <c r="J1208" i="1"/>
  <c r="H1209" i="1"/>
  <c r="I1209" i="1"/>
  <c r="J1209" i="1"/>
  <c r="H1210" i="1"/>
  <c r="I1210" i="1"/>
  <c r="J1210" i="1"/>
  <c r="H1211" i="1"/>
  <c r="I1211" i="1"/>
  <c r="J1211" i="1"/>
  <c r="H1212" i="1"/>
  <c r="I1212" i="1"/>
  <c r="J1212" i="1"/>
  <c r="H1213" i="1"/>
  <c r="I1213" i="1"/>
  <c r="J1213" i="1"/>
  <c r="H1214" i="1"/>
  <c r="I1214" i="1"/>
  <c r="J1214" i="1"/>
  <c r="H1215" i="1"/>
  <c r="I1215" i="1"/>
  <c r="J1215" i="1"/>
  <c r="H1216" i="1"/>
  <c r="I1216" i="1"/>
  <c r="J1216" i="1"/>
  <c r="H1217" i="1"/>
  <c r="I1217" i="1"/>
  <c r="J1217" i="1"/>
  <c r="H1218" i="1"/>
  <c r="I1218" i="1"/>
  <c r="J1218" i="1"/>
  <c r="H1219" i="1"/>
  <c r="I1219" i="1"/>
  <c r="J1219" i="1"/>
  <c r="H1220" i="1"/>
  <c r="I1220" i="1"/>
  <c r="J1220" i="1"/>
  <c r="H1221" i="1"/>
  <c r="I1221" i="1"/>
  <c r="J1221" i="1"/>
  <c r="H1222" i="1"/>
  <c r="I1222" i="1"/>
  <c r="J1222" i="1"/>
  <c r="H1223" i="1"/>
  <c r="I1223" i="1"/>
  <c r="J1223" i="1"/>
  <c r="H1224" i="1"/>
  <c r="I1224" i="1"/>
  <c r="J1224" i="1"/>
  <c r="H1225" i="1"/>
  <c r="I1225" i="1"/>
  <c r="J1225" i="1"/>
  <c r="H1226" i="1"/>
  <c r="I1226" i="1"/>
  <c r="J1226" i="1"/>
  <c r="H1227" i="1"/>
  <c r="I1227" i="1"/>
  <c r="J1227" i="1"/>
  <c r="H1228" i="1"/>
  <c r="I1228" i="1"/>
  <c r="J1228" i="1"/>
  <c r="H1229" i="1"/>
  <c r="I1229" i="1"/>
  <c r="J1229" i="1"/>
  <c r="H1230" i="1"/>
  <c r="I1230" i="1"/>
  <c r="J1230" i="1"/>
  <c r="H1231" i="1"/>
  <c r="I1231" i="1"/>
  <c r="J1231" i="1"/>
  <c r="H1232" i="1"/>
  <c r="I1232" i="1"/>
  <c r="J1232" i="1"/>
  <c r="H1233" i="1"/>
  <c r="I1233" i="1"/>
  <c r="J1233" i="1"/>
  <c r="H1234" i="1"/>
  <c r="I1234" i="1"/>
  <c r="J1234" i="1"/>
  <c r="H1235" i="1"/>
  <c r="I1235" i="1"/>
  <c r="J1235" i="1"/>
  <c r="H1236" i="1"/>
  <c r="I1236" i="1"/>
  <c r="J1236" i="1"/>
  <c r="H1237" i="1"/>
  <c r="I1237" i="1"/>
  <c r="J1237" i="1"/>
  <c r="H1238" i="1"/>
  <c r="I1238" i="1"/>
  <c r="J1238" i="1"/>
  <c r="H1239" i="1"/>
  <c r="I1239" i="1"/>
  <c r="J1239" i="1"/>
  <c r="H1240" i="1"/>
  <c r="I1240" i="1"/>
  <c r="J1240" i="1"/>
  <c r="H1241" i="1"/>
  <c r="I1241" i="1"/>
  <c r="J1241" i="1"/>
  <c r="H1242" i="1"/>
  <c r="I1242" i="1"/>
  <c r="J1242" i="1"/>
  <c r="H1243" i="1"/>
  <c r="I1243" i="1"/>
  <c r="J1243" i="1"/>
  <c r="H1244" i="1"/>
  <c r="I1244" i="1"/>
  <c r="J1244" i="1"/>
  <c r="H1245" i="1"/>
  <c r="I1245" i="1"/>
  <c r="J1245" i="1"/>
  <c r="H1246" i="1"/>
  <c r="I1246" i="1"/>
  <c r="J1246" i="1"/>
  <c r="H1247" i="1"/>
  <c r="I1247" i="1"/>
  <c r="J1247" i="1"/>
  <c r="H1248" i="1"/>
  <c r="I1248" i="1"/>
  <c r="J1248" i="1"/>
  <c r="H1249" i="1"/>
  <c r="I1249" i="1"/>
  <c r="J1249" i="1"/>
  <c r="H1250" i="1"/>
  <c r="I1250" i="1"/>
  <c r="J1250" i="1"/>
  <c r="H1251" i="1"/>
  <c r="I1251" i="1"/>
  <c r="J1251" i="1"/>
  <c r="H1252" i="1"/>
  <c r="I1252" i="1"/>
  <c r="J1252" i="1"/>
  <c r="H1253" i="1"/>
  <c r="I1253" i="1"/>
  <c r="J1253" i="1"/>
  <c r="H1254" i="1"/>
  <c r="I1254" i="1"/>
  <c r="J1254" i="1"/>
  <c r="H1255" i="1"/>
  <c r="I1255" i="1"/>
  <c r="J1255" i="1"/>
  <c r="H1256" i="1"/>
  <c r="I1256" i="1"/>
  <c r="J1256" i="1"/>
  <c r="H1257" i="1"/>
  <c r="I1257" i="1"/>
  <c r="J1257" i="1"/>
  <c r="H1258" i="1"/>
  <c r="I1258" i="1"/>
  <c r="J1258" i="1"/>
  <c r="H1259" i="1"/>
  <c r="I1259" i="1"/>
  <c r="J1259" i="1"/>
  <c r="H1260" i="1"/>
  <c r="I1260" i="1"/>
  <c r="J1260" i="1"/>
  <c r="H1261" i="1"/>
  <c r="I1261" i="1"/>
  <c r="J1261" i="1"/>
  <c r="H1262" i="1"/>
  <c r="I1262" i="1"/>
  <c r="J1262" i="1"/>
  <c r="H1263" i="1"/>
  <c r="I1263" i="1"/>
  <c r="J1263" i="1"/>
  <c r="H1264" i="1"/>
  <c r="I1264" i="1"/>
  <c r="J1264" i="1"/>
  <c r="H1265" i="1"/>
  <c r="I1265" i="1"/>
  <c r="J1265" i="1"/>
  <c r="H1266" i="1"/>
  <c r="I1266" i="1"/>
  <c r="J1266" i="1"/>
  <c r="H1267" i="1"/>
  <c r="I1267" i="1"/>
  <c r="J1267" i="1"/>
  <c r="H1268" i="1"/>
  <c r="I1268" i="1"/>
  <c r="J1268" i="1"/>
  <c r="H1269" i="1"/>
  <c r="I1269" i="1"/>
  <c r="J1269" i="1"/>
  <c r="H1270" i="1"/>
  <c r="I1270" i="1"/>
  <c r="J1270" i="1"/>
  <c r="H1271" i="1"/>
  <c r="I1271" i="1"/>
  <c r="J1271" i="1"/>
  <c r="H1272" i="1"/>
  <c r="I1272" i="1"/>
  <c r="J1272" i="1"/>
  <c r="H1273" i="1"/>
  <c r="I1273" i="1"/>
  <c r="J1273" i="1"/>
  <c r="H1274" i="1"/>
  <c r="I1274" i="1"/>
  <c r="J1274" i="1"/>
  <c r="H1275" i="1"/>
  <c r="I1275" i="1"/>
  <c r="J1275" i="1"/>
  <c r="H1276" i="1"/>
  <c r="I1276" i="1"/>
  <c r="J1276" i="1"/>
  <c r="H1277" i="1"/>
  <c r="I1277" i="1"/>
  <c r="J1277" i="1"/>
  <c r="H1278" i="1"/>
  <c r="I1278" i="1"/>
  <c r="J1278" i="1"/>
  <c r="H1279" i="1"/>
  <c r="I1279" i="1"/>
  <c r="J1279" i="1"/>
  <c r="H1280" i="1"/>
  <c r="I1280" i="1"/>
  <c r="J1280" i="1"/>
  <c r="H1281" i="1"/>
  <c r="I1281" i="1"/>
  <c r="J1281" i="1"/>
  <c r="H1282" i="1"/>
  <c r="I1282" i="1"/>
  <c r="J1282" i="1"/>
  <c r="H1283" i="1"/>
  <c r="I1283" i="1"/>
  <c r="J1283" i="1"/>
  <c r="H1284" i="1"/>
  <c r="I1284" i="1"/>
  <c r="J1284" i="1"/>
  <c r="H1285" i="1"/>
  <c r="I1285" i="1"/>
  <c r="J1285" i="1"/>
  <c r="H1286" i="1"/>
  <c r="I1286" i="1"/>
  <c r="J1286" i="1"/>
  <c r="H1287" i="1"/>
  <c r="I1287" i="1"/>
  <c r="J1287" i="1"/>
  <c r="H1288" i="1"/>
  <c r="I1288" i="1"/>
  <c r="J1288" i="1"/>
  <c r="H1289" i="1"/>
  <c r="I1289" i="1"/>
  <c r="J1289" i="1"/>
  <c r="H1290" i="1"/>
  <c r="I1290" i="1"/>
  <c r="J1290" i="1"/>
  <c r="H1291" i="1"/>
  <c r="I1291" i="1"/>
  <c r="J1291" i="1"/>
  <c r="H1292" i="1"/>
  <c r="I1292" i="1"/>
  <c r="J1292" i="1"/>
  <c r="H1293" i="1"/>
  <c r="I1293" i="1"/>
  <c r="J1293" i="1"/>
  <c r="H1294" i="1"/>
  <c r="I1294" i="1"/>
  <c r="J1294" i="1"/>
  <c r="H1295" i="1"/>
  <c r="I1295" i="1"/>
  <c r="J1295" i="1"/>
  <c r="H1296" i="1"/>
  <c r="I1296" i="1"/>
  <c r="J1296" i="1"/>
  <c r="H1297" i="1"/>
  <c r="I1297" i="1"/>
  <c r="J1297" i="1"/>
  <c r="H1298" i="1"/>
  <c r="I1298" i="1"/>
  <c r="J1298" i="1"/>
  <c r="H1299" i="1"/>
  <c r="I1299" i="1"/>
  <c r="J1299" i="1"/>
  <c r="H1300" i="1"/>
  <c r="I1300" i="1"/>
  <c r="J1300" i="1"/>
  <c r="H1301" i="1"/>
  <c r="I1301" i="1"/>
  <c r="J1301" i="1"/>
  <c r="H1302" i="1"/>
  <c r="I1302" i="1"/>
  <c r="J1302" i="1"/>
  <c r="H1303" i="1"/>
  <c r="I1303" i="1"/>
  <c r="J1303" i="1"/>
  <c r="H1304" i="1"/>
  <c r="I1304" i="1"/>
  <c r="J1304" i="1"/>
  <c r="H1305" i="1"/>
  <c r="I1305" i="1"/>
  <c r="J1305" i="1"/>
  <c r="H1306" i="1"/>
  <c r="I1306" i="1"/>
  <c r="J1306" i="1"/>
  <c r="H1307" i="1"/>
  <c r="I1307" i="1"/>
  <c r="J1307" i="1"/>
  <c r="H1308" i="1"/>
  <c r="I1308" i="1"/>
  <c r="J1308" i="1"/>
  <c r="H1309" i="1"/>
  <c r="I1309" i="1"/>
  <c r="J1309" i="1"/>
  <c r="H1310" i="1"/>
  <c r="I1310" i="1"/>
  <c r="J1310" i="1"/>
  <c r="H1311" i="1"/>
  <c r="I1311" i="1"/>
  <c r="J1311" i="1"/>
  <c r="H1312" i="1"/>
  <c r="I1312" i="1"/>
  <c r="J1312" i="1"/>
  <c r="H1313" i="1"/>
  <c r="I1313" i="1"/>
  <c r="J1313" i="1"/>
  <c r="H1314" i="1"/>
  <c r="I1314" i="1"/>
  <c r="J1314" i="1"/>
  <c r="H1315" i="1"/>
  <c r="I1315" i="1"/>
  <c r="J1315" i="1"/>
  <c r="H1316" i="1"/>
  <c r="I1316" i="1"/>
  <c r="J1316" i="1"/>
  <c r="H1317" i="1"/>
  <c r="I1317" i="1"/>
  <c r="J1317" i="1"/>
  <c r="H1318" i="1"/>
  <c r="I1318" i="1"/>
  <c r="J1318" i="1"/>
  <c r="H1319" i="1"/>
  <c r="I1319" i="1"/>
  <c r="J1319" i="1"/>
  <c r="H1320" i="1"/>
  <c r="I1320" i="1"/>
  <c r="J1320" i="1"/>
  <c r="H1321" i="1"/>
  <c r="I1321" i="1"/>
  <c r="J1321" i="1"/>
  <c r="H1322" i="1"/>
  <c r="I1322" i="1"/>
  <c r="J1322" i="1"/>
  <c r="H1323" i="1"/>
  <c r="I1323" i="1"/>
  <c r="J1323" i="1"/>
  <c r="H1324" i="1"/>
  <c r="I1324" i="1"/>
  <c r="J1324" i="1"/>
  <c r="H1325" i="1"/>
  <c r="I1325" i="1"/>
  <c r="J1325" i="1"/>
  <c r="H1326" i="1"/>
  <c r="I1326" i="1"/>
  <c r="J1326" i="1"/>
  <c r="H1327" i="1"/>
  <c r="I1327" i="1"/>
  <c r="J1327" i="1"/>
  <c r="H1328" i="1"/>
  <c r="I1328" i="1"/>
  <c r="J1328" i="1"/>
  <c r="H1329" i="1"/>
  <c r="I1329" i="1"/>
  <c r="J1329" i="1"/>
  <c r="H1330" i="1"/>
  <c r="I1330" i="1"/>
  <c r="J1330" i="1"/>
  <c r="H1331" i="1"/>
  <c r="I1331" i="1"/>
  <c r="J1331" i="1"/>
  <c r="H1332" i="1"/>
  <c r="I1332" i="1"/>
  <c r="J1332" i="1"/>
  <c r="H1333" i="1"/>
  <c r="I1333" i="1"/>
  <c r="J1333" i="1"/>
  <c r="H1334" i="1"/>
  <c r="I1334" i="1"/>
  <c r="J1334" i="1"/>
  <c r="H1335" i="1"/>
  <c r="I1335" i="1"/>
  <c r="J1335" i="1"/>
  <c r="H1336" i="1"/>
  <c r="I1336" i="1"/>
  <c r="J1336" i="1"/>
  <c r="H1337" i="1"/>
  <c r="I1337" i="1"/>
  <c r="J1337" i="1"/>
  <c r="H1338" i="1"/>
  <c r="I1338" i="1"/>
  <c r="J1338" i="1"/>
  <c r="H1339" i="1"/>
  <c r="I1339" i="1"/>
  <c r="J1339" i="1"/>
  <c r="H1340" i="1"/>
  <c r="I1340" i="1"/>
  <c r="J1340" i="1"/>
  <c r="H1341" i="1"/>
  <c r="I1341" i="1"/>
  <c r="J1341" i="1"/>
  <c r="H1342" i="1"/>
  <c r="I1342" i="1"/>
  <c r="J1342" i="1"/>
  <c r="H1343" i="1"/>
  <c r="I1343" i="1"/>
  <c r="J1343" i="1"/>
  <c r="H1344" i="1"/>
  <c r="I1344" i="1"/>
  <c r="J1344" i="1"/>
  <c r="H1345" i="1"/>
  <c r="I1345" i="1"/>
  <c r="J1345" i="1"/>
  <c r="H1346" i="1"/>
  <c r="I1346" i="1"/>
  <c r="J1346" i="1"/>
  <c r="H1347" i="1"/>
  <c r="I1347" i="1"/>
  <c r="J1347" i="1"/>
  <c r="H1348" i="1"/>
  <c r="I1348" i="1"/>
  <c r="J1348" i="1"/>
  <c r="H1349" i="1"/>
  <c r="I1349" i="1"/>
  <c r="J1349" i="1"/>
  <c r="H1350" i="1"/>
  <c r="I1350" i="1"/>
  <c r="J1350" i="1"/>
  <c r="H1351" i="1"/>
  <c r="I1351" i="1"/>
  <c r="J1351" i="1"/>
  <c r="H1352" i="1"/>
  <c r="I1352" i="1"/>
  <c r="J1352" i="1"/>
  <c r="H1353" i="1"/>
  <c r="I1353" i="1"/>
  <c r="J1353" i="1"/>
  <c r="H1354" i="1"/>
  <c r="I1354" i="1"/>
  <c r="J1354" i="1"/>
  <c r="H1355" i="1"/>
  <c r="I1355" i="1"/>
  <c r="J1355" i="1"/>
  <c r="H1356" i="1"/>
  <c r="I1356" i="1"/>
  <c r="J1356" i="1"/>
  <c r="H1357" i="1"/>
  <c r="I1357" i="1"/>
  <c r="J1357" i="1"/>
  <c r="H1358" i="1"/>
  <c r="I1358" i="1"/>
  <c r="J1358" i="1"/>
  <c r="H1359" i="1"/>
  <c r="I1359" i="1"/>
  <c r="J1359" i="1"/>
  <c r="H1360" i="1"/>
  <c r="I1360" i="1"/>
  <c r="J1360" i="1"/>
  <c r="H1361" i="1"/>
  <c r="I1361" i="1"/>
  <c r="J1361" i="1"/>
  <c r="H1362" i="1"/>
  <c r="I1362" i="1"/>
  <c r="J1362" i="1"/>
  <c r="H1363" i="1"/>
  <c r="I1363" i="1"/>
  <c r="J1363" i="1"/>
  <c r="H1364" i="1"/>
  <c r="I1364" i="1"/>
  <c r="J1364" i="1"/>
  <c r="H1365" i="1"/>
  <c r="I1365" i="1"/>
  <c r="J1365" i="1"/>
  <c r="H1366" i="1"/>
  <c r="I1366" i="1"/>
  <c r="J1366" i="1"/>
  <c r="H1367" i="1"/>
  <c r="I1367" i="1"/>
  <c r="J1367" i="1"/>
  <c r="H1368" i="1"/>
  <c r="I1368" i="1"/>
  <c r="J1368" i="1"/>
  <c r="H1369" i="1"/>
  <c r="I1369" i="1"/>
  <c r="J1369" i="1"/>
  <c r="H1370" i="1"/>
  <c r="I1370" i="1"/>
  <c r="J1370" i="1"/>
  <c r="H1371" i="1"/>
  <c r="I1371" i="1"/>
  <c r="J1371" i="1"/>
  <c r="H1372" i="1"/>
  <c r="I1372" i="1"/>
  <c r="J1372" i="1"/>
  <c r="H1373" i="1"/>
  <c r="I1373" i="1"/>
  <c r="J1373" i="1"/>
  <c r="H1374" i="1"/>
  <c r="I1374" i="1"/>
  <c r="J1374" i="1"/>
  <c r="H1375" i="1"/>
  <c r="I1375" i="1"/>
  <c r="J1375" i="1"/>
  <c r="H1376" i="1"/>
  <c r="I1376" i="1"/>
  <c r="J1376" i="1"/>
  <c r="H1377" i="1"/>
  <c r="I1377" i="1"/>
  <c r="J1377" i="1"/>
  <c r="H1378" i="1"/>
  <c r="I1378" i="1"/>
  <c r="J1378" i="1"/>
  <c r="H1379" i="1"/>
  <c r="I1379" i="1"/>
  <c r="J1379" i="1"/>
  <c r="H1380" i="1"/>
  <c r="I1380" i="1"/>
  <c r="J1380" i="1"/>
  <c r="H1381" i="1"/>
  <c r="I1381" i="1"/>
  <c r="J1381" i="1"/>
  <c r="H1382" i="1"/>
  <c r="I1382" i="1"/>
  <c r="J1382" i="1"/>
  <c r="H1383" i="1"/>
  <c r="I1383" i="1"/>
  <c r="J1383" i="1"/>
  <c r="H1384" i="1"/>
  <c r="I1384" i="1"/>
  <c r="J1384" i="1"/>
  <c r="H1385" i="1"/>
  <c r="I1385" i="1"/>
  <c r="J1385" i="1"/>
  <c r="H1386" i="1"/>
  <c r="I1386" i="1"/>
  <c r="J1386" i="1"/>
  <c r="H1387" i="1"/>
  <c r="I1387" i="1"/>
  <c r="J1387" i="1"/>
  <c r="H1388" i="1"/>
  <c r="I1388" i="1"/>
  <c r="J1388" i="1"/>
  <c r="H1389" i="1"/>
  <c r="I1389" i="1"/>
  <c r="J1389" i="1"/>
  <c r="H1390" i="1"/>
  <c r="I1390" i="1"/>
  <c r="J1390" i="1"/>
  <c r="H1391" i="1"/>
  <c r="I1391" i="1"/>
  <c r="J1391" i="1"/>
  <c r="H1392" i="1"/>
  <c r="I1392" i="1"/>
  <c r="J1392" i="1"/>
  <c r="H1393" i="1"/>
  <c r="I1393" i="1"/>
  <c r="J1393" i="1"/>
  <c r="H1394" i="1"/>
  <c r="I1394" i="1"/>
  <c r="J1394" i="1"/>
  <c r="H1395" i="1"/>
  <c r="I1395" i="1"/>
  <c r="J1395" i="1"/>
  <c r="H1396" i="1"/>
  <c r="I1396" i="1"/>
  <c r="J1396" i="1"/>
  <c r="H1397" i="1"/>
  <c r="I1397" i="1"/>
  <c r="J1397" i="1"/>
  <c r="H1398" i="1"/>
  <c r="I1398" i="1"/>
  <c r="J1398" i="1"/>
  <c r="H1399" i="1"/>
  <c r="I1399" i="1"/>
  <c r="J1399" i="1"/>
  <c r="H1400" i="1"/>
  <c r="I1400" i="1"/>
  <c r="J1400" i="1"/>
  <c r="H1401" i="1"/>
  <c r="I1401" i="1"/>
  <c r="J1401" i="1"/>
  <c r="H1402" i="1"/>
  <c r="I1402" i="1"/>
  <c r="J1402" i="1"/>
  <c r="H1403" i="1"/>
  <c r="I1403" i="1"/>
  <c r="J1403" i="1"/>
  <c r="H1404" i="1"/>
  <c r="I1404" i="1"/>
  <c r="J1404" i="1"/>
  <c r="H1405" i="1"/>
  <c r="I1405" i="1"/>
  <c r="J1405" i="1"/>
  <c r="H1406" i="1"/>
  <c r="I1406" i="1"/>
  <c r="J1406" i="1"/>
  <c r="H1407" i="1"/>
  <c r="I1407" i="1"/>
  <c r="J1407" i="1"/>
  <c r="H1408" i="1"/>
  <c r="I1408" i="1"/>
  <c r="J1408" i="1"/>
  <c r="H1409" i="1"/>
  <c r="I1409" i="1"/>
  <c r="J1409" i="1"/>
  <c r="H1410" i="1"/>
  <c r="I1410" i="1"/>
  <c r="J1410" i="1"/>
  <c r="H1411" i="1"/>
  <c r="I1411" i="1"/>
  <c r="J1411" i="1"/>
  <c r="H1412" i="1"/>
  <c r="I1412" i="1"/>
  <c r="J1412" i="1"/>
  <c r="H1413" i="1"/>
  <c r="I1413" i="1"/>
  <c r="J1413" i="1"/>
  <c r="H1414" i="1"/>
  <c r="I1414" i="1"/>
  <c r="J1414" i="1"/>
  <c r="H1415" i="1"/>
  <c r="I1415" i="1"/>
  <c r="J1415" i="1"/>
  <c r="H1416" i="1"/>
  <c r="I1416" i="1"/>
  <c r="J1416" i="1"/>
  <c r="H1417" i="1"/>
  <c r="I1417" i="1"/>
  <c r="J1417" i="1"/>
  <c r="H1418" i="1"/>
  <c r="I1418" i="1"/>
  <c r="J1418" i="1"/>
  <c r="H1419" i="1"/>
  <c r="I1419" i="1"/>
  <c r="J1419" i="1"/>
  <c r="H1420" i="1"/>
  <c r="I1420" i="1"/>
  <c r="J1420" i="1"/>
  <c r="H1421" i="1"/>
  <c r="I1421" i="1"/>
  <c r="J1421" i="1"/>
  <c r="H1422" i="1"/>
  <c r="I1422" i="1"/>
  <c r="J1422" i="1"/>
  <c r="H1423" i="1"/>
  <c r="I1423" i="1"/>
  <c r="J1423" i="1"/>
  <c r="H1424" i="1"/>
  <c r="I1424" i="1"/>
  <c r="J1424" i="1"/>
  <c r="H1425" i="1"/>
  <c r="I1425" i="1"/>
  <c r="J1425" i="1"/>
  <c r="H1426" i="1"/>
  <c r="I1426" i="1"/>
  <c r="J1426" i="1"/>
  <c r="H1427" i="1"/>
  <c r="I1427" i="1"/>
  <c r="J1427" i="1"/>
  <c r="H1428" i="1"/>
  <c r="I1428" i="1"/>
  <c r="J1428" i="1"/>
  <c r="H1429" i="1"/>
  <c r="I1429" i="1"/>
  <c r="J1429" i="1"/>
  <c r="H1430" i="1"/>
  <c r="I1430" i="1"/>
  <c r="J1430" i="1"/>
  <c r="H1431" i="1"/>
  <c r="I1431" i="1"/>
  <c r="J1431" i="1"/>
  <c r="H1432" i="1"/>
  <c r="I1432" i="1"/>
  <c r="J1432" i="1"/>
  <c r="H1433" i="1"/>
  <c r="I1433" i="1"/>
  <c r="J1433" i="1"/>
  <c r="H1434" i="1"/>
  <c r="I1434" i="1"/>
  <c r="J1434" i="1"/>
  <c r="H1435" i="1"/>
  <c r="I1435" i="1"/>
  <c r="J1435" i="1"/>
  <c r="H1436" i="1"/>
  <c r="I1436" i="1"/>
  <c r="J1436" i="1"/>
  <c r="H1437" i="1"/>
  <c r="I1437" i="1"/>
  <c r="J1437" i="1"/>
  <c r="H1438" i="1"/>
  <c r="I1438" i="1"/>
  <c r="J1438" i="1"/>
  <c r="H1439" i="1"/>
  <c r="I1439" i="1"/>
  <c r="J1439" i="1"/>
  <c r="H1440" i="1"/>
  <c r="I1440" i="1"/>
  <c r="J1440" i="1"/>
  <c r="H1441" i="1"/>
  <c r="I1441" i="1"/>
  <c r="J1441" i="1"/>
  <c r="H1442" i="1"/>
  <c r="I1442" i="1"/>
  <c r="J1442" i="1"/>
  <c r="H1443" i="1"/>
  <c r="I1443" i="1"/>
  <c r="J1443" i="1"/>
  <c r="H1444" i="1"/>
  <c r="I1444" i="1"/>
  <c r="J1444" i="1"/>
  <c r="H1445" i="1"/>
  <c r="I1445" i="1"/>
  <c r="J1445" i="1"/>
  <c r="H1446" i="1"/>
  <c r="I1446" i="1"/>
  <c r="J1446" i="1"/>
  <c r="H1447" i="1"/>
  <c r="I1447" i="1"/>
  <c r="J1447" i="1"/>
  <c r="H1448" i="1"/>
  <c r="I1448" i="1"/>
  <c r="J1448" i="1"/>
  <c r="H1449" i="1"/>
  <c r="I1449" i="1"/>
  <c r="J1449" i="1"/>
  <c r="H1450" i="1"/>
  <c r="I1450" i="1"/>
  <c r="J1450" i="1"/>
  <c r="H1451" i="1"/>
  <c r="I1451" i="1"/>
  <c r="J1451" i="1"/>
  <c r="H1452" i="1"/>
  <c r="I1452" i="1"/>
  <c r="J1452" i="1"/>
  <c r="H1453" i="1"/>
  <c r="I1453" i="1"/>
  <c r="J1453" i="1"/>
  <c r="H1454" i="1"/>
  <c r="I1454" i="1"/>
  <c r="J1454" i="1"/>
  <c r="H1455" i="1"/>
  <c r="I1455" i="1"/>
  <c r="J1455" i="1"/>
  <c r="H1456" i="1"/>
  <c r="I1456" i="1"/>
  <c r="J1456" i="1"/>
  <c r="H1457" i="1"/>
  <c r="I1457" i="1"/>
  <c r="J1457" i="1"/>
  <c r="H1458" i="1"/>
  <c r="I1458" i="1"/>
  <c r="J1458" i="1"/>
  <c r="H1459" i="1"/>
  <c r="I1459" i="1"/>
  <c r="J1459" i="1"/>
  <c r="H1460" i="1"/>
  <c r="I1460" i="1"/>
  <c r="J1460" i="1"/>
  <c r="H1461" i="1"/>
  <c r="I1461" i="1"/>
  <c r="J1461" i="1"/>
  <c r="H1462" i="1"/>
  <c r="I1462" i="1"/>
  <c r="J1462" i="1"/>
  <c r="H1463" i="1"/>
  <c r="I1463" i="1"/>
  <c r="J1463" i="1"/>
  <c r="H1464" i="1"/>
  <c r="I1464" i="1"/>
  <c r="J1464" i="1"/>
  <c r="H1465" i="1"/>
  <c r="I1465" i="1"/>
  <c r="J1465" i="1"/>
  <c r="H1466" i="1"/>
  <c r="I1466" i="1"/>
  <c r="J1466" i="1"/>
  <c r="H1467" i="1"/>
  <c r="I1467" i="1"/>
  <c r="J1467" i="1"/>
  <c r="H1468" i="1"/>
  <c r="I1468" i="1"/>
  <c r="J1468" i="1"/>
  <c r="H1469" i="1"/>
  <c r="I1469" i="1"/>
  <c r="J1469" i="1"/>
  <c r="H1470" i="1"/>
  <c r="I1470" i="1"/>
  <c r="J1470" i="1"/>
  <c r="H1471" i="1"/>
  <c r="I1471" i="1"/>
  <c r="J1471" i="1"/>
  <c r="H1472" i="1"/>
  <c r="I1472" i="1"/>
  <c r="J1472" i="1"/>
  <c r="H1473" i="1"/>
  <c r="I1473" i="1"/>
  <c r="J1473" i="1"/>
  <c r="H1474" i="1"/>
  <c r="I1474" i="1"/>
  <c r="J1474" i="1"/>
  <c r="H1475" i="1"/>
  <c r="I1475" i="1"/>
  <c r="J1475" i="1"/>
  <c r="H1476" i="1"/>
  <c r="I1476" i="1"/>
  <c r="J1476" i="1"/>
  <c r="H1477" i="1"/>
  <c r="I1477" i="1"/>
  <c r="J1477" i="1"/>
  <c r="H1478" i="1"/>
  <c r="I1478" i="1"/>
  <c r="J1478" i="1"/>
  <c r="H1479" i="1"/>
  <c r="I1479" i="1"/>
  <c r="J1479" i="1"/>
  <c r="H1480" i="1"/>
  <c r="I1480" i="1"/>
  <c r="J1480" i="1"/>
  <c r="H1481" i="1"/>
  <c r="I1481" i="1"/>
  <c r="J1481" i="1"/>
  <c r="H1482" i="1"/>
  <c r="I1482" i="1"/>
  <c r="J1482" i="1"/>
  <c r="H1483" i="1"/>
  <c r="I1483" i="1"/>
  <c r="J1483" i="1"/>
  <c r="H1484" i="1"/>
  <c r="I1484" i="1"/>
  <c r="J1484" i="1"/>
  <c r="H1485" i="1"/>
  <c r="I1485" i="1"/>
  <c r="J1485" i="1"/>
  <c r="H1486" i="1"/>
  <c r="I1486" i="1"/>
  <c r="J1486" i="1"/>
  <c r="H1487" i="1"/>
  <c r="I1487" i="1"/>
  <c r="J1487" i="1"/>
  <c r="H1488" i="1"/>
  <c r="I1488" i="1"/>
  <c r="J1488" i="1"/>
  <c r="H1489" i="1"/>
  <c r="I1489" i="1"/>
  <c r="J1489" i="1"/>
  <c r="H1490" i="1"/>
  <c r="I1490" i="1"/>
  <c r="J1490" i="1"/>
  <c r="H1491" i="1"/>
  <c r="I1491" i="1"/>
  <c r="J1491" i="1"/>
  <c r="H1492" i="1"/>
  <c r="I1492" i="1"/>
  <c r="J1492" i="1"/>
  <c r="H1493" i="1"/>
  <c r="I1493" i="1"/>
  <c r="J1493" i="1"/>
  <c r="H1494" i="1"/>
  <c r="I1494" i="1"/>
  <c r="J1494" i="1"/>
  <c r="H1495" i="1"/>
  <c r="I1495" i="1"/>
  <c r="J1495" i="1"/>
  <c r="H1496" i="1"/>
  <c r="I1496" i="1"/>
  <c r="J1496" i="1"/>
  <c r="H1497" i="1"/>
  <c r="I1497" i="1"/>
  <c r="J1497" i="1"/>
  <c r="H1498" i="1"/>
  <c r="I1498" i="1"/>
  <c r="J1498" i="1"/>
  <c r="H1499" i="1"/>
  <c r="I1499" i="1"/>
  <c r="J1499" i="1"/>
  <c r="H1500" i="1"/>
  <c r="I1500" i="1"/>
  <c r="J1500" i="1"/>
  <c r="H1501" i="1"/>
  <c r="I1501" i="1"/>
  <c r="J1501" i="1"/>
  <c r="H1502" i="1"/>
  <c r="I1502" i="1"/>
  <c r="J1502" i="1"/>
  <c r="H1503" i="1"/>
  <c r="I1503" i="1"/>
  <c r="J1503" i="1"/>
  <c r="H1504" i="1"/>
  <c r="I1504" i="1"/>
  <c r="J1504" i="1"/>
  <c r="H1505" i="1"/>
  <c r="I1505" i="1"/>
  <c r="J1505" i="1"/>
  <c r="H1506" i="1"/>
  <c r="I1506" i="1"/>
  <c r="J1506" i="1"/>
  <c r="H1507" i="1"/>
  <c r="I1507" i="1"/>
  <c r="J1507" i="1"/>
  <c r="H1508" i="1"/>
  <c r="I1508" i="1"/>
  <c r="J1508" i="1"/>
  <c r="H1509" i="1"/>
  <c r="I1509" i="1"/>
  <c r="J1509" i="1"/>
  <c r="H1510" i="1"/>
  <c r="I1510" i="1"/>
  <c r="J1510" i="1"/>
  <c r="H1511" i="1"/>
  <c r="I1511" i="1"/>
  <c r="J1511" i="1"/>
  <c r="H1512" i="1"/>
  <c r="I1512" i="1"/>
  <c r="J1512" i="1"/>
  <c r="H1513" i="1"/>
  <c r="I1513" i="1"/>
  <c r="J1513" i="1"/>
  <c r="H1514" i="1"/>
  <c r="I1514" i="1"/>
  <c r="J1514" i="1"/>
  <c r="H1515" i="1"/>
  <c r="I1515" i="1"/>
  <c r="J1515" i="1"/>
  <c r="H1516" i="1"/>
  <c r="I1516" i="1"/>
  <c r="J1516" i="1"/>
  <c r="H1517" i="1"/>
  <c r="I1517" i="1"/>
  <c r="J1517" i="1"/>
  <c r="H1518" i="1"/>
  <c r="I1518" i="1"/>
  <c r="J1518" i="1"/>
  <c r="H1519" i="1"/>
  <c r="I1519" i="1"/>
  <c r="J1519" i="1"/>
  <c r="H1520" i="1"/>
  <c r="I1520" i="1"/>
  <c r="J1520" i="1"/>
  <c r="H1521" i="1"/>
  <c r="I1521" i="1"/>
  <c r="J1521" i="1"/>
  <c r="H1522" i="1"/>
  <c r="I1522" i="1"/>
  <c r="J1522" i="1"/>
  <c r="H1523" i="1"/>
  <c r="I1523" i="1"/>
  <c r="J1523" i="1"/>
  <c r="H1524" i="1"/>
  <c r="I1524" i="1"/>
  <c r="J1524" i="1"/>
  <c r="H1525" i="1"/>
  <c r="I1525" i="1"/>
  <c r="J1525" i="1"/>
  <c r="H1526" i="1"/>
  <c r="I1526" i="1"/>
  <c r="J1526" i="1"/>
  <c r="H1527" i="1"/>
  <c r="I1527" i="1"/>
  <c r="J1527" i="1"/>
  <c r="H1528" i="1"/>
  <c r="I1528" i="1"/>
  <c r="J1528" i="1"/>
  <c r="H1529" i="1"/>
  <c r="I1529" i="1"/>
  <c r="J1529" i="1"/>
  <c r="H1530" i="1"/>
  <c r="I1530" i="1"/>
  <c r="J1530" i="1"/>
  <c r="H1531" i="1"/>
  <c r="I1531" i="1"/>
  <c r="J1531" i="1"/>
  <c r="H1532" i="1"/>
  <c r="I1532" i="1"/>
  <c r="J1532" i="1"/>
  <c r="H1533" i="1"/>
  <c r="I1533" i="1"/>
  <c r="J1533" i="1"/>
  <c r="H1534" i="1"/>
  <c r="I1534" i="1"/>
  <c r="J1534" i="1"/>
  <c r="H1535" i="1"/>
  <c r="I1535" i="1"/>
  <c r="J1535" i="1"/>
  <c r="H1536" i="1"/>
  <c r="I1536" i="1"/>
  <c r="J1536" i="1"/>
  <c r="H1537" i="1"/>
  <c r="I1537" i="1"/>
  <c r="J1537" i="1"/>
  <c r="H1538" i="1"/>
  <c r="I1538" i="1"/>
  <c r="J1538" i="1"/>
  <c r="H1539" i="1"/>
  <c r="I1539" i="1"/>
  <c r="J1539" i="1"/>
  <c r="H1540" i="1"/>
  <c r="I1540" i="1"/>
  <c r="J1540" i="1"/>
  <c r="H1541" i="1"/>
  <c r="I1541" i="1"/>
  <c r="J1541" i="1"/>
  <c r="H1542" i="1"/>
  <c r="I1542" i="1"/>
  <c r="J1542" i="1"/>
  <c r="H1543" i="1"/>
  <c r="I1543" i="1"/>
  <c r="J1543" i="1"/>
  <c r="H1544" i="1"/>
  <c r="I1544" i="1"/>
  <c r="J1544" i="1"/>
  <c r="H1545" i="1"/>
  <c r="I1545" i="1"/>
  <c r="J1545" i="1"/>
  <c r="H1546" i="1"/>
  <c r="I1546" i="1"/>
  <c r="J1546" i="1"/>
  <c r="H1547" i="1"/>
  <c r="I1547" i="1"/>
  <c r="J1547" i="1"/>
  <c r="H1548" i="1"/>
  <c r="I1548" i="1"/>
  <c r="J1548" i="1"/>
  <c r="H1549" i="1"/>
  <c r="I1549" i="1"/>
  <c r="J1549" i="1"/>
  <c r="H1550" i="1"/>
  <c r="I1550" i="1"/>
  <c r="J1550" i="1"/>
  <c r="H1551" i="1"/>
  <c r="I1551" i="1"/>
  <c r="J1551" i="1"/>
  <c r="H1552" i="1"/>
  <c r="I1552" i="1"/>
  <c r="J1552" i="1"/>
  <c r="H1553" i="1"/>
  <c r="I1553" i="1"/>
  <c r="J1553" i="1"/>
  <c r="H1554" i="1"/>
  <c r="I1554" i="1"/>
  <c r="J1554" i="1"/>
  <c r="H1555" i="1"/>
  <c r="I1555" i="1"/>
  <c r="J1555" i="1"/>
  <c r="H1556" i="1"/>
  <c r="I1556" i="1"/>
  <c r="J1556" i="1"/>
  <c r="H1557" i="1"/>
  <c r="I1557" i="1"/>
  <c r="J1557" i="1"/>
  <c r="H1558" i="1"/>
  <c r="I1558" i="1"/>
  <c r="J1558" i="1"/>
  <c r="H1559" i="1"/>
  <c r="I1559" i="1"/>
  <c r="J1559" i="1"/>
  <c r="H1560" i="1"/>
  <c r="I1560" i="1"/>
  <c r="J1560" i="1"/>
  <c r="H1561" i="1"/>
  <c r="I1561" i="1"/>
  <c r="J1561" i="1"/>
  <c r="H1562" i="1"/>
  <c r="I1562" i="1"/>
  <c r="J1562" i="1"/>
  <c r="H1563" i="1"/>
  <c r="I1563" i="1"/>
  <c r="J1563" i="1"/>
  <c r="H1564" i="1"/>
  <c r="I1564" i="1"/>
  <c r="J1564" i="1"/>
  <c r="H1565" i="1"/>
  <c r="I1565" i="1"/>
  <c r="J1565" i="1"/>
  <c r="H1566" i="1"/>
  <c r="I1566" i="1"/>
  <c r="J1566" i="1"/>
  <c r="H1567" i="1"/>
  <c r="I1567" i="1"/>
  <c r="J1567" i="1"/>
  <c r="H1568" i="1"/>
  <c r="I1568" i="1"/>
  <c r="J1568" i="1"/>
  <c r="H1569" i="1"/>
  <c r="I1569" i="1"/>
  <c r="J1569" i="1"/>
  <c r="H1570" i="1"/>
  <c r="I1570" i="1"/>
  <c r="J1570" i="1"/>
  <c r="H1571" i="1"/>
  <c r="I1571" i="1"/>
  <c r="J1571" i="1"/>
  <c r="H1572" i="1"/>
  <c r="I1572" i="1"/>
  <c r="J1572" i="1"/>
  <c r="H1573" i="1"/>
  <c r="I1573" i="1"/>
  <c r="J1573" i="1"/>
  <c r="H1574" i="1"/>
  <c r="I1574" i="1"/>
  <c r="J1574" i="1"/>
  <c r="H1575" i="1"/>
  <c r="I1575" i="1"/>
  <c r="J1575" i="1"/>
  <c r="H1576" i="1"/>
  <c r="I1576" i="1"/>
  <c r="J1576" i="1"/>
  <c r="H1577" i="1"/>
  <c r="I1577" i="1"/>
  <c r="J1577" i="1"/>
  <c r="H1578" i="1"/>
  <c r="I1578" i="1"/>
  <c r="J1578" i="1"/>
  <c r="H1579" i="1"/>
  <c r="I1579" i="1"/>
  <c r="J1579" i="1"/>
  <c r="H1580" i="1"/>
  <c r="I1580" i="1"/>
  <c r="J1580" i="1"/>
  <c r="H1581" i="1"/>
  <c r="I1581" i="1"/>
  <c r="J1581" i="1"/>
  <c r="H1582" i="1"/>
  <c r="I1582" i="1"/>
  <c r="J1582" i="1"/>
  <c r="H1583" i="1"/>
  <c r="I1583" i="1"/>
  <c r="J1583" i="1"/>
  <c r="H1584" i="1"/>
  <c r="I1584" i="1"/>
  <c r="J1584" i="1"/>
  <c r="H1585" i="1"/>
  <c r="I1585" i="1"/>
  <c r="J1585" i="1"/>
  <c r="H1586" i="1"/>
  <c r="I1586" i="1"/>
  <c r="J1586" i="1"/>
  <c r="H1587" i="1"/>
  <c r="I1587" i="1"/>
  <c r="J1587" i="1"/>
  <c r="H1588" i="1"/>
  <c r="I1588" i="1"/>
  <c r="J1588" i="1"/>
  <c r="H1589" i="1"/>
  <c r="I1589" i="1"/>
  <c r="J1589" i="1"/>
  <c r="H1590" i="1"/>
  <c r="I1590" i="1"/>
  <c r="J1590" i="1"/>
  <c r="H1591" i="1"/>
  <c r="I1591" i="1"/>
  <c r="J1591" i="1"/>
  <c r="H1592" i="1"/>
  <c r="I1592" i="1"/>
  <c r="J1592" i="1"/>
  <c r="H1593" i="1"/>
  <c r="I1593" i="1"/>
  <c r="J1593" i="1"/>
  <c r="H1594" i="1"/>
  <c r="I1594" i="1"/>
  <c r="J1594" i="1"/>
  <c r="H1595" i="1"/>
  <c r="I1595" i="1"/>
  <c r="J1595" i="1"/>
  <c r="H1596" i="1"/>
  <c r="I1596" i="1"/>
  <c r="J1596" i="1"/>
  <c r="H1597" i="1"/>
  <c r="I1597" i="1"/>
  <c r="J1597" i="1"/>
  <c r="H1598" i="1"/>
  <c r="I1598" i="1"/>
  <c r="J1598" i="1"/>
  <c r="H1599" i="1"/>
  <c r="I1599" i="1"/>
  <c r="J1599" i="1"/>
  <c r="H1600" i="1"/>
  <c r="I1600" i="1"/>
  <c r="J1600" i="1"/>
  <c r="H1601" i="1"/>
  <c r="I1601" i="1"/>
  <c r="J1601" i="1"/>
  <c r="H1602" i="1"/>
  <c r="I1602" i="1"/>
  <c r="J1602" i="1"/>
  <c r="H1603" i="1"/>
  <c r="I1603" i="1"/>
  <c r="J1603" i="1"/>
  <c r="H1604" i="1"/>
  <c r="I1604" i="1"/>
  <c r="J1604" i="1"/>
  <c r="H1605" i="1"/>
  <c r="I1605" i="1"/>
  <c r="J1605" i="1"/>
  <c r="H1606" i="1"/>
  <c r="I1606" i="1"/>
  <c r="J1606" i="1"/>
  <c r="H1607" i="1"/>
  <c r="I1607" i="1"/>
  <c r="J1607" i="1"/>
  <c r="H1608" i="1"/>
  <c r="I1608" i="1"/>
  <c r="J1608" i="1"/>
  <c r="H1609" i="1"/>
  <c r="I1609" i="1"/>
  <c r="J1609" i="1"/>
  <c r="H1610" i="1"/>
  <c r="I1610" i="1"/>
  <c r="J1610" i="1"/>
  <c r="H1611" i="1"/>
  <c r="I1611" i="1"/>
  <c r="J1611" i="1"/>
  <c r="H1612" i="1"/>
  <c r="I1612" i="1"/>
  <c r="J1612" i="1"/>
  <c r="H1613" i="1"/>
  <c r="I1613" i="1"/>
  <c r="J1613" i="1"/>
  <c r="H1614" i="1"/>
  <c r="I1614" i="1"/>
  <c r="J1614" i="1"/>
  <c r="H1615" i="1"/>
  <c r="I1615" i="1"/>
  <c r="J1615" i="1"/>
  <c r="H1616" i="1"/>
  <c r="I1616" i="1"/>
  <c r="J1616" i="1"/>
  <c r="H1617" i="1"/>
  <c r="I1617" i="1"/>
  <c r="J1617" i="1"/>
  <c r="H1618" i="1"/>
  <c r="I1618" i="1"/>
  <c r="J1618" i="1"/>
  <c r="H1619" i="1"/>
  <c r="I1619" i="1"/>
  <c r="J1619" i="1"/>
  <c r="H1620" i="1"/>
  <c r="I1620" i="1"/>
  <c r="J1620" i="1"/>
  <c r="H1621" i="1"/>
  <c r="I1621" i="1"/>
  <c r="J1621" i="1"/>
  <c r="H1622" i="1"/>
  <c r="I1622" i="1"/>
  <c r="J1622" i="1"/>
  <c r="H1623" i="1"/>
  <c r="I1623" i="1"/>
  <c r="J1623" i="1"/>
  <c r="H1624" i="1"/>
  <c r="I1624" i="1"/>
  <c r="J1624" i="1"/>
  <c r="H1625" i="1"/>
  <c r="I1625" i="1"/>
  <c r="J1625" i="1"/>
  <c r="H1626" i="1"/>
  <c r="I1626" i="1"/>
  <c r="J1626" i="1"/>
  <c r="H1627" i="1"/>
  <c r="I1627" i="1"/>
  <c r="J1627" i="1"/>
  <c r="H1628" i="1"/>
  <c r="I1628" i="1"/>
  <c r="J1628" i="1"/>
  <c r="H1629" i="1"/>
  <c r="I1629" i="1"/>
  <c r="J1629" i="1"/>
  <c r="H1630" i="1"/>
  <c r="I1630" i="1"/>
  <c r="J1630" i="1"/>
  <c r="H1631" i="1"/>
  <c r="I1631" i="1"/>
  <c r="J1631" i="1"/>
  <c r="H1632" i="1"/>
  <c r="I1632" i="1"/>
  <c r="J1632" i="1"/>
  <c r="H1633" i="1"/>
  <c r="I1633" i="1"/>
  <c r="J1633" i="1"/>
  <c r="H1634" i="1"/>
  <c r="I1634" i="1"/>
  <c r="J1634" i="1"/>
  <c r="H1635" i="1"/>
  <c r="I1635" i="1"/>
  <c r="J1635" i="1"/>
  <c r="H1636" i="1"/>
  <c r="I1636" i="1"/>
  <c r="J1636" i="1"/>
  <c r="H1637" i="1"/>
  <c r="I1637" i="1"/>
  <c r="J1637" i="1"/>
  <c r="H1638" i="1"/>
  <c r="I1638" i="1"/>
  <c r="J1638" i="1"/>
  <c r="H1639" i="1"/>
  <c r="I1639" i="1"/>
  <c r="J1639" i="1"/>
  <c r="H1640" i="1"/>
  <c r="I1640" i="1"/>
  <c r="J1640" i="1"/>
  <c r="H1641" i="1"/>
  <c r="I1641" i="1"/>
  <c r="J1641" i="1"/>
  <c r="H1642" i="1"/>
  <c r="I1642" i="1"/>
  <c r="J1642" i="1"/>
  <c r="H1643" i="1"/>
  <c r="I1643" i="1"/>
  <c r="J1643" i="1"/>
  <c r="H1644" i="1"/>
  <c r="I1644" i="1"/>
  <c r="J1644" i="1"/>
  <c r="H1645" i="1"/>
  <c r="I1645" i="1"/>
  <c r="J1645" i="1"/>
  <c r="H1646" i="1"/>
  <c r="I1646" i="1"/>
  <c r="J1646" i="1"/>
  <c r="H1647" i="1"/>
  <c r="I1647" i="1"/>
  <c r="J1647" i="1"/>
  <c r="H1648" i="1"/>
  <c r="I1648" i="1"/>
  <c r="J1648" i="1"/>
  <c r="H1649" i="1"/>
  <c r="I1649" i="1"/>
  <c r="J1649" i="1"/>
  <c r="H1650" i="1"/>
  <c r="I1650" i="1"/>
  <c r="J1650" i="1"/>
  <c r="H1651" i="1"/>
  <c r="I1651" i="1"/>
  <c r="J1651" i="1"/>
  <c r="H1652" i="1"/>
  <c r="I1652" i="1"/>
  <c r="J1652" i="1"/>
  <c r="H1653" i="1"/>
  <c r="I1653" i="1"/>
  <c r="J1653" i="1"/>
  <c r="H1654" i="1"/>
  <c r="I1654" i="1"/>
  <c r="J1654" i="1"/>
  <c r="H1655" i="1"/>
  <c r="I1655" i="1"/>
  <c r="J1655" i="1"/>
  <c r="H1656" i="1"/>
  <c r="I1656" i="1"/>
  <c r="J1656" i="1"/>
  <c r="H1657" i="1"/>
  <c r="I1657" i="1"/>
  <c r="J1657" i="1"/>
  <c r="H1658" i="1"/>
  <c r="I1658" i="1"/>
  <c r="J1658" i="1"/>
  <c r="H1659" i="1"/>
  <c r="I1659" i="1"/>
  <c r="J1659" i="1"/>
  <c r="H1660" i="1"/>
  <c r="I1660" i="1"/>
  <c r="J1660" i="1"/>
  <c r="H1661" i="1"/>
  <c r="I1661" i="1"/>
  <c r="J1661" i="1"/>
  <c r="H1662" i="1"/>
  <c r="I1662" i="1"/>
  <c r="J1662" i="1"/>
  <c r="H1663" i="1"/>
  <c r="I1663" i="1"/>
  <c r="J1663" i="1"/>
  <c r="H1664" i="1"/>
  <c r="I1664" i="1"/>
  <c r="J1664" i="1"/>
  <c r="H1665" i="1"/>
  <c r="I1665" i="1"/>
  <c r="J1665" i="1"/>
  <c r="H1666" i="1"/>
  <c r="I1666" i="1"/>
  <c r="J1666" i="1"/>
  <c r="H1667" i="1"/>
  <c r="I1667" i="1"/>
  <c r="J1667" i="1"/>
  <c r="H1668" i="1"/>
  <c r="I1668" i="1"/>
  <c r="J1668" i="1"/>
  <c r="H1669" i="1"/>
  <c r="I1669" i="1"/>
  <c r="J1669" i="1"/>
  <c r="H1670" i="1"/>
  <c r="I1670" i="1"/>
  <c r="J1670" i="1"/>
  <c r="H1671" i="1"/>
  <c r="I1671" i="1"/>
  <c r="J1671" i="1"/>
  <c r="H1672" i="1"/>
  <c r="I1672" i="1"/>
  <c r="J1672" i="1"/>
  <c r="H1673" i="1"/>
  <c r="I1673" i="1"/>
  <c r="J1673" i="1"/>
  <c r="H1674" i="1"/>
  <c r="I1674" i="1"/>
  <c r="J1674" i="1"/>
  <c r="H1675" i="1"/>
  <c r="I1675" i="1"/>
  <c r="J1675" i="1"/>
  <c r="H1676" i="1"/>
  <c r="I1676" i="1"/>
  <c r="J1676" i="1"/>
  <c r="H1677" i="1"/>
  <c r="I1677" i="1"/>
  <c r="J1677" i="1"/>
  <c r="H1678" i="1"/>
  <c r="I1678" i="1"/>
  <c r="J1678" i="1"/>
  <c r="H1679" i="1"/>
  <c r="I1679" i="1"/>
  <c r="J1679" i="1"/>
  <c r="H1680" i="1"/>
  <c r="I1680" i="1"/>
  <c r="J1680" i="1"/>
  <c r="H1681" i="1"/>
  <c r="I1681" i="1"/>
  <c r="J1681" i="1"/>
  <c r="H1682" i="1"/>
  <c r="I1682" i="1"/>
  <c r="J1682" i="1"/>
  <c r="H1683" i="1"/>
  <c r="I1683" i="1"/>
  <c r="J1683" i="1"/>
  <c r="H1684" i="1"/>
  <c r="I1684" i="1"/>
  <c r="J1684" i="1"/>
  <c r="H1685" i="1"/>
  <c r="I1685" i="1"/>
  <c r="J1685" i="1"/>
  <c r="H1686" i="1"/>
  <c r="I1686" i="1"/>
  <c r="J1686" i="1"/>
  <c r="H1687" i="1"/>
  <c r="I1687" i="1"/>
  <c r="J1687" i="1"/>
  <c r="H1688" i="1"/>
  <c r="I1688" i="1"/>
  <c r="J1688" i="1"/>
  <c r="H1689" i="1"/>
  <c r="I1689" i="1"/>
  <c r="J1689" i="1"/>
  <c r="H1690" i="1"/>
  <c r="I1690" i="1"/>
  <c r="J1690" i="1"/>
  <c r="H1691" i="1"/>
  <c r="I1691" i="1"/>
  <c r="J1691" i="1"/>
  <c r="H1692" i="1"/>
  <c r="I1692" i="1"/>
  <c r="J1692" i="1"/>
  <c r="H1693" i="1"/>
  <c r="I1693" i="1"/>
  <c r="J1693" i="1"/>
  <c r="H1694" i="1"/>
  <c r="I1694" i="1"/>
  <c r="J1694" i="1"/>
  <c r="H1695" i="1"/>
  <c r="I1695" i="1"/>
  <c r="J1695" i="1"/>
  <c r="H1696" i="1"/>
  <c r="I1696" i="1"/>
  <c r="J1696" i="1"/>
  <c r="H1697" i="1"/>
  <c r="I1697" i="1"/>
  <c r="J1697" i="1"/>
  <c r="H1698" i="1"/>
  <c r="I1698" i="1"/>
  <c r="J1698" i="1"/>
  <c r="H1699" i="1"/>
  <c r="I1699" i="1"/>
  <c r="J1699" i="1"/>
  <c r="H1700" i="1"/>
  <c r="I1700" i="1"/>
  <c r="J1700" i="1"/>
  <c r="H1701" i="1"/>
  <c r="I1701" i="1"/>
  <c r="J1701" i="1"/>
  <c r="H1702" i="1"/>
  <c r="I1702" i="1"/>
  <c r="J1702" i="1"/>
  <c r="H1703" i="1"/>
  <c r="I1703" i="1"/>
  <c r="J1703" i="1"/>
  <c r="H1704" i="1"/>
  <c r="I1704" i="1"/>
  <c r="J1704" i="1"/>
  <c r="H1705" i="1"/>
  <c r="I1705" i="1"/>
  <c r="J1705" i="1"/>
  <c r="H1706" i="1"/>
  <c r="I1706" i="1"/>
  <c r="J1706" i="1"/>
  <c r="H1707" i="1"/>
  <c r="I1707" i="1"/>
  <c r="J1707" i="1"/>
  <c r="H1708" i="1"/>
  <c r="I1708" i="1"/>
  <c r="J1708" i="1"/>
  <c r="H1709" i="1"/>
  <c r="I1709" i="1"/>
  <c r="J1709" i="1"/>
  <c r="H1710" i="1"/>
  <c r="I1710" i="1"/>
  <c r="J1710" i="1"/>
  <c r="H1711" i="1"/>
  <c r="I1711" i="1"/>
  <c r="J1711" i="1"/>
  <c r="H1712" i="1"/>
  <c r="I1712" i="1"/>
  <c r="J1712" i="1"/>
  <c r="H1713" i="1"/>
  <c r="I1713" i="1"/>
  <c r="J1713" i="1"/>
  <c r="H1714" i="1"/>
  <c r="I1714" i="1"/>
  <c r="J1714" i="1"/>
  <c r="H1715" i="1"/>
  <c r="I1715" i="1"/>
  <c r="J1715" i="1"/>
  <c r="H1716" i="1"/>
  <c r="I1716" i="1"/>
  <c r="J1716" i="1"/>
  <c r="H1717" i="1"/>
  <c r="I1717" i="1"/>
  <c r="J1717" i="1"/>
  <c r="H1718" i="1"/>
  <c r="I1718" i="1"/>
  <c r="J1718" i="1"/>
  <c r="H1719" i="1"/>
  <c r="I1719" i="1"/>
  <c r="J1719" i="1"/>
  <c r="H1720" i="1"/>
  <c r="I1720" i="1"/>
  <c r="J1720" i="1"/>
  <c r="H1721" i="1"/>
  <c r="I1721" i="1"/>
  <c r="J1721" i="1"/>
  <c r="H1722" i="1"/>
  <c r="I1722" i="1"/>
  <c r="J1722" i="1"/>
  <c r="H1723" i="1"/>
  <c r="I1723" i="1"/>
  <c r="J1723" i="1"/>
  <c r="H1724" i="1"/>
  <c r="I1724" i="1"/>
  <c r="J1724" i="1"/>
  <c r="H1725" i="1"/>
  <c r="I1725" i="1"/>
  <c r="J1725" i="1"/>
  <c r="H1726" i="1"/>
  <c r="I1726" i="1"/>
  <c r="J1726" i="1"/>
  <c r="H1727" i="1"/>
  <c r="I1727" i="1"/>
  <c r="J1727" i="1"/>
  <c r="H1728" i="1"/>
  <c r="I1728" i="1"/>
  <c r="J1728" i="1"/>
  <c r="H1729" i="1"/>
  <c r="I1729" i="1"/>
  <c r="J1729" i="1"/>
  <c r="H1730" i="1"/>
  <c r="I1730" i="1"/>
  <c r="J1730" i="1"/>
  <c r="H1731" i="1"/>
  <c r="I1731" i="1"/>
  <c r="J1731" i="1"/>
  <c r="H1732" i="1"/>
  <c r="I1732" i="1"/>
  <c r="J1732" i="1"/>
  <c r="H1733" i="1"/>
  <c r="I1733" i="1"/>
  <c r="J1733" i="1"/>
  <c r="H1734" i="1"/>
  <c r="I1734" i="1"/>
  <c r="J1734" i="1"/>
  <c r="H1735" i="1"/>
  <c r="I1735" i="1"/>
  <c r="J1735" i="1"/>
  <c r="H1736" i="1"/>
  <c r="I1736" i="1"/>
  <c r="J1736" i="1"/>
  <c r="H1737" i="1"/>
  <c r="I1737" i="1"/>
  <c r="J1737" i="1"/>
  <c r="H1738" i="1"/>
  <c r="I1738" i="1"/>
  <c r="J1738" i="1"/>
  <c r="H1739" i="1"/>
  <c r="I1739" i="1"/>
  <c r="J1739" i="1"/>
  <c r="H1740" i="1"/>
  <c r="I1740" i="1"/>
  <c r="J1740" i="1"/>
  <c r="H1741" i="1"/>
  <c r="I1741" i="1"/>
  <c r="J1741" i="1"/>
  <c r="H1742" i="1"/>
  <c r="I1742" i="1"/>
  <c r="J1742" i="1"/>
  <c r="H1743" i="1"/>
  <c r="I1743" i="1"/>
  <c r="J1743" i="1"/>
  <c r="H1744" i="1"/>
  <c r="I1744" i="1"/>
  <c r="J1744" i="1"/>
  <c r="H1745" i="1"/>
  <c r="I1745" i="1"/>
  <c r="J1745" i="1"/>
  <c r="H1746" i="1"/>
  <c r="I1746" i="1"/>
  <c r="J1746" i="1"/>
  <c r="H1747" i="1"/>
  <c r="I1747" i="1"/>
  <c r="J1747" i="1"/>
  <c r="H1748" i="1"/>
  <c r="I1748" i="1"/>
  <c r="J1748" i="1"/>
  <c r="H1749" i="1"/>
  <c r="I1749" i="1"/>
  <c r="J1749" i="1"/>
  <c r="H1750" i="1"/>
  <c r="I1750" i="1"/>
  <c r="J1750" i="1"/>
  <c r="H1751" i="1"/>
  <c r="I1751" i="1"/>
  <c r="J1751" i="1"/>
  <c r="H1752" i="1"/>
  <c r="I1752" i="1"/>
  <c r="J1752" i="1"/>
  <c r="H1753" i="1"/>
  <c r="I1753" i="1"/>
  <c r="J1753" i="1"/>
  <c r="H1754" i="1"/>
  <c r="I1754" i="1"/>
  <c r="J1754" i="1"/>
  <c r="H1755" i="1"/>
  <c r="I1755" i="1"/>
  <c r="J1755" i="1"/>
  <c r="H1756" i="1"/>
  <c r="I1756" i="1"/>
  <c r="J1756" i="1"/>
  <c r="H1757" i="1"/>
  <c r="I1757" i="1"/>
  <c r="J1757" i="1"/>
  <c r="H1758" i="1"/>
  <c r="I1758" i="1"/>
  <c r="J1758" i="1"/>
  <c r="H1759" i="1"/>
  <c r="I1759" i="1"/>
  <c r="J1759" i="1"/>
  <c r="H1760" i="1"/>
  <c r="I1760" i="1"/>
  <c r="J1760" i="1"/>
  <c r="H1761" i="1"/>
  <c r="I1761" i="1"/>
  <c r="J1761" i="1"/>
  <c r="H1762" i="1"/>
  <c r="I1762" i="1"/>
  <c r="J1762" i="1"/>
  <c r="H1763" i="1"/>
  <c r="I1763" i="1"/>
  <c r="J1763" i="1"/>
  <c r="H1764" i="1"/>
  <c r="I1764" i="1"/>
  <c r="J1764" i="1"/>
  <c r="H1765" i="1"/>
  <c r="I1765" i="1"/>
  <c r="J1765" i="1"/>
  <c r="H1766" i="1"/>
  <c r="I1766" i="1"/>
  <c r="J1766" i="1"/>
  <c r="H1767" i="1"/>
  <c r="I1767" i="1"/>
  <c r="J1767" i="1"/>
  <c r="H1768" i="1"/>
  <c r="I1768" i="1"/>
  <c r="J1768" i="1"/>
  <c r="H1769" i="1"/>
  <c r="I1769" i="1"/>
  <c r="J1769" i="1"/>
  <c r="H1770" i="1"/>
  <c r="I1770" i="1"/>
  <c r="J1770" i="1"/>
  <c r="H1771" i="1"/>
  <c r="I1771" i="1"/>
  <c r="J1771" i="1"/>
  <c r="H1772" i="1"/>
  <c r="I1772" i="1"/>
  <c r="J1772" i="1"/>
  <c r="H1773" i="1"/>
  <c r="I1773" i="1"/>
  <c r="J1773" i="1"/>
  <c r="H1774" i="1"/>
  <c r="I1774" i="1"/>
  <c r="J1774" i="1"/>
  <c r="H1775" i="1"/>
  <c r="I1775" i="1"/>
  <c r="J1775" i="1"/>
  <c r="H1776" i="1"/>
  <c r="I1776" i="1"/>
  <c r="J1776" i="1"/>
  <c r="H1777" i="1"/>
  <c r="I1777" i="1"/>
  <c r="J1777" i="1"/>
  <c r="H1778" i="1"/>
  <c r="I1778" i="1"/>
  <c r="J1778" i="1"/>
  <c r="H1779" i="1"/>
  <c r="I1779" i="1"/>
  <c r="J1779" i="1"/>
  <c r="H1780" i="1"/>
  <c r="I1780" i="1"/>
  <c r="J1780" i="1"/>
  <c r="H1781" i="1"/>
  <c r="I1781" i="1"/>
  <c r="J1781" i="1"/>
  <c r="H1782" i="1"/>
  <c r="I1782" i="1"/>
  <c r="J1782" i="1"/>
  <c r="H1783" i="1"/>
  <c r="I1783" i="1"/>
  <c r="J1783" i="1"/>
  <c r="H1784" i="1"/>
  <c r="I1784" i="1"/>
  <c r="J1784" i="1"/>
  <c r="H1785" i="1"/>
  <c r="I1785" i="1"/>
  <c r="J1785" i="1"/>
  <c r="H1786" i="1"/>
  <c r="I1786" i="1"/>
  <c r="J1786" i="1"/>
  <c r="H1787" i="1"/>
  <c r="I1787" i="1"/>
  <c r="J1787" i="1"/>
  <c r="H1788" i="1"/>
  <c r="I1788" i="1"/>
  <c r="J1788" i="1"/>
  <c r="H1789" i="1"/>
  <c r="I1789" i="1"/>
  <c r="J1789" i="1"/>
  <c r="H1790" i="1"/>
  <c r="I1790" i="1"/>
  <c r="J1790" i="1"/>
  <c r="H1791" i="1"/>
  <c r="I1791" i="1"/>
  <c r="J1791" i="1"/>
  <c r="H1792" i="1"/>
  <c r="I1792" i="1"/>
  <c r="J1792" i="1"/>
  <c r="H1793" i="1"/>
  <c r="I1793" i="1"/>
  <c r="J1793" i="1"/>
  <c r="H1794" i="1"/>
  <c r="I1794" i="1"/>
  <c r="J1794" i="1"/>
  <c r="H1795" i="1"/>
  <c r="I1795" i="1"/>
  <c r="J1795" i="1"/>
  <c r="H1796" i="1"/>
  <c r="I1796" i="1"/>
  <c r="J1796" i="1"/>
  <c r="H1797" i="1"/>
  <c r="I1797" i="1"/>
  <c r="J1797" i="1"/>
  <c r="H1798" i="1"/>
  <c r="I1798" i="1"/>
  <c r="J1798" i="1"/>
  <c r="H1799" i="1"/>
  <c r="I1799" i="1"/>
  <c r="J1799" i="1"/>
  <c r="H1800" i="1"/>
  <c r="I1800" i="1"/>
  <c r="J1800" i="1"/>
  <c r="H1801" i="1"/>
  <c r="I1801" i="1"/>
  <c r="J1801" i="1"/>
  <c r="H1802" i="1"/>
  <c r="I1802" i="1"/>
  <c r="J1802" i="1"/>
  <c r="H1803" i="1"/>
  <c r="I1803" i="1"/>
  <c r="J1803" i="1"/>
  <c r="H1804" i="1"/>
  <c r="I1804" i="1"/>
  <c r="J1804" i="1"/>
  <c r="H1805" i="1"/>
  <c r="I1805" i="1"/>
  <c r="J1805" i="1"/>
  <c r="H1806" i="1"/>
  <c r="I1806" i="1"/>
  <c r="J1806" i="1"/>
  <c r="H1807" i="1"/>
  <c r="I1807" i="1"/>
  <c r="J1807" i="1"/>
  <c r="H1808" i="1"/>
  <c r="I1808" i="1"/>
  <c r="J1808" i="1"/>
  <c r="H1809" i="1"/>
  <c r="I1809" i="1"/>
  <c r="J1809" i="1"/>
  <c r="H1810" i="1"/>
  <c r="I1810" i="1"/>
  <c r="J1810" i="1"/>
  <c r="H1811" i="1"/>
  <c r="I1811" i="1"/>
  <c r="J1811" i="1"/>
  <c r="H1812" i="1"/>
  <c r="I1812" i="1"/>
  <c r="J1812" i="1"/>
  <c r="H1813" i="1"/>
  <c r="I1813" i="1"/>
  <c r="J1813" i="1"/>
  <c r="H1814" i="1"/>
  <c r="I1814" i="1"/>
  <c r="J1814" i="1"/>
  <c r="H1815" i="1"/>
  <c r="I1815" i="1"/>
  <c r="J1815" i="1"/>
  <c r="H1816" i="1"/>
  <c r="I1816" i="1"/>
  <c r="J1816" i="1"/>
  <c r="H1817" i="1"/>
  <c r="I1817" i="1"/>
  <c r="J1817" i="1"/>
  <c r="H1818" i="1"/>
  <c r="I1818" i="1"/>
  <c r="J1818" i="1"/>
  <c r="H1819" i="1"/>
  <c r="I1819" i="1"/>
  <c r="J1819" i="1"/>
  <c r="H1820" i="1"/>
  <c r="I1820" i="1"/>
  <c r="J1820" i="1"/>
  <c r="H1821" i="1"/>
  <c r="I1821" i="1"/>
  <c r="J1821" i="1"/>
  <c r="H1822" i="1"/>
  <c r="I1822" i="1"/>
  <c r="J1822" i="1"/>
  <c r="H1823" i="1"/>
  <c r="I1823" i="1"/>
  <c r="J1823" i="1"/>
  <c r="H1824" i="1"/>
  <c r="I1824" i="1"/>
  <c r="J1824" i="1"/>
  <c r="H1825" i="1"/>
  <c r="I1825" i="1"/>
  <c r="J1825" i="1"/>
  <c r="H1826" i="1"/>
  <c r="I1826" i="1"/>
  <c r="J1826" i="1"/>
  <c r="H1827" i="1"/>
  <c r="I1827" i="1"/>
  <c r="J1827" i="1"/>
  <c r="H1828" i="1"/>
  <c r="I1828" i="1"/>
  <c r="J1828" i="1"/>
  <c r="H1829" i="1"/>
  <c r="I1829" i="1"/>
  <c r="J1829" i="1"/>
  <c r="H1830" i="1"/>
  <c r="I1830" i="1"/>
  <c r="J1830" i="1"/>
  <c r="H1831" i="1"/>
  <c r="I1831" i="1"/>
  <c r="J1831" i="1"/>
  <c r="H1832" i="1"/>
  <c r="I1832" i="1"/>
  <c r="J1832" i="1"/>
  <c r="H1833" i="1"/>
  <c r="I1833" i="1"/>
  <c r="J1833" i="1"/>
  <c r="H1834" i="1"/>
  <c r="I1834" i="1"/>
  <c r="J1834" i="1"/>
  <c r="H1835" i="1"/>
  <c r="I1835" i="1"/>
  <c r="J1835" i="1"/>
  <c r="H1836" i="1"/>
  <c r="I1836" i="1"/>
  <c r="J1836" i="1"/>
  <c r="H1837" i="1"/>
  <c r="I1837" i="1"/>
  <c r="J1837" i="1"/>
  <c r="H1838" i="1"/>
  <c r="I1838" i="1"/>
  <c r="J1838" i="1"/>
  <c r="H1839" i="1"/>
  <c r="I1839" i="1"/>
  <c r="J1839" i="1"/>
  <c r="H1840" i="1"/>
  <c r="I1840" i="1"/>
  <c r="J1840" i="1"/>
  <c r="H1841" i="1"/>
  <c r="I1841" i="1"/>
  <c r="J1841" i="1"/>
  <c r="H1842" i="1"/>
  <c r="I1842" i="1"/>
  <c r="J1842" i="1"/>
  <c r="H1843" i="1"/>
  <c r="I1843" i="1"/>
  <c r="J1843" i="1"/>
  <c r="H1844" i="1"/>
  <c r="I1844" i="1"/>
  <c r="J1844" i="1"/>
  <c r="H1845" i="1"/>
  <c r="I1845" i="1"/>
  <c r="J1845" i="1"/>
  <c r="H1846" i="1"/>
  <c r="I1846" i="1"/>
  <c r="J1846" i="1"/>
  <c r="H1847" i="1"/>
  <c r="I1847" i="1"/>
  <c r="J1847" i="1"/>
  <c r="H1848" i="1"/>
  <c r="I1848" i="1"/>
  <c r="J1848" i="1"/>
  <c r="H1849" i="1"/>
  <c r="I1849" i="1"/>
  <c r="J1849" i="1"/>
  <c r="H1850" i="1"/>
  <c r="I1850" i="1"/>
  <c r="J1850" i="1"/>
  <c r="H1851" i="1"/>
  <c r="I1851" i="1"/>
  <c r="J1851" i="1"/>
  <c r="H1852" i="1"/>
  <c r="I1852" i="1"/>
  <c r="J1852" i="1"/>
  <c r="H1853" i="1"/>
  <c r="I1853" i="1"/>
  <c r="J1853" i="1"/>
  <c r="H1854" i="1"/>
  <c r="I1854" i="1"/>
  <c r="J1854" i="1"/>
  <c r="H1855" i="1"/>
  <c r="I1855" i="1"/>
  <c r="J1855" i="1"/>
  <c r="H1856" i="1"/>
  <c r="I1856" i="1"/>
  <c r="J1856" i="1"/>
  <c r="H1857" i="1"/>
  <c r="I1857" i="1"/>
  <c r="J1857" i="1"/>
  <c r="H1858" i="1"/>
  <c r="I1858" i="1"/>
  <c r="J1858" i="1"/>
  <c r="H1859" i="1"/>
  <c r="I1859" i="1"/>
  <c r="J1859" i="1"/>
  <c r="H1860" i="1"/>
  <c r="I1860" i="1"/>
  <c r="J1860" i="1"/>
  <c r="H1861" i="1"/>
  <c r="I1861" i="1"/>
  <c r="J1861" i="1"/>
  <c r="H1862" i="1"/>
  <c r="I1862" i="1"/>
  <c r="J1862" i="1"/>
  <c r="H1863" i="1"/>
  <c r="I1863" i="1"/>
  <c r="J1863" i="1"/>
  <c r="H1864" i="1"/>
  <c r="I1864" i="1"/>
  <c r="J1864" i="1"/>
  <c r="H1865" i="1"/>
  <c r="I1865" i="1"/>
  <c r="J1865" i="1"/>
  <c r="H1866" i="1"/>
  <c r="I1866" i="1"/>
  <c r="J1866" i="1"/>
  <c r="H1867" i="1"/>
  <c r="I1867" i="1"/>
  <c r="J1867" i="1"/>
  <c r="H1868" i="1"/>
  <c r="I1868" i="1"/>
  <c r="J1868" i="1"/>
  <c r="H1869" i="1"/>
  <c r="I1869" i="1"/>
  <c r="J1869" i="1"/>
  <c r="H1870" i="1"/>
  <c r="I1870" i="1"/>
  <c r="J1870" i="1"/>
  <c r="H1871" i="1"/>
  <c r="I1871" i="1"/>
  <c r="J1871" i="1"/>
  <c r="H1872" i="1"/>
  <c r="I1872" i="1"/>
  <c r="J1872" i="1"/>
  <c r="H1873" i="1"/>
  <c r="I1873" i="1"/>
  <c r="J1873" i="1"/>
  <c r="H1874" i="1"/>
  <c r="I1874" i="1"/>
  <c r="J1874" i="1"/>
  <c r="H1875" i="1"/>
  <c r="I1875" i="1"/>
  <c r="J1875" i="1"/>
  <c r="H1876" i="1"/>
  <c r="I1876" i="1"/>
  <c r="J1876" i="1"/>
  <c r="H1877" i="1"/>
  <c r="I1877" i="1"/>
  <c r="J1877" i="1"/>
  <c r="H1878" i="1"/>
  <c r="I1878" i="1"/>
  <c r="J1878" i="1"/>
  <c r="H1879" i="1"/>
  <c r="I1879" i="1"/>
  <c r="J1879" i="1"/>
  <c r="H1880" i="1"/>
  <c r="I1880" i="1"/>
  <c r="J1880" i="1"/>
  <c r="H1881" i="1"/>
  <c r="I1881" i="1"/>
  <c r="J1881" i="1"/>
  <c r="H1882" i="1"/>
  <c r="I1882" i="1"/>
  <c r="J1882" i="1"/>
  <c r="H1883" i="1"/>
  <c r="I1883" i="1"/>
  <c r="J1883" i="1"/>
  <c r="H1884" i="1"/>
  <c r="I1884" i="1"/>
  <c r="J1884" i="1"/>
  <c r="H1885" i="1"/>
  <c r="I1885" i="1"/>
  <c r="J1885" i="1"/>
  <c r="H1886" i="1"/>
  <c r="I1886" i="1"/>
  <c r="J1886" i="1"/>
  <c r="H1887" i="1"/>
  <c r="I1887" i="1"/>
  <c r="J1887" i="1"/>
  <c r="H1888" i="1"/>
  <c r="I1888" i="1"/>
  <c r="J1888" i="1"/>
  <c r="H1889" i="1"/>
  <c r="I1889" i="1"/>
  <c r="J1889" i="1"/>
  <c r="H1890" i="1"/>
  <c r="I1890" i="1"/>
  <c r="J1890" i="1"/>
  <c r="H1891" i="1"/>
  <c r="I1891" i="1"/>
  <c r="J1891" i="1"/>
  <c r="H1892" i="1"/>
  <c r="I1892" i="1"/>
  <c r="J1892" i="1"/>
  <c r="H1893" i="1"/>
  <c r="I1893" i="1"/>
  <c r="J1893" i="1"/>
  <c r="H1894" i="1"/>
  <c r="I1894" i="1"/>
  <c r="J1894" i="1"/>
  <c r="H1895" i="1"/>
  <c r="I1895" i="1"/>
  <c r="J1895" i="1"/>
  <c r="H1896" i="1"/>
  <c r="I1896" i="1"/>
  <c r="J1896" i="1"/>
  <c r="H1897" i="1"/>
  <c r="I1897" i="1"/>
  <c r="J1897" i="1"/>
  <c r="H1898" i="1"/>
  <c r="I1898" i="1"/>
  <c r="J1898" i="1"/>
  <c r="H1899" i="1"/>
  <c r="I1899" i="1"/>
  <c r="J1899" i="1"/>
  <c r="H1900" i="1"/>
  <c r="I1900" i="1"/>
  <c r="J1900" i="1"/>
  <c r="H1901" i="1"/>
  <c r="I1901" i="1"/>
  <c r="J1901" i="1"/>
  <c r="H1902" i="1"/>
  <c r="I1902" i="1"/>
  <c r="J1902" i="1"/>
  <c r="H1903" i="1"/>
  <c r="I1903" i="1"/>
  <c r="J1903" i="1"/>
  <c r="H1904" i="1"/>
  <c r="I1904" i="1"/>
  <c r="J1904" i="1"/>
  <c r="H1905" i="1"/>
  <c r="I1905" i="1"/>
  <c r="J1905" i="1"/>
  <c r="H1906" i="1"/>
  <c r="I1906" i="1"/>
  <c r="J1906" i="1"/>
  <c r="H1907" i="1"/>
  <c r="I1907" i="1"/>
  <c r="J1907" i="1"/>
  <c r="H1908" i="1"/>
  <c r="I1908" i="1"/>
  <c r="J1908" i="1"/>
  <c r="H1909" i="1"/>
  <c r="I1909" i="1"/>
  <c r="J1909" i="1"/>
  <c r="H1910" i="1"/>
  <c r="I1910" i="1"/>
  <c r="J1910" i="1"/>
  <c r="H1911" i="1"/>
  <c r="I1911" i="1"/>
  <c r="J1911" i="1"/>
  <c r="H1912" i="1"/>
  <c r="I1912" i="1"/>
  <c r="J1912" i="1"/>
  <c r="H1913" i="1"/>
  <c r="I1913" i="1"/>
  <c r="J1913" i="1"/>
  <c r="H1914" i="1"/>
  <c r="I1914" i="1"/>
  <c r="J1914" i="1"/>
  <c r="H1915" i="1"/>
  <c r="I1915" i="1"/>
  <c r="J1915" i="1"/>
  <c r="H1916" i="1"/>
  <c r="I1916" i="1"/>
  <c r="J1916" i="1"/>
  <c r="H1917" i="1"/>
  <c r="I1917" i="1"/>
  <c r="J1917" i="1"/>
  <c r="H1918" i="1"/>
  <c r="I1918" i="1"/>
  <c r="J1918" i="1"/>
  <c r="H1919" i="1"/>
  <c r="I1919" i="1"/>
  <c r="J1919" i="1"/>
  <c r="H1920" i="1"/>
  <c r="I1920" i="1"/>
  <c r="J1920" i="1"/>
  <c r="H1921" i="1"/>
  <c r="I1921" i="1"/>
  <c r="J1921" i="1"/>
  <c r="H1922" i="1"/>
  <c r="I1922" i="1"/>
  <c r="J1922" i="1"/>
  <c r="H1923" i="1"/>
  <c r="I1923" i="1"/>
  <c r="J1923" i="1"/>
  <c r="H1924" i="1"/>
  <c r="I1924" i="1"/>
  <c r="J1924" i="1"/>
  <c r="H1925" i="1"/>
  <c r="I1925" i="1"/>
  <c r="J1925" i="1"/>
  <c r="H1926" i="1"/>
  <c r="I1926" i="1"/>
  <c r="J1926" i="1"/>
  <c r="H1927" i="1"/>
  <c r="I1927" i="1"/>
  <c r="J1927" i="1"/>
  <c r="H1928" i="1"/>
  <c r="I1928" i="1"/>
  <c r="J1928" i="1"/>
  <c r="H1929" i="1"/>
  <c r="I1929" i="1"/>
  <c r="J1929" i="1"/>
  <c r="H1930" i="1"/>
  <c r="I1930" i="1"/>
  <c r="J1930" i="1"/>
  <c r="H1931" i="1"/>
  <c r="I1931" i="1"/>
  <c r="J1931" i="1"/>
  <c r="H1932" i="1"/>
  <c r="I1932" i="1"/>
  <c r="J1932" i="1"/>
  <c r="H1933" i="1"/>
  <c r="I1933" i="1"/>
  <c r="J1933" i="1"/>
  <c r="H1934" i="1"/>
  <c r="I1934" i="1"/>
  <c r="J1934" i="1"/>
  <c r="H1935" i="1"/>
  <c r="I1935" i="1"/>
  <c r="J1935" i="1"/>
  <c r="H1936" i="1"/>
  <c r="I1936" i="1"/>
  <c r="J1936" i="1"/>
  <c r="H1937" i="1"/>
  <c r="I1937" i="1"/>
  <c r="J1937" i="1"/>
  <c r="H1938" i="1"/>
  <c r="I1938" i="1"/>
  <c r="J1938" i="1"/>
  <c r="H1939" i="1"/>
  <c r="I1939" i="1"/>
  <c r="J1939" i="1"/>
  <c r="H1940" i="1"/>
  <c r="I1940" i="1"/>
  <c r="J1940" i="1"/>
  <c r="H1941" i="1"/>
  <c r="I1941" i="1"/>
  <c r="J1941" i="1"/>
  <c r="H1942" i="1"/>
  <c r="I1942" i="1"/>
  <c r="J1942" i="1"/>
  <c r="H1943" i="1"/>
  <c r="I1943" i="1"/>
  <c r="J1943" i="1"/>
  <c r="H1944" i="1"/>
  <c r="I1944" i="1"/>
  <c r="J1944" i="1"/>
  <c r="H1945" i="1"/>
  <c r="I1945" i="1"/>
  <c r="J1945" i="1"/>
  <c r="H1946" i="1"/>
  <c r="I1946" i="1"/>
  <c r="J1946" i="1"/>
  <c r="H1947" i="1"/>
  <c r="I1947" i="1"/>
  <c r="J1947" i="1"/>
  <c r="H1948" i="1"/>
  <c r="I1948" i="1"/>
  <c r="J1948" i="1"/>
  <c r="H1949" i="1"/>
  <c r="I1949" i="1"/>
  <c r="J1949" i="1"/>
  <c r="H1950" i="1"/>
  <c r="I1950" i="1"/>
  <c r="J1950" i="1"/>
  <c r="H1951" i="1"/>
  <c r="I1951" i="1"/>
  <c r="J1951" i="1"/>
  <c r="H1952" i="1"/>
  <c r="I1952" i="1"/>
  <c r="J1952" i="1"/>
  <c r="H1953" i="1"/>
  <c r="I1953" i="1"/>
  <c r="J1953" i="1"/>
  <c r="H1954" i="1"/>
  <c r="I1954" i="1"/>
  <c r="J1954" i="1"/>
  <c r="H1955" i="1"/>
  <c r="I1955" i="1"/>
  <c r="J1955" i="1"/>
  <c r="H1956" i="1"/>
  <c r="I1956" i="1"/>
  <c r="J1956" i="1"/>
  <c r="H1957" i="1"/>
  <c r="I1957" i="1"/>
  <c r="J1957" i="1"/>
  <c r="H1958" i="1"/>
  <c r="I1958" i="1"/>
  <c r="J1958" i="1"/>
  <c r="H1959" i="1"/>
  <c r="I1959" i="1"/>
  <c r="J1959" i="1"/>
  <c r="H1960" i="1"/>
  <c r="I1960" i="1"/>
  <c r="J1960" i="1"/>
  <c r="H1961" i="1"/>
  <c r="I1961" i="1"/>
  <c r="J1961" i="1"/>
  <c r="H1962" i="1"/>
  <c r="I1962" i="1"/>
  <c r="J1962" i="1"/>
  <c r="H1963" i="1"/>
  <c r="I1963" i="1"/>
  <c r="J1963" i="1"/>
  <c r="H1964" i="1"/>
  <c r="I1964" i="1"/>
  <c r="J1964" i="1"/>
  <c r="H1965" i="1"/>
  <c r="I1965" i="1"/>
  <c r="J1965" i="1"/>
  <c r="H1966" i="1"/>
  <c r="I1966" i="1"/>
  <c r="J1966" i="1"/>
  <c r="H1967" i="1"/>
  <c r="I1967" i="1"/>
  <c r="J1967" i="1"/>
  <c r="H1968" i="1"/>
  <c r="I1968" i="1"/>
  <c r="J1968" i="1"/>
  <c r="H1969" i="1"/>
  <c r="I1969" i="1"/>
  <c r="J1969" i="1"/>
  <c r="H1970" i="1"/>
  <c r="I1970" i="1"/>
  <c r="J1970" i="1"/>
  <c r="H1971" i="1"/>
  <c r="I1971" i="1"/>
  <c r="J1971" i="1"/>
  <c r="H1972" i="1"/>
  <c r="I1972" i="1"/>
  <c r="J1972" i="1"/>
  <c r="H1973" i="1"/>
  <c r="I1973" i="1"/>
  <c r="J1973" i="1"/>
  <c r="H1974" i="1"/>
  <c r="I1974" i="1"/>
  <c r="J1974" i="1"/>
  <c r="H1975" i="1"/>
  <c r="I1975" i="1"/>
  <c r="J1975" i="1"/>
  <c r="H1976" i="1"/>
  <c r="I1976" i="1"/>
  <c r="J1976" i="1"/>
  <c r="H1977" i="1"/>
  <c r="I1977" i="1"/>
  <c r="J1977" i="1"/>
  <c r="H1978" i="1"/>
  <c r="I1978" i="1"/>
  <c r="J1978" i="1"/>
  <c r="H1979" i="1"/>
  <c r="I1979" i="1"/>
  <c r="J1979" i="1"/>
  <c r="H1980" i="1"/>
  <c r="I1980" i="1"/>
  <c r="J1980" i="1"/>
  <c r="H1981" i="1"/>
  <c r="I1981" i="1"/>
  <c r="J1981" i="1"/>
  <c r="H1982" i="1"/>
  <c r="I1982" i="1"/>
  <c r="J1982" i="1"/>
  <c r="H1983" i="1"/>
  <c r="I1983" i="1"/>
  <c r="J1983" i="1"/>
  <c r="H1984" i="1"/>
  <c r="I1984" i="1"/>
  <c r="J1984" i="1"/>
  <c r="H1985" i="1"/>
  <c r="I1985" i="1"/>
  <c r="J1985" i="1"/>
  <c r="H1986" i="1"/>
  <c r="I1986" i="1"/>
  <c r="J1986" i="1"/>
  <c r="H1987" i="1"/>
  <c r="I1987" i="1"/>
  <c r="J1987" i="1"/>
  <c r="H1988" i="1"/>
  <c r="I1988" i="1"/>
  <c r="J1988" i="1"/>
  <c r="H1989" i="1"/>
  <c r="I1989" i="1"/>
  <c r="J1989" i="1"/>
  <c r="H1990" i="1"/>
  <c r="I1990" i="1"/>
  <c r="J1990" i="1"/>
  <c r="H1991" i="1"/>
  <c r="I1991" i="1"/>
  <c r="J1991" i="1"/>
  <c r="H1992" i="1"/>
  <c r="I1992" i="1"/>
  <c r="J1992" i="1"/>
  <c r="H1993" i="1"/>
  <c r="I1993" i="1"/>
  <c r="J1993" i="1"/>
  <c r="H1994" i="1"/>
  <c r="I1994" i="1"/>
  <c r="J1994" i="1"/>
  <c r="H1995" i="1"/>
  <c r="I1995" i="1"/>
  <c r="J1995" i="1"/>
  <c r="H1996" i="1"/>
  <c r="I1996" i="1"/>
  <c r="J1996" i="1"/>
  <c r="H1997" i="1"/>
  <c r="I1997" i="1"/>
  <c r="J1997" i="1"/>
  <c r="H1998" i="1"/>
  <c r="I1998" i="1"/>
  <c r="J1998" i="1"/>
  <c r="H1999" i="1"/>
  <c r="I1999" i="1"/>
  <c r="J1999" i="1"/>
  <c r="H2000" i="1"/>
  <c r="I2000" i="1"/>
  <c r="J2000" i="1"/>
  <c r="H2001" i="1"/>
  <c r="I2001" i="1"/>
  <c r="J2001" i="1"/>
  <c r="H2002" i="1"/>
  <c r="I2002" i="1"/>
  <c r="J2002" i="1"/>
  <c r="H2003" i="1"/>
  <c r="I2003" i="1"/>
  <c r="J2003" i="1"/>
  <c r="H2004" i="1"/>
  <c r="I2004" i="1"/>
  <c r="J2004" i="1"/>
  <c r="H2005" i="1"/>
  <c r="I2005" i="1"/>
  <c r="J2005" i="1"/>
  <c r="H2006" i="1"/>
  <c r="I2006" i="1"/>
  <c r="J2006" i="1"/>
  <c r="H2007" i="1"/>
  <c r="I2007" i="1"/>
  <c r="J2007" i="1"/>
  <c r="H2008" i="1"/>
  <c r="I2008" i="1"/>
  <c r="J2008" i="1"/>
  <c r="H2009" i="1"/>
  <c r="I2009" i="1"/>
  <c r="J2009" i="1"/>
  <c r="H2010" i="1"/>
  <c r="I2010" i="1"/>
  <c r="J2010" i="1"/>
  <c r="H2011" i="1"/>
  <c r="I2011" i="1"/>
  <c r="J2011" i="1"/>
  <c r="H2012" i="1"/>
  <c r="I2012" i="1"/>
  <c r="J2012" i="1"/>
  <c r="H2013" i="1"/>
  <c r="I2013" i="1"/>
  <c r="J2013" i="1"/>
  <c r="H2014" i="1"/>
  <c r="I2014" i="1"/>
  <c r="J2014" i="1"/>
  <c r="H2015" i="1"/>
  <c r="I2015" i="1"/>
  <c r="J2015" i="1"/>
  <c r="H2016" i="1"/>
  <c r="I2016" i="1"/>
  <c r="J2016" i="1"/>
  <c r="H2017" i="1"/>
  <c r="I2017" i="1"/>
  <c r="J2017" i="1"/>
  <c r="H2018" i="1"/>
  <c r="I2018" i="1"/>
  <c r="J2018" i="1"/>
  <c r="H2019" i="1"/>
  <c r="I2019" i="1"/>
  <c r="J2019" i="1"/>
  <c r="H2020" i="1"/>
  <c r="I2020" i="1"/>
  <c r="J2020" i="1"/>
  <c r="H2021" i="1"/>
  <c r="I2021" i="1"/>
  <c r="J2021" i="1"/>
  <c r="H2022" i="1"/>
  <c r="I2022" i="1"/>
  <c r="J2022" i="1"/>
  <c r="H2023" i="1"/>
  <c r="I2023" i="1"/>
  <c r="J2023" i="1"/>
  <c r="H2024" i="1"/>
  <c r="I2024" i="1"/>
  <c r="J2024" i="1"/>
  <c r="H2025" i="1"/>
  <c r="I2025" i="1"/>
  <c r="J2025" i="1"/>
  <c r="H2026" i="1"/>
  <c r="I2026" i="1"/>
  <c r="J2026" i="1"/>
  <c r="H2027" i="1"/>
  <c r="I2027" i="1"/>
  <c r="J2027" i="1"/>
  <c r="H2028" i="1"/>
  <c r="I2028" i="1"/>
  <c r="J2028" i="1"/>
  <c r="H2029" i="1"/>
  <c r="I2029" i="1"/>
  <c r="J2029" i="1"/>
  <c r="H2030" i="1"/>
  <c r="I2030" i="1"/>
  <c r="J2030" i="1"/>
  <c r="H2031" i="1"/>
  <c r="I2031" i="1"/>
  <c r="J2031" i="1"/>
  <c r="H2032" i="1"/>
  <c r="I2032" i="1"/>
  <c r="J2032" i="1"/>
  <c r="H2033" i="1"/>
  <c r="I2033" i="1"/>
  <c r="J2033" i="1"/>
  <c r="H2034" i="1"/>
  <c r="I2034" i="1"/>
  <c r="J2034" i="1"/>
  <c r="H2035" i="1"/>
  <c r="I2035" i="1"/>
  <c r="J2035" i="1"/>
  <c r="H2036" i="1"/>
  <c r="I2036" i="1"/>
  <c r="J2036" i="1"/>
  <c r="H2037" i="1"/>
  <c r="I2037" i="1"/>
  <c r="J2037" i="1"/>
  <c r="H2038" i="1"/>
  <c r="I2038" i="1"/>
  <c r="J2038" i="1"/>
  <c r="H2039" i="1"/>
  <c r="I2039" i="1"/>
  <c r="J2039" i="1"/>
  <c r="H2040" i="1"/>
  <c r="I2040" i="1"/>
  <c r="J2040" i="1"/>
  <c r="H2041" i="1"/>
  <c r="I2041" i="1"/>
  <c r="J2041" i="1"/>
  <c r="H2042" i="1"/>
  <c r="I2042" i="1"/>
  <c r="J2042" i="1"/>
  <c r="H2043" i="1"/>
  <c r="I2043" i="1"/>
  <c r="J2043" i="1"/>
  <c r="H2044" i="1"/>
  <c r="I2044" i="1"/>
  <c r="J2044" i="1"/>
  <c r="H2045" i="1"/>
  <c r="I2045" i="1"/>
  <c r="J2045" i="1"/>
  <c r="H2046" i="1"/>
  <c r="I2046" i="1"/>
  <c r="J2046" i="1"/>
  <c r="H2047" i="1"/>
  <c r="I2047" i="1"/>
  <c r="J2047" i="1"/>
  <c r="H2048" i="1"/>
  <c r="I2048" i="1"/>
  <c r="J2048" i="1"/>
  <c r="H2049" i="1"/>
  <c r="I2049" i="1"/>
  <c r="J2049" i="1"/>
  <c r="H2050" i="1"/>
  <c r="I2050" i="1"/>
  <c r="J2050" i="1"/>
  <c r="H2051" i="1"/>
  <c r="I2051" i="1"/>
  <c r="J2051" i="1"/>
  <c r="H2052" i="1"/>
  <c r="I2052" i="1"/>
  <c r="J2052" i="1"/>
  <c r="H2053" i="1"/>
  <c r="I2053" i="1"/>
  <c r="J2053" i="1"/>
  <c r="H2054" i="1"/>
  <c r="I2054" i="1"/>
  <c r="J2054" i="1"/>
  <c r="H2055" i="1"/>
  <c r="I2055" i="1"/>
  <c r="J2055" i="1"/>
  <c r="H2056" i="1"/>
  <c r="I2056" i="1"/>
  <c r="J2056" i="1"/>
  <c r="H2057" i="1"/>
  <c r="I2057" i="1"/>
  <c r="J2057" i="1"/>
  <c r="H2058" i="1"/>
  <c r="I2058" i="1"/>
  <c r="J2058" i="1"/>
  <c r="H2059" i="1"/>
  <c r="I2059" i="1"/>
  <c r="J2059" i="1"/>
  <c r="H2060" i="1"/>
  <c r="I2060" i="1"/>
  <c r="J2060" i="1"/>
  <c r="H2061" i="1"/>
  <c r="I2061" i="1"/>
  <c r="J2061" i="1"/>
  <c r="H2062" i="1"/>
  <c r="I2062" i="1"/>
  <c r="J2062" i="1"/>
  <c r="H2063" i="1"/>
  <c r="I2063" i="1"/>
  <c r="J2063" i="1"/>
  <c r="H2064" i="1"/>
  <c r="I2064" i="1"/>
  <c r="J2064" i="1"/>
  <c r="H2065" i="1"/>
  <c r="I2065" i="1"/>
  <c r="J2065" i="1"/>
  <c r="H2066" i="1"/>
  <c r="I2066" i="1"/>
  <c r="J2066" i="1"/>
  <c r="H2067" i="1"/>
  <c r="I2067" i="1"/>
  <c r="J2067" i="1"/>
  <c r="H2068" i="1"/>
  <c r="I2068" i="1"/>
  <c r="J2068" i="1"/>
  <c r="H2069" i="1"/>
  <c r="I2069" i="1"/>
  <c r="J2069" i="1"/>
  <c r="H2070" i="1"/>
  <c r="I2070" i="1"/>
  <c r="J2070" i="1"/>
  <c r="H2071" i="1"/>
  <c r="I2071" i="1"/>
  <c r="J2071" i="1"/>
  <c r="H2072" i="1"/>
  <c r="I2072" i="1"/>
  <c r="J2072" i="1"/>
  <c r="H2073" i="1"/>
  <c r="I2073" i="1"/>
  <c r="J2073" i="1"/>
  <c r="H2074" i="1"/>
  <c r="I2074" i="1"/>
  <c r="J2074" i="1"/>
  <c r="H2075" i="1"/>
  <c r="I2075" i="1"/>
  <c r="J2075" i="1"/>
  <c r="H2076" i="1"/>
  <c r="I2076" i="1"/>
  <c r="J2076" i="1"/>
  <c r="H2077" i="1"/>
  <c r="I2077" i="1"/>
  <c r="J2077" i="1"/>
  <c r="H2078" i="1"/>
  <c r="I2078" i="1"/>
  <c r="J2078" i="1"/>
  <c r="H2079" i="1"/>
  <c r="I2079" i="1"/>
  <c r="J2079" i="1"/>
  <c r="H2080" i="1"/>
  <c r="I2080" i="1"/>
  <c r="J2080" i="1"/>
  <c r="H2081" i="1"/>
  <c r="I2081" i="1"/>
  <c r="J2081" i="1"/>
  <c r="H2082" i="1"/>
  <c r="I2082" i="1"/>
  <c r="J2082" i="1"/>
  <c r="H2083" i="1"/>
  <c r="I2083" i="1"/>
  <c r="J2083" i="1"/>
  <c r="H2084" i="1"/>
  <c r="I2084" i="1"/>
  <c r="J2084" i="1"/>
  <c r="H2085" i="1"/>
  <c r="I2085" i="1"/>
  <c r="J2085" i="1"/>
  <c r="H2086" i="1"/>
  <c r="I2086" i="1"/>
  <c r="J2086" i="1"/>
  <c r="H2087" i="1"/>
  <c r="I2087" i="1"/>
  <c r="J2087" i="1"/>
  <c r="H2088" i="1"/>
  <c r="I2088" i="1"/>
  <c r="J2088" i="1"/>
  <c r="H2089" i="1"/>
  <c r="I2089" i="1"/>
  <c r="J2089" i="1"/>
  <c r="H2090" i="1"/>
  <c r="I2090" i="1"/>
  <c r="J2090" i="1"/>
  <c r="H2091" i="1"/>
  <c r="I2091" i="1"/>
  <c r="J2091" i="1"/>
  <c r="H2092" i="1"/>
  <c r="I2092" i="1"/>
  <c r="J2092" i="1"/>
  <c r="H2093" i="1"/>
  <c r="I2093" i="1"/>
  <c r="J2093" i="1"/>
  <c r="H2094" i="1"/>
  <c r="I2094" i="1"/>
  <c r="J2094" i="1"/>
  <c r="H2095" i="1"/>
  <c r="I2095" i="1"/>
  <c r="J2095" i="1"/>
  <c r="H2096" i="1"/>
  <c r="I2096" i="1"/>
  <c r="J2096" i="1"/>
  <c r="H2097" i="1"/>
  <c r="I2097" i="1"/>
  <c r="J2097" i="1"/>
  <c r="H2098" i="1"/>
  <c r="I2098" i="1"/>
  <c r="J2098" i="1"/>
  <c r="H2099" i="1"/>
  <c r="I2099" i="1"/>
  <c r="J2099" i="1"/>
  <c r="H2100" i="1"/>
  <c r="I2100" i="1"/>
  <c r="J2100" i="1"/>
  <c r="H2101" i="1"/>
  <c r="I2101" i="1"/>
  <c r="J2101" i="1"/>
  <c r="H2102" i="1"/>
  <c r="I2102" i="1"/>
  <c r="J2102" i="1"/>
  <c r="H2103" i="1"/>
  <c r="I2103" i="1"/>
  <c r="J2103" i="1"/>
  <c r="H2104" i="1"/>
  <c r="I2104" i="1"/>
  <c r="J2104" i="1"/>
  <c r="H2105" i="1"/>
  <c r="I2105" i="1"/>
  <c r="J2105" i="1"/>
  <c r="H2106" i="1"/>
  <c r="I2106" i="1"/>
  <c r="J2106" i="1"/>
  <c r="H2107" i="1"/>
  <c r="I2107" i="1"/>
  <c r="J2107" i="1"/>
  <c r="H2108" i="1"/>
  <c r="I2108" i="1"/>
  <c r="J2108" i="1"/>
  <c r="H2109" i="1"/>
  <c r="I2109" i="1"/>
  <c r="J2109" i="1"/>
  <c r="H2110" i="1"/>
  <c r="I2110" i="1"/>
  <c r="J2110" i="1"/>
  <c r="H2111" i="1"/>
  <c r="I2111" i="1"/>
  <c r="J2111" i="1"/>
  <c r="H2112" i="1"/>
  <c r="I2112" i="1"/>
  <c r="J2112" i="1"/>
  <c r="H2113" i="1"/>
  <c r="I2113" i="1"/>
  <c r="J2113" i="1"/>
  <c r="H2114" i="1"/>
  <c r="I2114" i="1"/>
  <c r="J2114" i="1"/>
  <c r="H2115" i="1"/>
  <c r="I2115" i="1"/>
  <c r="J2115" i="1"/>
  <c r="H2116" i="1"/>
  <c r="I2116" i="1"/>
  <c r="J2116" i="1"/>
  <c r="H2117" i="1"/>
  <c r="I2117" i="1"/>
  <c r="J2117" i="1"/>
  <c r="H2118" i="1"/>
  <c r="I2118" i="1"/>
  <c r="J2118" i="1"/>
  <c r="H2119" i="1"/>
  <c r="I2119" i="1"/>
  <c r="J2119" i="1"/>
  <c r="H2120" i="1"/>
  <c r="I2120" i="1"/>
  <c r="J2120" i="1"/>
  <c r="H2121" i="1"/>
  <c r="I2121" i="1"/>
  <c r="J2121" i="1"/>
  <c r="H2122" i="1"/>
  <c r="I2122" i="1"/>
  <c r="J2122" i="1"/>
  <c r="H2123" i="1"/>
  <c r="I2123" i="1"/>
  <c r="J2123" i="1"/>
  <c r="H2124" i="1"/>
  <c r="I2124" i="1"/>
  <c r="J2124" i="1"/>
  <c r="H2125" i="1"/>
  <c r="I2125" i="1"/>
  <c r="J2125" i="1"/>
  <c r="H2126" i="1"/>
  <c r="I2126" i="1"/>
  <c r="J2126" i="1"/>
  <c r="H2127" i="1"/>
  <c r="I2127" i="1"/>
  <c r="J2127" i="1"/>
  <c r="H2128" i="1"/>
  <c r="I2128" i="1"/>
  <c r="J2128" i="1"/>
  <c r="H2129" i="1"/>
  <c r="I2129" i="1"/>
  <c r="J2129" i="1"/>
  <c r="H2130" i="1"/>
  <c r="I2130" i="1"/>
  <c r="J2130" i="1"/>
  <c r="H2131" i="1"/>
  <c r="I2131" i="1"/>
  <c r="J2131" i="1"/>
  <c r="H2132" i="1"/>
  <c r="I2132" i="1"/>
  <c r="J2132" i="1"/>
  <c r="H2133" i="1"/>
  <c r="I2133" i="1"/>
  <c r="J2133" i="1"/>
  <c r="H2134" i="1"/>
  <c r="I2134" i="1"/>
  <c r="J2134" i="1"/>
  <c r="H2135" i="1"/>
  <c r="I2135" i="1"/>
  <c r="J2135" i="1"/>
  <c r="H2136" i="1"/>
  <c r="I2136" i="1"/>
  <c r="J2136" i="1"/>
  <c r="H2137" i="1"/>
  <c r="I2137" i="1"/>
  <c r="J2137" i="1"/>
  <c r="H2138" i="1"/>
  <c r="I2138" i="1"/>
  <c r="J2138" i="1"/>
  <c r="H2139" i="1"/>
  <c r="I2139" i="1"/>
  <c r="J2139" i="1"/>
  <c r="H2140" i="1"/>
  <c r="I2140" i="1"/>
  <c r="J2140" i="1"/>
  <c r="H2141" i="1"/>
  <c r="I2141" i="1"/>
  <c r="J2141" i="1"/>
  <c r="H2142" i="1"/>
  <c r="I2142" i="1"/>
  <c r="J2142" i="1"/>
  <c r="H2143" i="1"/>
  <c r="I2143" i="1"/>
  <c r="J2143" i="1"/>
  <c r="H2144" i="1"/>
  <c r="I2144" i="1"/>
  <c r="J2144" i="1"/>
  <c r="H2145" i="1"/>
  <c r="I2145" i="1"/>
  <c r="J2145" i="1"/>
  <c r="H2146" i="1"/>
  <c r="I2146" i="1"/>
  <c r="J2146" i="1"/>
  <c r="H2147" i="1"/>
  <c r="I2147" i="1"/>
  <c r="J2147" i="1"/>
  <c r="H2148" i="1"/>
  <c r="I2148" i="1"/>
  <c r="J2148" i="1"/>
  <c r="H2149" i="1"/>
  <c r="I2149" i="1"/>
  <c r="J2149" i="1"/>
  <c r="H2150" i="1"/>
  <c r="I2150" i="1"/>
  <c r="J2150" i="1"/>
  <c r="H2151" i="1"/>
  <c r="I2151" i="1"/>
  <c r="J2151" i="1"/>
  <c r="H2152" i="1"/>
  <c r="I2152" i="1"/>
  <c r="J2152" i="1"/>
  <c r="H2153" i="1"/>
  <c r="I2153" i="1"/>
  <c r="J2153" i="1"/>
  <c r="H2154" i="1"/>
  <c r="I2154" i="1"/>
  <c r="J2154" i="1"/>
  <c r="H2155" i="1"/>
  <c r="I2155" i="1"/>
  <c r="J2155" i="1"/>
  <c r="H2156" i="1"/>
  <c r="I2156" i="1"/>
  <c r="J2156" i="1"/>
  <c r="H2157" i="1"/>
  <c r="I2157" i="1"/>
  <c r="J2157" i="1"/>
  <c r="H2158" i="1"/>
  <c r="I2158" i="1"/>
  <c r="J2158" i="1"/>
  <c r="H2159" i="1"/>
  <c r="I2159" i="1"/>
  <c r="J2159" i="1"/>
  <c r="H2160" i="1"/>
  <c r="I2160" i="1"/>
  <c r="J2160" i="1"/>
  <c r="H2161" i="1"/>
  <c r="I2161" i="1"/>
  <c r="J2161" i="1"/>
  <c r="H2162" i="1"/>
  <c r="I2162" i="1"/>
  <c r="J2162" i="1"/>
  <c r="H2163" i="1"/>
  <c r="I2163" i="1"/>
  <c r="J2163" i="1"/>
  <c r="H2164" i="1"/>
  <c r="I2164" i="1"/>
  <c r="J2164" i="1"/>
  <c r="H2165" i="1"/>
  <c r="I2165" i="1"/>
  <c r="J2165" i="1"/>
  <c r="H2166" i="1"/>
  <c r="I2166" i="1"/>
  <c r="J2166" i="1"/>
  <c r="H2167" i="1"/>
  <c r="I2167" i="1"/>
  <c r="J2167" i="1"/>
  <c r="H2168" i="1"/>
  <c r="I2168" i="1"/>
  <c r="J2168" i="1"/>
  <c r="H2169" i="1"/>
  <c r="I2169" i="1"/>
  <c r="J2169" i="1"/>
  <c r="H2170" i="1"/>
  <c r="I2170" i="1"/>
  <c r="J2170" i="1"/>
  <c r="H2171" i="1"/>
  <c r="I2171" i="1"/>
  <c r="J2171" i="1"/>
  <c r="H2172" i="1"/>
  <c r="I2172" i="1"/>
  <c r="J2172" i="1"/>
  <c r="H2173" i="1"/>
  <c r="I2173" i="1"/>
  <c r="J2173" i="1"/>
  <c r="H2174" i="1"/>
  <c r="I2174" i="1"/>
  <c r="J2174" i="1"/>
  <c r="H2175" i="1"/>
  <c r="I2175" i="1"/>
  <c r="J2175" i="1"/>
  <c r="H2176" i="1"/>
  <c r="I2176" i="1"/>
  <c r="J2176" i="1"/>
  <c r="H2177" i="1"/>
  <c r="I2177" i="1"/>
  <c r="J2177" i="1"/>
  <c r="H2178" i="1"/>
  <c r="I2178" i="1"/>
  <c r="J2178" i="1"/>
  <c r="H2179" i="1"/>
  <c r="I2179" i="1"/>
  <c r="J2179" i="1"/>
  <c r="H2180" i="1"/>
  <c r="I2180" i="1"/>
  <c r="J2180" i="1"/>
  <c r="H2181" i="1"/>
  <c r="I2181" i="1"/>
  <c r="J2181" i="1"/>
  <c r="H2182" i="1"/>
  <c r="I2182" i="1"/>
  <c r="J2182" i="1"/>
  <c r="H2183" i="1"/>
  <c r="I2183" i="1"/>
  <c r="J2183" i="1"/>
  <c r="H2184" i="1"/>
  <c r="I2184" i="1"/>
  <c r="J2184" i="1"/>
  <c r="H2185" i="1"/>
  <c r="I2185" i="1"/>
  <c r="J2185" i="1"/>
  <c r="H2186" i="1"/>
  <c r="I2186" i="1"/>
  <c r="J2186" i="1"/>
  <c r="H2187" i="1"/>
  <c r="I2187" i="1"/>
  <c r="J2187" i="1"/>
  <c r="H2188" i="1"/>
  <c r="I2188" i="1"/>
  <c r="J2188" i="1"/>
  <c r="H2189" i="1"/>
  <c r="I2189" i="1"/>
  <c r="J2189" i="1"/>
  <c r="H2190" i="1"/>
  <c r="I2190" i="1"/>
  <c r="J2190" i="1"/>
  <c r="H2191" i="1"/>
  <c r="I2191" i="1"/>
  <c r="J2191" i="1"/>
  <c r="H2192" i="1"/>
  <c r="I2192" i="1"/>
  <c r="J2192" i="1"/>
  <c r="H2193" i="1"/>
  <c r="I2193" i="1"/>
  <c r="J2193" i="1"/>
  <c r="H2194" i="1"/>
  <c r="I2194" i="1"/>
  <c r="J2194" i="1"/>
  <c r="H2195" i="1"/>
  <c r="I2195" i="1"/>
  <c r="J2195" i="1"/>
  <c r="H2196" i="1"/>
  <c r="I2196" i="1"/>
  <c r="J2196" i="1"/>
  <c r="H2197" i="1"/>
  <c r="I2197" i="1"/>
  <c r="J2197" i="1"/>
  <c r="H2198" i="1"/>
  <c r="I2198" i="1"/>
  <c r="J2198" i="1"/>
  <c r="H2199" i="1"/>
  <c r="I2199" i="1"/>
  <c r="J2199" i="1"/>
  <c r="H2200" i="1"/>
  <c r="I2200" i="1"/>
  <c r="J2200" i="1"/>
  <c r="H2201" i="1"/>
  <c r="I2201" i="1"/>
  <c r="J2201" i="1"/>
  <c r="H2202" i="1"/>
  <c r="I2202" i="1"/>
  <c r="J2202" i="1"/>
  <c r="H2203" i="1"/>
  <c r="I2203" i="1"/>
  <c r="J2203" i="1"/>
  <c r="H2204" i="1"/>
  <c r="I2204" i="1"/>
  <c r="J2204" i="1"/>
  <c r="H2205" i="1"/>
  <c r="I2205" i="1"/>
  <c r="J2205" i="1"/>
  <c r="H2206" i="1"/>
  <c r="I2206" i="1"/>
  <c r="J2206" i="1"/>
  <c r="H2207" i="1"/>
  <c r="I2207" i="1"/>
  <c r="J2207" i="1"/>
  <c r="H2208" i="1"/>
  <c r="I2208" i="1"/>
  <c r="J2208" i="1"/>
  <c r="H2209" i="1"/>
  <c r="I2209" i="1"/>
  <c r="J2209" i="1"/>
  <c r="H2210" i="1"/>
  <c r="I2210" i="1"/>
  <c r="J2210" i="1"/>
  <c r="H2211" i="1"/>
  <c r="I2211" i="1"/>
  <c r="J2211" i="1"/>
  <c r="H2212" i="1"/>
  <c r="I2212" i="1"/>
  <c r="J2212" i="1"/>
  <c r="H2213" i="1"/>
  <c r="I2213" i="1"/>
  <c r="J2213" i="1"/>
  <c r="H2214" i="1"/>
  <c r="I2214" i="1"/>
  <c r="J2214" i="1"/>
  <c r="H2215" i="1"/>
  <c r="I2215" i="1"/>
  <c r="J2215" i="1"/>
  <c r="H2216" i="1"/>
  <c r="I2216" i="1"/>
  <c r="J2216" i="1"/>
  <c r="H2217" i="1"/>
  <c r="I2217" i="1"/>
  <c r="J2217" i="1"/>
  <c r="H2218" i="1"/>
  <c r="I2218" i="1"/>
  <c r="J2218" i="1"/>
  <c r="H2219" i="1"/>
  <c r="I2219" i="1"/>
  <c r="J2219" i="1"/>
  <c r="H2220" i="1"/>
  <c r="I2220" i="1"/>
  <c r="J2220" i="1"/>
  <c r="H2221" i="1"/>
  <c r="I2221" i="1"/>
  <c r="J2221" i="1"/>
  <c r="H2222" i="1"/>
  <c r="I2222" i="1"/>
  <c r="J2222" i="1"/>
  <c r="H2223" i="1"/>
  <c r="I2223" i="1"/>
  <c r="J2223" i="1"/>
  <c r="H2224" i="1"/>
  <c r="I2224" i="1"/>
  <c r="J2224" i="1"/>
  <c r="H2225" i="1"/>
  <c r="I2225" i="1"/>
  <c r="J2225" i="1"/>
  <c r="H2226" i="1"/>
  <c r="I2226" i="1"/>
  <c r="J2226" i="1"/>
  <c r="H2227" i="1"/>
  <c r="I2227" i="1"/>
  <c r="J2227" i="1"/>
  <c r="H2228" i="1"/>
  <c r="I2228" i="1"/>
  <c r="J2228" i="1"/>
  <c r="H2229" i="1"/>
  <c r="I2229" i="1"/>
  <c r="J2229" i="1"/>
  <c r="H2230" i="1"/>
  <c r="I2230" i="1"/>
  <c r="J2230" i="1"/>
  <c r="H2231" i="1"/>
  <c r="I2231" i="1"/>
  <c r="J2231" i="1"/>
  <c r="H2232" i="1"/>
  <c r="I2232" i="1"/>
  <c r="J2232" i="1"/>
  <c r="H2233" i="1"/>
  <c r="I2233" i="1"/>
  <c r="J2233" i="1"/>
  <c r="H2234" i="1"/>
  <c r="I2234" i="1"/>
  <c r="J2234" i="1"/>
  <c r="H2235" i="1"/>
  <c r="I2235" i="1"/>
  <c r="J2235" i="1"/>
  <c r="H2236" i="1"/>
  <c r="I2236" i="1"/>
  <c r="J2236" i="1"/>
  <c r="H2237" i="1"/>
  <c r="I2237" i="1"/>
  <c r="J2237" i="1"/>
  <c r="H2238" i="1"/>
  <c r="I2238" i="1"/>
  <c r="J2238" i="1"/>
  <c r="H2239" i="1"/>
  <c r="I2239" i="1"/>
  <c r="J2239" i="1"/>
  <c r="H2240" i="1"/>
  <c r="I2240" i="1"/>
  <c r="J2240" i="1"/>
  <c r="H2241" i="1"/>
  <c r="I2241" i="1"/>
  <c r="J2241" i="1"/>
  <c r="H2242" i="1"/>
  <c r="I2242" i="1"/>
  <c r="J2242" i="1"/>
  <c r="H2243" i="1"/>
  <c r="I2243" i="1"/>
  <c r="J2243" i="1"/>
  <c r="H2244" i="1"/>
  <c r="I2244" i="1"/>
  <c r="J2244" i="1"/>
  <c r="H2245" i="1"/>
  <c r="I2245" i="1"/>
  <c r="J2245" i="1"/>
  <c r="H2246" i="1"/>
  <c r="I2246" i="1"/>
  <c r="J2246" i="1"/>
  <c r="H2247" i="1"/>
  <c r="I2247" i="1"/>
  <c r="J2247" i="1"/>
  <c r="H2248" i="1"/>
  <c r="I2248" i="1"/>
  <c r="J2248" i="1"/>
  <c r="H2249" i="1"/>
  <c r="I2249" i="1"/>
  <c r="J2249" i="1"/>
  <c r="H2250" i="1"/>
  <c r="I2250" i="1"/>
  <c r="J2250" i="1"/>
  <c r="H2251" i="1"/>
  <c r="I2251" i="1"/>
  <c r="J2251" i="1"/>
  <c r="H2252" i="1"/>
  <c r="I2252" i="1"/>
  <c r="J2252" i="1"/>
  <c r="H2253" i="1"/>
  <c r="I2253" i="1"/>
  <c r="J2253" i="1"/>
  <c r="H2254" i="1"/>
  <c r="I2254" i="1"/>
  <c r="J2254" i="1"/>
  <c r="H2255" i="1"/>
  <c r="I2255" i="1"/>
  <c r="J2255" i="1"/>
  <c r="H2256" i="1"/>
  <c r="I2256" i="1"/>
  <c r="J2256" i="1"/>
  <c r="H2257" i="1"/>
  <c r="I2257" i="1"/>
  <c r="J2257" i="1"/>
  <c r="H2258" i="1"/>
  <c r="I2258" i="1"/>
  <c r="J2258" i="1"/>
  <c r="H2259" i="1"/>
  <c r="I2259" i="1"/>
  <c r="J2259" i="1"/>
  <c r="H2260" i="1"/>
  <c r="I2260" i="1"/>
  <c r="J2260" i="1"/>
  <c r="H2261" i="1"/>
  <c r="I2261" i="1"/>
  <c r="J2261" i="1"/>
  <c r="H2262" i="1"/>
  <c r="I2262" i="1"/>
  <c r="J2262" i="1"/>
  <c r="H2263" i="1"/>
  <c r="I2263" i="1"/>
  <c r="J2263" i="1"/>
  <c r="H2264" i="1"/>
  <c r="I2264" i="1"/>
  <c r="J2264" i="1"/>
  <c r="H2265" i="1"/>
  <c r="I2265" i="1"/>
  <c r="J2265" i="1"/>
  <c r="H2266" i="1"/>
  <c r="I2266" i="1"/>
  <c r="J2266" i="1"/>
  <c r="H2267" i="1"/>
  <c r="I2267" i="1"/>
  <c r="J2267" i="1"/>
  <c r="H2268" i="1"/>
  <c r="I2268" i="1"/>
  <c r="J2268" i="1"/>
  <c r="H2269" i="1"/>
  <c r="I2269" i="1"/>
  <c r="J2269" i="1"/>
  <c r="H2270" i="1"/>
  <c r="I2270" i="1"/>
  <c r="J2270" i="1"/>
  <c r="H2271" i="1"/>
  <c r="I2271" i="1"/>
  <c r="J2271" i="1"/>
  <c r="H2272" i="1"/>
  <c r="I2272" i="1"/>
  <c r="J2272" i="1"/>
  <c r="H2273" i="1"/>
  <c r="I2273" i="1"/>
  <c r="J2273" i="1"/>
  <c r="H2274" i="1"/>
  <c r="I2274" i="1"/>
  <c r="J2274" i="1"/>
  <c r="H2275" i="1"/>
  <c r="I2275" i="1"/>
  <c r="J2275" i="1"/>
  <c r="H2276" i="1"/>
  <c r="I2276" i="1"/>
  <c r="J2276" i="1"/>
  <c r="H2277" i="1"/>
  <c r="I2277" i="1"/>
  <c r="J2277" i="1"/>
  <c r="H2278" i="1"/>
  <c r="I2278" i="1"/>
  <c r="J2278" i="1"/>
  <c r="H2279" i="1"/>
  <c r="I2279" i="1"/>
  <c r="J2279" i="1"/>
  <c r="H2280" i="1"/>
  <c r="I2280" i="1"/>
  <c r="J2280" i="1"/>
  <c r="H2281" i="1"/>
  <c r="I2281" i="1"/>
  <c r="J2281" i="1"/>
  <c r="H2282" i="1"/>
  <c r="I2282" i="1"/>
  <c r="J2282" i="1"/>
  <c r="H2283" i="1"/>
  <c r="I2283" i="1"/>
  <c r="J2283" i="1"/>
  <c r="H2284" i="1"/>
  <c r="I2284" i="1"/>
  <c r="J2284" i="1"/>
  <c r="H2285" i="1"/>
  <c r="I2285" i="1"/>
  <c r="J2285" i="1"/>
  <c r="H2286" i="1"/>
  <c r="I2286" i="1"/>
  <c r="J2286" i="1"/>
  <c r="H2287" i="1"/>
  <c r="I2287" i="1"/>
  <c r="J2287" i="1"/>
  <c r="H2288" i="1"/>
  <c r="I2288" i="1"/>
  <c r="J2288" i="1"/>
  <c r="H2289" i="1"/>
  <c r="I2289" i="1"/>
  <c r="J2289" i="1"/>
  <c r="H2290" i="1"/>
  <c r="I2290" i="1"/>
  <c r="J2290" i="1"/>
  <c r="H2291" i="1"/>
  <c r="I2291" i="1"/>
  <c r="J2291" i="1"/>
  <c r="H2292" i="1"/>
  <c r="I2292" i="1"/>
  <c r="J2292" i="1"/>
  <c r="H2293" i="1"/>
  <c r="I2293" i="1"/>
  <c r="J2293" i="1"/>
  <c r="H2294" i="1"/>
  <c r="I2294" i="1"/>
  <c r="J2294" i="1"/>
  <c r="H2295" i="1"/>
  <c r="I2295" i="1"/>
  <c r="J2295" i="1"/>
  <c r="H2296" i="1"/>
  <c r="I2296" i="1"/>
  <c r="J2296" i="1"/>
  <c r="H2297" i="1"/>
  <c r="I2297" i="1"/>
  <c r="J2297" i="1"/>
  <c r="H2298" i="1"/>
  <c r="I2298" i="1"/>
  <c r="J2298" i="1"/>
  <c r="H2299" i="1"/>
  <c r="I2299" i="1"/>
  <c r="J2299" i="1"/>
  <c r="H2300" i="1"/>
  <c r="I2300" i="1"/>
  <c r="J2300" i="1"/>
  <c r="H2301" i="1"/>
  <c r="I2301" i="1"/>
  <c r="J2301" i="1"/>
  <c r="H2302" i="1"/>
  <c r="I2302" i="1"/>
  <c r="J2302" i="1"/>
  <c r="H2303" i="1"/>
  <c r="I2303" i="1"/>
  <c r="J2303" i="1"/>
  <c r="H2304" i="1"/>
  <c r="I2304" i="1"/>
  <c r="J2304" i="1"/>
  <c r="H2305" i="1"/>
  <c r="I2305" i="1"/>
  <c r="J2305" i="1"/>
  <c r="H2306" i="1"/>
  <c r="I2306" i="1"/>
  <c r="J2306" i="1"/>
  <c r="H2307" i="1"/>
  <c r="I2307" i="1"/>
  <c r="J2307" i="1"/>
  <c r="H2308" i="1"/>
  <c r="I2308" i="1"/>
  <c r="J2308" i="1"/>
  <c r="H2309" i="1"/>
  <c r="I2309" i="1"/>
  <c r="J2309" i="1"/>
  <c r="H2310" i="1"/>
  <c r="I2310" i="1"/>
  <c r="J2310" i="1"/>
  <c r="H2311" i="1"/>
  <c r="I2311" i="1"/>
  <c r="J2311" i="1"/>
  <c r="H2312" i="1"/>
  <c r="I2312" i="1"/>
  <c r="J2312" i="1"/>
  <c r="H2313" i="1"/>
  <c r="I2313" i="1"/>
  <c r="J2313" i="1"/>
  <c r="H2314" i="1"/>
  <c r="I2314" i="1"/>
  <c r="J2314" i="1"/>
  <c r="H2315" i="1"/>
  <c r="I2315" i="1"/>
  <c r="J2315" i="1"/>
  <c r="H2316" i="1"/>
  <c r="I2316" i="1"/>
  <c r="J2316" i="1"/>
  <c r="H2317" i="1"/>
  <c r="I2317" i="1"/>
  <c r="J2317" i="1"/>
  <c r="H2318" i="1"/>
  <c r="I2318" i="1"/>
  <c r="J2318" i="1"/>
  <c r="H2319" i="1"/>
  <c r="I2319" i="1"/>
  <c r="J2319" i="1"/>
  <c r="H2320" i="1"/>
  <c r="I2320" i="1"/>
  <c r="J2320" i="1"/>
  <c r="H2321" i="1"/>
  <c r="I2321" i="1"/>
  <c r="J2321" i="1"/>
  <c r="H2322" i="1"/>
  <c r="I2322" i="1"/>
  <c r="J2322" i="1"/>
  <c r="H2323" i="1"/>
  <c r="I2323" i="1"/>
  <c r="J2323" i="1"/>
  <c r="H2324" i="1"/>
  <c r="I2324" i="1"/>
  <c r="J2324" i="1"/>
  <c r="H2325" i="1"/>
  <c r="I2325" i="1"/>
  <c r="J2325" i="1"/>
  <c r="H2326" i="1"/>
  <c r="I2326" i="1"/>
  <c r="J2326" i="1"/>
  <c r="H2327" i="1"/>
  <c r="I2327" i="1"/>
  <c r="J2327" i="1"/>
  <c r="H2328" i="1"/>
  <c r="I2328" i="1"/>
  <c r="J2328" i="1"/>
  <c r="H2329" i="1"/>
  <c r="I2329" i="1"/>
  <c r="J2329" i="1"/>
  <c r="H2330" i="1"/>
  <c r="I2330" i="1"/>
  <c r="J2330" i="1"/>
  <c r="H2331" i="1"/>
  <c r="I2331" i="1"/>
  <c r="J2331" i="1"/>
  <c r="H2332" i="1"/>
  <c r="I2332" i="1"/>
  <c r="J2332" i="1"/>
  <c r="H2333" i="1"/>
  <c r="I2333" i="1"/>
  <c r="J2333" i="1"/>
  <c r="H2334" i="1"/>
  <c r="I2334" i="1"/>
  <c r="J2334" i="1"/>
  <c r="H2335" i="1"/>
  <c r="I2335" i="1"/>
  <c r="J2335" i="1"/>
  <c r="H2336" i="1"/>
  <c r="I2336" i="1"/>
  <c r="J2336" i="1"/>
  <c r="H2337" i="1"/>
  <c r="I2337" i="1"/>
  <c r="J2337" i="1"/>
  <c r="H2338" i="1"/>
  <c r="I2338" i="1"/>
  <c r="J2338" i="1"/>
  <c r="H2339" i="1"/>
  <c r="I2339" i="1"/>
  <c r="J2339" i="1"/>
  <c r="H2340" i="1"/>
  <c r="I2340" i="1"/>
  <c r="J2340" i="1"/>
  <c r="H2341" i="1"/>
  <c r="I2341" i="1"/>
  <c r="J2341" i="1"/>
  <c r="H2342" i="1"/>
  <c r="I2342" i="1"/>
  <c r="J2342" i="1"/>
  <c r="H2343" i="1"/>
  <c r="I2343" i="1"/>
  <c r="J2343" i="1"/>
  <c r="H2344" i="1"/>
  <c r="I2344" i="1"/>
  <c r="J2344" i="1"/>
  <c r="H2345" i="1"/>
  <c r="I2345" i="1"/>
  <c r="J2345" i="1"/>
  <c r="H2346" i="1"/>
  <c r="I2346" i="1"/>
  <c r="J2346" i="1"/>
  <c r="H2347" i="1"/>
  <c r="I2347" i="1"/>
  <c r="J2347" i="1"/>
  <c r="H2348" i="1"/>
  <c r="I2348" i="1"/>
  <c r="J2348" i="1"/>
  <c r="H2349" i="1"/>
  <c r="I2349" i="1"/>
  <c r="J2349" i="1"/>
  <c r="H2350" i="1"/>
  <c r="I2350" i="1"/>
  <c r="J2350" i="1"/>
  <c r="H2351" i="1"/>
  <c r="I2351" i="1"/>
  <c r="J2351" i="1"/>
  <c r="H2352" i="1"/>
  <c r="I2352" i="1"/>
  <c r="J2352" i="1"/>
  <c r="H2353" i="1"/>
  <c r="I2353" i="1"/>
  <c r="J2353" i="1"/>
  <c r="H2354" i="1"/>
  <c r="I2354" i="1"/>
  <c r="J2354" i="1"/>
  <c r="H2355" i="1"/>
  <c r="I2355" i="1"/>
  <c r="J2355" i="1"/>
  <c r="H2356" i="1"/>
  <c r="I2356" i="1"/>
  <c r="J2356" i="1"/>
  <c r="H2357" i="1"/>
  <c r="I2357" i="1"/>
  <c r="J2357" i="1"/>
  <c r="H2358" i="1"/>
  <c r="I2358" i="1"/>
  <c r="J2358" i="1"/>
  <c r="H2359" i="1"/>
  <c r="I2359" i="1"/>
  <c r="J2359" i="1"/>
  <c r="H2360" i="1"/>
  <c r="I2360" i="1"/>
  <c r="J2360" i="1"/>
  <c r="H2361" i="1"/>
  <c r="I2361" i="1"/>
  <c r="J2361" i="1"/>
  <c r="H2362" i="1"/>
  <c r="I2362" i="1"/>
  <c r="J2362" i="1"/>
  <c r="H2363" i="1"/>
  <c r="I2363" i="1"/>
  <c r="J2363" i="1"/>
  <c r="H2364" i="1"/>
  <c r="I2364" i="1"/>
  <c r="J2364" i="1"/>
  <c r="H2365" i="1"/>
  <c r="I2365" i="1"/>
  <c r="J2365" i="1"/>
  <c r="H2366" i="1"/>
  <c r="I2366" i="1"/>
  <c r="J2366" i="1"/>
  <c r="H2367" i="1"/>
  <c r="I2367" i="1"/>
  <c r="J2367" i="1"/>
  <c r="H2368" i="1"/>
  <c r="I2368" i="1"/>
  <c r="J2368" i="1"/>
  <c r="H2369" i="1"/>
  <c r="I2369" i="1"/>
  <c r="J2369" i="1"/>
  <c r="H2370" i="1"/>
  <c r="I2370" i="1"/>
  <c r="J2370" i="1"/>
  <c r="H2371" i="1"/>
  <c r="I2371" i="1"/>
  <c r="J2371" i="1"/>
  <c r="H2372" i="1"/>
  <c r="I2372" i="1"/>
  <c r="J2372" i="1"/>
  <c r="H2373" i="1"/>
  <c r="I2373" i="1"/>
  <c r="J2373" i="1"/>
  <c r="H2374" i="1"/>
  <c r="I2374" i="1"/>
  <c r="J2374" i="1"/>
  <c r="H2375" i="1"/>
  <c r="I2375" i="1"/>
  <c r="J2375" i="1"/>
  <c r="H2376" i="1"/>
  <c r="I2376" i="1"/>
  <c r="J2376" i="1"/>
  <c r="H2377" i="1"/>
  <c r="I2377" i="1"/>
  <c r="J2377" i="1"/>
  <c r="H2378" i="1"/>
  <c r="I2378" i="1"/>
  <c r="J2378" i="1"/>
  <c r="H2379" i="1"/>
  <c r="I2379" i="1"/>
  <c r="J2379" i="1"/>
  <c r="H2380" i="1"/>
  <c r="I2380" i="1"/>
  <c r="J2380" i="1"/>
  <c r="H2381" i="1"/>
  <c r="I2381" i="1"/>
  <c r="J2381" i="1"/>
  <c r="H2382" i="1"/>
  <c r="I2382" i="1"/>
  <c r="J2382" i="1"/>
  <c r="H2383" i="1"/>
  <c r="I2383" i="1"/>
  <c r="J2383" i="1"/>
  <c r="H2384" i="1"/>
  <c r="I2384" i="1"/>
  <c r="J2384" i="1"/>
  <c r="H2385" i="1"/>
  <c r="I2385" i="1"/>
  <c r="J2385" i="1"/>
  <c r="H2386" i="1"/>
  <c r="I2386" i="1"/>
  <c r="J2386" i="1"/>
  <c r="H2387" i="1"/>
  <c r="I2387" i="1"/>
  <c r="J2387" i="1"/>
  <c r="H2388" i="1"/>
  <c r="I2388" i="1"/>
  <c r="J2388" i="1"/>
  <c r="H2389" i="1"/>
  <c r="I2389" i="1"/>
  <c r="J2389" i="1"/>
  <c r="H2390" i="1"/>
  <c r="I2390" i="1"/>
  <c r="J2390" i="1"/>
  <c r="H2391" i="1"/>
  <c r="I2391" i="1"/>
  <c r="J2391" i="1"/>
  <c r="H2392" i="1"/>
  <c r="I2392" i="1"/>
  <c r="J2392" i="1"/>
  <c r="H2393" i="1"/>
  <c r="I2393" i="1"/>
  <c r="J2393" i="1"/>
  <c r="H2394" i="1"/>
  <c r="I2394" i="1"/>
  <c r="J2394" i="1"/>
  <c r="H2395" i="1"/>
  <c r="I2395" i="1"/>
  <c r="J2395" i="1"/>
  <c r="H2396" i="1"/>
  <c r="I2396" i="1"/>
  <c r="J2396" i="1"/>
  <c r="H2397" i="1"/>
  <c r="I2397" i="1"/>
  <c r="J2397" i="1"/>
  <c r="H2398" i="1"/>
  <c r="I2398" i="1"/>
  <c r="J2398" i="1"/>
  <c r="H2399" i="1"/>
  <c r="I2399" i="1"/>
  <c r="J2399" i="1"/>
  <c r="H2400" i="1"/>
  <c r="I2400" i="1"/>
  <c r="J2400" i="1"/>
  <c r="H2401" i="1"/>
  <c r="I2401" i="1"/>
  <c r="J2401" i="1"/>
  <c r="H2402" i="1"/>
  <c r="I2402" i="1"/>
  <c r="J2402" i="1"/>
  <c r="H2403" i="1"/>
  <c r="I2403" i="1"/>
  <c r="J2403" i="1"/>
  <c r="H2404" i="1"/>
  <c r="I2404" i="1"/>
  <c r="J2404" i="1"/>
  <c r="H2405" i="1"/>
  <c r="I2405" i="1"/>
  <c r="J2405" i="1"/>
  <c r="H2406" i="1"/>
  <c r="I2406" i="1"/>
  <c r="J2406" i="1"/>
  <c r="H2407" i="1"/>
  <c r="I2407" i="1"/>
  <c r="J2407" i="1"/>
  <c r="H2408" i="1"/>
  <c r="I2408" i="1"/>
  <c r="J2408" i="1"/>
  <c r="H2409" i="1"/>
  <c r="I2409" i="1"/>
  <c r="J2409" i="1"/>
  <c r="H2410" i="1"/>
  <c r="I2410" i="1"/>
  <c r="J2410" i="1"/>
  <c r="H2411" i="1"/>
  <c r="I2411" i="1"/>
  <c r="J2411" i="1"/>
  <c r="H2412" i="1"/>
  <c r="I2412" i="1"/>
  <c r="J2412" i="1"/>
  <c r="H2413" i="1"/>
  <c r="I2413" i="1"/>
  <c r="J2413" i="1"/>
  <c r="H2414" i="1"/>
  <c r="I2414" i="1"/>
  <c r="J2414" i="1"/>
  <c r="J3" i="1"/>
  <c r="I3" i="1"/>
</calcChain>
</file>

<file path=xl/sharedStrings.xml><?xml version="1.0" encoding="utf-8"?>
<sst xmlns="http://schemas.openxmlformats.org/spreadsheetml/2006/main" count="21469" uniqueCount="5407">
  <si>
    <t>Genero.especie</t>
  </si>
  <si>
    <t>Nombre_aceptado_GBIF</t>
  </si>
  <si>
    <t>Nombre_aceptado_rWCVP</t>
  </si>
  <si>
    <t>Nombre_aceptado_WFO</t>
  </si>
  <si>
    <t>Comparacion_tres_fuentes</t>
  </si>
  <si>
    <t>Detalle_comparacion</t>
  </si>
  <si>
    <t>Abelia.grandiflora</t>
  </si>
  <si>
    <t>Abelia chinensis</t>
  </si>
  <si>
    <t>Revisar</t>
  </si>
  <si>
    <t>Falta resultado en una o más fuentes</t>
  </si>
  <si>
    <t>Abelia.sp1.M.PL.054</t>
  </si>
  <si>
    <t>Sin resultados en las tres fuentes</t>
  </si>
  <si>
    <t>Abelia.serrata</t>
  </si>
  <si>
    <t>Diabelia serrata</t>
  </si>
  <si>
    <t>Linnaea serrata</t>
  </si>
  <si>
    <t>Coinciden GBIF y rWCVP; WFO es diferente</t>
  </si>
  <si>
    <t>Abelmoschus.manihot</t>
  </si>
  <si>
    <t>Abelmoschus manihot</t>
  </si>
  <si>
    <t>Coinciden</t>
  </si>
  <si>
    <t>Coinciden las tres fuentes</t>
  </si>
  <si>
    <t>Abutilon.depauperatum</t>
  </si>
  <si>
    <t>Abutilon depauperatum</t>
  </si>
  <si>
    <t>Pseudabutilon depauperatum</t>
  </si>
  <si>
    <t>Coinciden rWCVP y WFO; GBIF es diferente</t>
  </si>
  <si>
    <t>Abutilon.terminale</t>
  </si>
  <si>
    <t>Abutilon terminale</t>
  </si>
  <si>
    <t>Abutilon.theophrasti</t>
  </si>
  <si>
    <t>Abutilon theophrasti</t>
  </si>
  <si>
    <t>Acacia.insulae-iacobi</t>
  </si>
  <si>
    <t>Vachellia insulae-iacobi</t>
  </si>
  <si>
    <t>Acacia.macracantha</t>
  </si>
  <si>
    <t>Vachellia macracantha</t>
  </si>
  <si>
    <t>Acaena.pinnatifida</t>
  </si>
  <si>
    <t>Acaena pinnatifida</t>
  </si>
  <si>
    <t>Coinciden GBIF y WFO; rWCVP sin resultado</t>
  </si>
  <si>
    <t>Acanthostachys.strobilaceae</t>
  </si>
  <si>
    <t>Acanthostachys strobilacea</t>
  </si>
  <si>
    <t>Acanthus.spinosus</t>
  </si>
  <si>
    <t>Acanthus spinosus</t>
  </si>
  <si>
    <t>Acer.ukurunduense</t>
  </si>
  <si>
    <t>Acer ukurunduense</t>
  </si>
  <si>
    <t>Acer.shirasawanum</t>
  </si>
  <si>
    <t>Acer shirasawanum</t>
  </si>
  <si>
    <t>Acer.rufinerve</t>
  </si>
  <si>
    <t>Acer rufinerve</t>
  </si>
  <si>
    <t>Acer.saccharinum</t>
  </si>
  <si>
    <t>Acer saccharinum</t>
  </si>
  <si>
    <t>Acer.insulae</t>
  </si>
  <si>
    <t>Acer insulare</t>
  </si>
  <si>
    <t>Coinciden rWCVP y WFO; GBIF sin resultado</t>
  </si>
  <si>
    <t>Acer.japonicum</t>
  </si>
  <si>
    <t>Acer japonicum</t>
  </si>
  <si>
    <t>Acer.carpinifolium</t>
  </si>
  <si>
    <t>Acer carpinifolium</t>
  </si>
  <si>
    <t>Acer.negundo</t>
  </si>
  <si>
    <t>Acer negundo</t>
  </si>
  <si>
    <t>Achillea.alpina.</t>
  </si>
  <si>
    <t>Achillea alpina</t>
  </si>
  <si>
    <t>Achillea.millefolium</t>
  </si>
  <si>
    <t>Achillea millefolium</t>
  </si>
  <si>
    <t>Achyranthes.bidentata</t>
  </si>
  <si>
    <t>Achyranthes bidentata</t>
  </si>
  <si>
    <t>Achyrocline.satureoides</t>
  </si>
  <si>
    <t>Achyrocline saturejoides</t>
  </si>
  <si>
    <t>Achyrocline satureioides</t>
  </si>
  <si>
    <t>Aciphylla.glacialis</t>
  </si>
  <si>
    <t>Aciphylla glacialis</t>
  </si>
  <si>
    <t>Aciphylla.scott-thompsoni</t>
  </si>
  <si>
    <t>Aciphylla scott-thomsonii</t>
  </si>
  <si>
    <t>Aciphylla.simplicifolia</t>
  </si>
  <si>
    <t>Aciphylla simplicifolia</t>
  </si>
  <si>
    <t>Aciphylla.subflavellata</t>
  </si>
  <si>
    <t>Aciphylla subflabellata</t>
  </si>
  <si>
    <t>Aconitum.japonicum</t>
  </si>
  <si>
    <t>Aconitum japonicum</t>
  </si>
  <si>
    <t>Aconitum.senanense</t>
  </si>
  <si>
    <t>Aconitum senanense</t>
  </si>
  <si>
    <t>Aconitum.columbianum</t>
  </si>
  <si>
    <t>Aconitum columbianum</t>
  </si>
  <si>
    <t>Aconitum.japonicum.montanum</t>
  </si>
  <si>
    <t>Aconitum japonicum subsp. japonicum</t>
  </si>
  <si>
    <t>Actea.alba</t>
  </si>
  <si>
    <t>Actaea rubra</t>
  </si>
  <si>
    <t>Actinidia.arguta</t>
  </si>
  <si>
    <t>Actinidia arguta</t>
  </si>
  <si>
    <t>Actinidia.rufa</t>
  </si>
  <si>
    <t>Actinidia rufa</t>
  </si>
  <si>
    <t>Actinomeris.alternifolia</t>
  </si>
  <si>
    <t>Verbesina alternifolia</t>
  </si>
  <si>
    <t>Adenocarpus.foliosus</t>
  </si>
  <si>
    <t>Adenocarpus complicatus subsp. aureus</t>
  </si>
  <si>
    <t>Adenocarpus foliolosus</t>
  </si>
  <si>
    <t>Adenocarpus.viscosus</t>
  </si>
  <si>
    <t>Adenocarpus viscosus</t>
  </si>
  <si>
    <t>Adenocaulon.himalaicum</t>
  </si>
  <si>
    <t>Adenocaulon himalaicum</t>
  </si>
  <si>
    <t>Adenophora.triphylla</t>
  </si>
  <si>
    <t>Adenophora triphylla</t>
  </si>
  <si>
    <t>Adesmia.glomerula</t>
  </si>
  <si>
    <t>Adesmia glomerula</t>
  </si>
  <si>
    <t>Adesmia.aconcaguensis</t>
  </si>
  <si>
    <t>Adesmia aconcaguensis</t>
  </si>
  <si>
    <t>Adesmia.brachysemon</t>
  </si>
  <si>
    <t>Adesmia brachysemeon</t>
  </si>
  <si>
    <t>Adesmia.conferta</t>
  </si>
  <si>
    <t>Adesmia conferta</t>
  </si>
  <si>
    <t>Adesmia.exilis</t>
  </si>
  <si>
    <t>Adesmia exilis</t>
  </si>
  <si>
    <t>Adesmia.radicifolia</t>
  </si>
  <si>
    <t>Adesmia papposa var. radicifolia</t>
  </si>
  <si>
    <t>Adesmia.montana</t>
  </si>
  <si>
    <t>Adesmia montana</t>
  </si>
  <si>
    <t>Adesmia.incana</t>
  </si>
  <si>
    <t>Adesmia incana</t>
  </si>
  <si>
    <t>Adesmia.haemisphaerica</t>
  </si>
  <si>
    <t>Adesmia hemisphaerica</t>
  </si>
  <si>
    <t>Adesmia.capitellata</t>
  </si>
  <si>
    <t>Adesmia capitellata</t>
  </si>
  <si>
    <t>Adesmia.retrofracta</t>
  </si>
  <si>
    <t>Adesmia retrofracta</t>
  </si>
  <si>
    <t>Aechmea.paniculigera</t>
  </si>
  <si>
    <t>Aechmea paniculigera</t>
  </si>
  <si>
    <t>Aechmea.bromeliifolia</t>
  </si>
  <si>
    <t>Aechmea bromeliifolia</t>
  </si>
  <si>
    <t>Aechmea.lingulata</t>
  </si>
  <si>
    <t>Wittmackia lingulata</t>
  </si>
  <si>
    <t>Aechmea.cylindrata</t>
  </si>
  <si>
    <t>Aechmea cylindrata</t>
  </si>
  <si>
    <t>Aechmea.mutica</t>
  </si>
  <si>
    <t>Aechmea mutica</t>
  </si>
  <si>
    <t>Aechmea.nudicaulis</t>
  </si>
  <si>
    <t>Aechmea nudicaulis</t>
  </si>
  <si>
    <t>Aechmea.pineliana</t>
  </si>
  <si>
    <t>Aechmea pineliana</t>
  </si>
  <si>
    <t>Aechmea.araneosa</t>
  </si>
  <si>
    <t>Aechmea araneosa</t>
  </si>
  <si>
    <t>Aechmea.triangularis</t>
  </si>
  <si>
    <t>Aechmea triangularis</t>
  </si>
  <si>
    <t>Aechmea.victoriana</t>
  </si>
  <si>
    <t>Aechmea victoriana</t>
  </si>
  <si>
    <t>Aeginetia.indica</t>
  </si>
  <si>
    <t>Aeginetia indica</t>
  </si>
  <si>
    <t>Aegopodium.podagraria</t>
  </si>
  <si>
    <t>Aegopodium podagraria</t>
  </si>
  <si>
    <t>Aeschynomene.pratensis</t>
  </si>
  <si>
    <t>Aeschynomene pratensis</t>
  </si>
  <si>
    <t>Aeschynomene.indica</t>
  </si>
  <si>
    <t>Aeschynomene indica</t>
  </si>
  <si>
    <t>Aesculus.hippocastanum</t>
  </si>
  <si>
    <t>Aesculus hippocastanum</t>
  </si>
  <si>
    <t>Aesculus.glabra</t>
  </si>
  <si>
    <t>Aesculus glabra</t>
  </si>
  <si>
    <t>Aesculus.sylvatica</t>
  </si>
  <si>
    <t>Aesculus sylvatica</t>
  </si>
  <si>
    <t>Aesculus.turbinata</t>
  </si>
  <si>
    <t>Aesculus turbinata</t>
  </si>
  <si>
    <t>Aesculus.camea</t>
  </si>
  <si>
    <t>Aetheorrina.bulbosa</t>
  </si>
  <si>
    <t>Sonchus bulbosus</t>
  </si>
  <si>
    <t>Aethusa.cynapium</t>
  </si>
  <si>
    <t>Aethusa cynapium</t>
  </si>
  <si>
    <t>Agastache.scrophulariaefolia</t>
  </si>
  <si>
    <t>Agastache scrophulariifolia</t>
  </si>
  <si>
    <t>Agastache.nepetoides</t>
  </si>
  <si>
    <t>Agastache nepetoides</t>
  </si>
  <si>
    <t>Agauria.salicifolia</t>
  </si>
  <si>
    <t>Agarista salicifolia</t>
  </si>
  <si>
    <t>Ageratum.houstonianum</t>
  </si>
  <si>
    <t>Ageratum houstonianum</t>
  </si>
  <si>
    <t>Ageratum.conyzoides</t>
  </si>
  <si>
    <t>Ageratum conyzoides</t>
  </si>
  <si>
    <t>Ageretina.adenophora</t>
  </si>
  <si>
    <t>Ageratina adenophora</t>
  </si>
  <si>
    <t>Agrimonia.striata</t>
  </si>
  <si>
    <t>Agrimonia striata</t>
  </si>
  <si>
    <t>Agrimonia.eupatoria</t>
  </si>
  <si>
    <t>Agrimonia eupatoria</t>
  </si>
  <si>
    <t>Agrimonia.pilosa</t>
  </si>
  <si>
    <t>Agrimonia pilosa</t>
  </si>
  <si>
    <t>Agrostis.clavata</t>
  </si>
  <si>
    <t>Agrostis clavata</t>
  </si>
  <si>
    <t>Aichryson.laxum</t>
  </si>
  <si>
    <t>Aichryson laxum</t>
  </si>
  <si>
    <t>Ainsliaea.acerifolia</t>
  </si>
  <si>
    <t>Ainsliaea acerifolia</t>
  </si>
  <si>
    <t>Ajuga.reptans</t>
  </si>
  <si>
    <t>Ajuga reptans</t>
  </si>
  <si>
    <t>Ajuga.dictyocarpa</t>
  </si>
  <si>
    <t>Ajuga dictyocarpa</t>
  </si>
  <si>
    <t>Akebia.quinata</t>
  </si>
  <si>
    <t>Akebia quinata</t>
  </si>
  <si>
    <t>Alangium.platanifolium</t>
  </si>
  <si>
    <t>Alangium platanifolium</t>
  </si>
  <si>
    <t>Albizzia.julibrissin</t>
  </si>
  <si>
    <t>Albizia julibrissin</t>
  </si>
  <si>
    <t>Alcea.pallida</t>
  </si>
  <si>
    <t>Alcea pallida</t>
  </si>
  <si>
    <t>Alcea biennis</t>
  </si>
  <si>
    <t>Aletris.luteoviridis</t>
  </si>
  <si>
    <t>Metanarthecium luteoviride</t>
  </si>
  <si>
    <t>Alisma.canaliculatum</t>
  </si>
  <si>
    <t>Alisma canaliculatum</t>
  </si>
  <si>
    <t>Alisma.plantago.aquatica</t>
  </si>
  <si>
    <t>Alisma plantago-aquatica</t>
  </si>
  <si>
    <t>Alium.grayi</t>
  </si>
  <si>
    <t>Allium macrostemon</t>
  </si>
  <si>
    <t>Alkanna.tinctoria</t>
  </si>
  <si>
    <t>Alkanna tinctoria</t>
  </si>
  <si>
    <t>Allium.subhirsutum</t>
  </si>
  <si>
    <t>Allium subhirsutum</t>
  </si>
  <si>
    <t>Allium.neapolitanum</t>
  </si>
  <si>
    <t>Allium neapolitanum</t>
  </si>
  <si>
    <t>Allium.recurvatum</t>
  </si>
  <si>
    <t>Allium cernuum</t>
  </si>
  <si>
    <t>Allium.thunbergii</t>
  </si>
  <si>
    <t>Allium thunbergii</t>
  </si>
  <si>
    <t>Allium.ampeloprasum</t>
  </si>
  <si>
    <t>Allium ampeloprasum</t>
  </si>
  <si>
    <t>Allium.scorodoprasum</t>
  </si>
  <si>
    <t>Allium scorodoprasum</t>
  </si>
  <si>
    <t>Alocasia.odora</t>
  </si>
  <si>
    <t>Alocasia odora</t>
  </si>
  <si>
    <t>Alophia.lahue</t>
  </si>
  <si>
    <t>Herbertia lahue</t>
  </si>
  <si>
    <t>Alpinia.intermedia</t>
  </si>
  <si>
    <t>Alpinia intermedia</t>
  </si>
  <si>
    <t>Alpinia.formosana</t>
  </si>
  <si>
    <t>Alpinia formosana</t>
  </si>
  <si>
    <t>Alpinia.sp1.M.PL.044</t>
  </si>
  <si>
    <t>Alstonia.macrophylla</t>
  </si>
  <si>
    <t>Alstonia macrophylla</t>
  </si>
  <si>
    <t>Alstroemeria.aurea</t>
  </si>
  <si>
    <t>Alstroemeria aurea</t>
  </si>
  <si>
    <t>Alstromemeria.pallida</t>
  </si>
  <si>
    <t>Alstroemeria pallida</t>
  </si>
  <si>
    <t>Alternanthera.ficoidea</t>
  </si>
  <si>
    <t>Alternanthera ficoidea</t>
  </si>
  <si>
    <t>Alyssum.maritimum</t>
  </si>
  <si>
    <t>Lobularia maritima</t>
  </si>
  <si>
    <t>Lobularia maritima subsp. maritima</t>
  </si>
  <si>
    <t>Amaranthus.spinosus</t>
  </si>
  <si>
    <t>Amaranthus spinosus</t>
  </si>
  <si>
    <t>Ambrosia.trifida</t>
  </si>
  <si>
    <t>Ambrosia trifida</t>
  </si>
  <si>
    <t>Amelanchier.canadensis</t>
  </si>
  <si>
    <t>Amelanchier canadensis</t>
  </si>
  <si>
    <t>Ammannia.coccinea</t>
  </si>
  <si>
    <t>Ammannia coccinea</t>
  </si>
  <si>
    <t>Amomyrtus.luma</t>
  </si>
  <si>
    <t>Amomyrtus luma</t>
  </si>
  <si>
    <t>Amomyrtus.meli</t>
  </si>
  <si>
    <t>Amomyrtus meli</t>
  </si>
  <si>
    <t>Amorpha.fruticosa</t>
  </si>
  <si>
    <t>Amorpha fruticosa</t>
  </si>
  <si>
    <t>Amorpha.canescens</t>
  </si>
  <si>
    <t>Amorpha canescens</t>
  </si>
  <si>
    <t>Ampelopsis.brevipedunculata</t>
  </si>
  <si>
    <t>Ampelopsis brevipedunculata</t>
  </si>
  <si>
    <t>Ampelopsis glandulosa var. brevipedunculata</t>
  </si>
  <si>
    <t>Amphicarpa.pitcheri</t>
  </si>
  <si>
    <t>Amphicarpaea bracteata</t>
  </si>
  <si>
    <t>Amphicarpaea.bracteata</t>
  </si>
  <si>
    <t>Anacyclus.radiatus</t>
  </si>
  <si>
    <t>Anacyclus radiatus</t>
  </si>
  <si>
    <t>Porophyllum ruderale subsp. macrocephalum</t>
  </si>
  <si>
    <t>Anagallis.alternifolia</t>
  </si>
  <si>
    <t>Lysimachia lanceola</t>
  </si>
  <si>
    <t>Lysimachia amoena</t>
  </si>
  <si>
    <t>Anagallis.arvensis</t>
  </si>
  <si>
    <t>Lysimachia arvensis subsp. arvensis</t>
  </si>
  <si>
    <t>Lysimachia arvensis</t>
  </si>
  <si>
    <t>Anaphalis.margaritacea</t>
  </si>
  <si>
    <t>Anaphalis margaritacea</t>
  </si>
  <si>
    <t>Anarthrophyllum.gayanum</t>
  </si>
  <si>
    <t>Anarthrophyllum gayanum</t>
  </si>
  <si>
    <t>Anarthrophyllum.cumingii</t>
  </si>
  <si>
    <t>Anarthrophyllum cumingii</t>
  </si>
  <si>
    <t>Anchusa.variegata</t>
  </si>
  <si>
    <t>Anchusella variegata</t>
  </si>
  <si>
    <t>Anchusa variegata</t>
  </si>
  <si>
    <t>Anchusa.undulata</t>
  </si>
  <si>
    <t>Anchusa undulata</t>
  </si>
  <si>
    <t>Andromeda.glaucophylla</t>
  </si>
  <si>
    <t>Andromeda polifolia var. latifolia</t>
  </si>
  <si>
    <t>Andromeda polifolia</t>
  </si>
  <si>
    <t>Andryala.pinnatifida</t>
  </si>
  <si>
    <t>Andryala pinnatifida</t>
  </si>
  <si>
    <t>Anemone.flaccida</t>
  </si>
  <si>
    <t>Anemonastrum flaccidum</t>
  </si>
  <si>
    <t>Anemone.coronaria</t>
  </si>
  <si>
    <t>Anemone coronaria</t>
  </si>
  <si>
    <t>Anemone.pavonina</t>
  </si>
  <si>
    <t>Anemone pavonina</t>
  </si>
  <si>
    <t>Anemone hortensis subsp. pavonina</t>
  </si>
  <si>
    <t>Anemone hortensis</t>
  </si>
  <si>
    <t>Los tres nombres aceptados son diferentes</t>
  </si>
  <si>
    <t>Anemonella.thalictroides</t>
  </si>
  <si>
    <t>Thalictrum thalictroides</t>
  </si>
  <si>
    <t>Anemonella thalictroides</t>
  </si>
  <si>
    <t>Anethum.graveolens</t>
  </si>
  <si>
    <t>Anethum graveolens</t>
  </si>
  <si>
    <t>Angelica.longeradiata</t>
  </si>
  <si>
    <t>Angelica longeradiata</t>
  </si>
  <si>
    <t>Angelica.sylvestris</t>
  </si>
  <si>
    <t>Angelica sylvestris</t>
  </si>
  <si>
    <t>Angelica.pubescens</t>
  </si>
  <si>
    <t>Angelica pubescens</t>
  </si>
  <si>
    <t>Angelica.archangelica</t>
  </si>
  <si>
    <t>Angelica archangelica</t>
  </si>
  <si>
    <t>Angelica.polymorpha</t>
  </si>
  <si>
    <t>Angelica polymorpha</t>
  </si>
  <si>
    <t>Angelica.cartilagino-marginata</t>
  </si>
  <si>
    <t>Angelica cartilaginomarginata</t>
  </si>
  <si>
    <t>Anisotome.flexuosus</t>
  </si>
  <si>
    <t>Anisotome flexuosa</t>
  </si>
  <si>
    <t>Anisotome.aromatica</t>
  </si>
  <si>
    <t>Anisotome aromatica</t>
  </si>
  <si>
    <t>Antennaria.plantaginifolia</t>
  </si>
  <si>
    <t>Antennaria plantaginifolia</t>
  </si>
  <si>
    <t>Antennaria.alpina</t>
  </si>
  <si>
    <t>Antennaria alpina</t>
  </si>
  <si>
    <t>Antenoron.filiforme</t>
  </si>
  <si>
    <t>Persicaria filiformis</t>
  </si>
  <si>
    <t>Coinciden GBIF y rWCVP; WFO sin resultado</t>
  </si>
  <si>
    <t>Anthemis.cotula</t>
  </si>
  <si>
    <t>Anthemis cotula</t>
  </si>
  <si>
    <t>Anthriscus.sylvestris</t>
  </si>
  <si>
    <t>Anthriscus sylvestris</t>
  </si>
  <si>
    <t>Anthyllis.hermanniae</t>
  </si>
  <si>
    <t>Anthyllis hermanniae</t>
  </si>
  <si>
    <t>Antidesma.joponicum</t>
  </si>
  <si>
    <t>Antidesma japonicum</t>
  </si>
  <si>
    <t>Antidesma.madagascariense</t>
  </si>
  <si>
    <t>Antidesma madagascariense</t>
  </si>
  <si>
    <t>Antirhea.borbonica</t>
  </si>
  <si>
    <t>Antirhea borbonica</t>
  </si>
  <si>
    <t>Aphloia.theiformis</t>
  </si>
  <si>
    <t>Aphloia theiformis</t>
  </si>
  <si>
    <t>Apios.tuberosa</t>
  </si>
  <si>
    <t>Apios americana</t>
  </si>
  <si>
    <t>Apocynum.androsaemifolium</t>
  </si>
  <si>
    <t>Apocynum androsaemifolium</t>
  </si>
  <si>
    <t>Apocynum.cannabinum</t>
  </si>
  <si>
    <t>Apocynum cannabinum</t>
  </si>
  <si>
    <t>Apodanthera.sagitifolia</t>
  </si>
  <si>
    <t>Apodanthera sagittifolia</t>
  </si>
  <si>
    <t>Appolonias.barbujana</t>
  </si>
  <si>
    <t>Persea barbujana</t>
  </si>
  <si>
    <t>Aquilegia.canadensis</t>
  </si>
  <si>
    <t>Aquilegia canadensis</t>
  </si>
  <si>
    <t>Aquilegia.buergeriana</t>
  </si>
  <si>
    <t>Aquilegia buergeriana</t>
  </si>
  <si>
    <t>Aquilegia.coerulea</t>
  </si>
  <si>
    <t>Aquilegia coerulea</t>
  </si>
  <si>
    <t>Aquilegia.brevistyla</t>
  </si>
  <si>
    <t>Aquilegia brevistyla</t>
  </si>
  <si>
    <t>Arabis.dentata</t>
  </si>
  <si>
    <t>Borodinia dentata</t>
  </si>
  <si>
    <t>Arabis.alpina</t>
  </si>
  <si>
    <t>Arabis alpina</t>
  </si>
  <si>
    <t>Arabis.lyrata.kamtschatica</t>
  </si>
  <si>
    <t>Arabidopsis lyrata subsp. kamchatica</t>
  </si>
  <si>
    <t>Arabidopsis lyrata subsp. lyrata</t>
  </si>
  <si>
    <t>Arabis.laevigata</t>
  </si>
  <si>
    <t>Arabis laevigata</t>
  </si>
  <si>
    <t>Borodinia laevigata</t>
  </si>
  <si>
    <t>Arabis.virginica</t>
  </si>
  <si>
    <t>Arabis virginica</t>
  </si>
  <si>
    <t>Planodes virginicum</t>
  </si>
  <si>
    <t>Arabis.glabra</t>
  </si>
  <si>
    <t>Turritis glabra</t>
  </si>
  <si>
    <t>Arabis.hirsuta</t>
  </si>
  <si>
    <t>Arabis hirsuta</t>
  </si>
  <si>
    <t>Aragalus.lamberti</t>
  </si>
  <si>
    <t>Oxytropis lambertii</t>
  </si>
  <si>
    <t>Aralia.nudicaulis</t>
  </si>
  <si>
    <t>Aralia nudicaulis</t>
  </si>
  <si>
    <t>Aralia.cordata</t>
  </si>
  <si>
    <t>Aralia cordata</t>
  </si>
  <si>
    <t>Aralta.elata</t>
  </si>
  <si>
    <t>Aralia elata</t>
  </si>
  <si>
    <t>Arctium.minus</t>
  </si>
  <si>
    <t>Arctium minus</t>
  </si>
  <si>
    <t>Arctostaphylus.uva-ursi</t>
  </si>
  <si>
    <t>Arctostaphylos uva-ursi</t>
  </si>
  <si>
    <t>Ardisia.pusilla</t>
  </si>
  <si>
    <t>Ardisia pusilla</t>
  </si>
  <si>
    <t>Ardisia.sieboldii</t>
  </si>
  <si>
    <t>Ardisia sieboldii</t>
  </si>
  <si>
    <t>Ardisia.quinquegona</t>
  </si>
  <si>
    <t>Ardisia quinquegona</t>
  </si>
  <si>
    <t>Arenaria.pseudofrigida</t>
  </si>
  <si>
    <t>Arenaria pseudofrigida</t>
  </si>
  <si>
    <t>Argusia.argentea</t>
  </si>
  <si>
    <t>Heliotropium velutinum</t>
  </si>
  <si>
    <t>Heliotropium arboreum</t>
  </si>
  <si>
    <t>Argyranthemum.broussonetti</t>
  </si>
  <si>
    <t>Argyranthemum broussonetii</t>
  </si>
  <si>
    <t>Argyranthemum.frutescens</t>
  </si>
  <si>
    <t>Argyranthemum frutescens</t>
  </si>
  <si>
    <t>Argyranthemum.teneriffae</t>
  </si>
  <si>
    <t>Argyranthemum tenerifae</t>
  </si>
  <si>
    <t>Argythamnia.candicans</t>
  </si>
  <si>
    <t>Argythamnia candicans</t>
  </si>
  <si>
    <t>Arisaema.triphyllum</t>
  </si>
  <si>
    <t>Arisaema triphyllum</t>
  </si>
  <si>
    <t>Arisaema.japonicum</t>
  </si>
  <si>
    <t>Arisaema japonicum</t>
  </si>
  <si>
    <t>Arisarum.vulgare</t>
  </si>
  <si>
    <t>Arisarum vulgare</t>
  </si>
  <si>
    <t>Aristolochia.tomentosa</t>
  </si>
  <si>
    <t>Isotrema tomentosum</t>
  </si>
  <si>
    <t>Aristolochia tomentosa</t>
  </si>
  <si>
    <t>Aristotelia.chilensis</t>
  </si>
  <si>
    <t>Aristotelia chilensis</t>
  </si>
  <si>
    <t>Arjona.patagonica</t>
  </si>
  <si>
    <t>Arjona patagonica</t>
  </si>
  <si>
    <t>Arjona.tuberosa</t>
  </si>
  <si>
    <t>Arjona tuberosa</t>
  </si>
  <si>
    <t>Armeria.scabra</t>
  </si>
  <si>
    <t>Armeria scabra</t>
  </si>
  <si>
    <t>Armeria curvifolia</t>
  </si>
  <si>
    <t>Armeria.velutina</t>
  </si>
  <si>
    <t>Armeria velutina</t>
  </si>
  <si>
    <t>Arnica.sp1.M.PL.014</t>
  </si>
  <si>
    <t>Arnica.angustifolia</t>
  </si>
  <si>
    <t>Arnica angustifolia</t>
  </si>
  <si>
    <t>Arnica.alpina</t>
  </si>
  <si>
    <t>Arnica montana</t>
  </si>
  <si>
    <t>Aronia.melanocarpa</t>
  </si>
  <si>
    <t>Aronia melanocarpa</t>
  </si>
  <si>
    <t>Aruncus.dioicus</t>
  </si>
  <si>
    <t>Aruncus dioicus</t>
  </si>
  <si>
    <t>Aruncus.sylvester</t>
  </si>
  <si>
    <t>Aruncus sylvester</t>
  </si>
  <si>
    <t>Ascerates.floridana</t>
  </si>
  <si>
    <t>Asclepias longifolia</t>
  </si>
  <si>
    <t>Ascerates.viridiflora</t>
  </si>
  <si>
    <t>Asclepias viridiflora</t>
  </si>
  <si>
    <t>Asclepias.speciosa</t>
  </si>
  <si>
    <t>Asclepias speciosa</t>
  </si>
  <si>
    <t>Asclepias.syriaca</t>
  </si>
  <si>
    <t>Asclepias syriaca</t>
  </si>
  <si>
    <t>Asclepias.woodii</t>
  </si>
  <si>
    <t>Asclepias woodii</t>
  </si>
  <si>
    <t>Asclepias.sullivantii</t>
  </si>
  <si>
    <t>Asclepias sullivantii</t>
  </si>
  <si>
    <t>Asclepias.incarnata</t>
  </si>
  <si>
    <t>Asclepias incarnata</t>
  </si>
  <si>
    <t>Asclepias.verticillata</t>
  </si>
  <si>
    <t>Asclepias verticillata</t>
  </si>
  <si>
    <t>Asclepias.cucullata</t>
  </si>
  <si>
    <t>Asclepias cucullata</t>
  </si>
  <si>
    <t>Asclepias.purpurascens</t>
  </si>
  <si>
    <t>Asclepias purpurascens</t>
  </si>
  <si>
    <t>Asclepias.halli</t>
  </si>
  <si>
    <t>Asclepias hallii</t>
  </si>
  <si>
    <t>Asclepias.tuberosa</t>
  </si>
  <si>
    <t>Asclepias tuberosa</t>
  </si>
  <si>
    <t>Ascleptas.curassavica</t>
  </si>
  <si>
    <t>Asclepias curassavica</t>
  </si>
  <si>
    <t>Asiminia.triloba</t>
  </si>
  <si>
    <t>Asimina triloba</t>
  </si>
  <si>
    <t>Asparagus.officinalis</t>
  </si>
  <si>
    <t>Asparagus officinalis</t>
  </si>
  <si>
    <t>Asparagus.aphyllus</t>
  </si>
  <si>
    <t>Asparagus aphyllus</t>
  </si>
  <si>
    <t>Asparagus.acutifolius</t>
  </si>
  <si>
    <t>Asparagus acutifolius</t>
  </si>
  <si>
    <t>Asparagus.schoberioides</t>
  </si>
  <si>
    <t>Asparagus schoberioides</t>
  </si>
  <si>
    <t>Asperula.gunnii</t>
  </si>
  <si>
    <t>Asperula gunnii</t>
  </si>
  <si>
    <t>Asphodelus.aestivus</t>
  </si>
  <si>
    <t>Asphodelus aestivus</t>
  </si>
  <si>
    <t>Aspidonepsis.diploglossa</t>
  </si>
  <si>
    <t>Aspidonepsis diploglossa</t>
  </si>
  <si>
    <t>Aster.ageratoides</t>
  </si>
  <si>
    <t>Aster ageratoides</t>
  </si>
  <si>
    <t>Aster.foliaceus</t>
  </si>
  <si>
    <t>Symphyotrichum foliaceum</t>
  </si>
  <si>
    <t>Aster.glehni</t>
  </si>
  <si>
    <t>Kitamuria glehnii</t>
  </si>
  <si>
    <t>Aster glehnii</t>
  </si>
  <si>
    <t>Aster.paniculatus</t>
  </si>
  <si>
    <t>Aster paniculatus</t>
  </si>
  <si>
    <t>Aster.scaber</t>
  </si>
  <si>
    <t>Aster scaber</t>
  </si>
  <si>
    <t>Aster.novaeangliae</t>
  </si>
  <si>
    <t>Symphyotrichum novae-angliae</t>
  </si>
  <si>
    <t>Aster.ericoides.villosus</t>
  </si>
  <si>
    <t>Symphyotrichum pilosum</t>
  </si>
  <si>
    <t>Symphyotrichum pilosum var. pilosum</t>
  </si>
  <si>
    <t>Coinciden GBIF y WFO; rWCVP es diferente</t>
  </si>
  <si>
    <t>Aster.multiflorus</t>
  </si>
  <si>
    <t>Aster multiflorus</t>
  </si>
  <si>
    <t>Aster.sagittifolius</t>
  </si>
  <si>
    <t>Symphyotrichum undulatum</t>
  </si>
  <si>
    <t>Aster.salicifolius</t>
  </si>
  <si>
    <t>Aster salicifolius</t>
  </si>
  <si>
    <t>Aster.ageratoides.ovatus</t>
  </si>
  <si>
    <t>Aster microcephalus var. ovatus</t>
  </si>
  <si>
    <t>Aster.ageratoides.amplexifolius</t>
  </si>
  <si>
    <t>Aster satsumensis</t>
  </si>
  <si>
    <t>Aster ageratoides var. ageratoides</t>
  </si>
  <si>
    <t>Aster.turbinellus</t>
  </si>
  <si>
    <t>Symphyotrichum turbinellum</t>
  </si>
  <si>
    <t>Aster.anomalus</t>
  </si>
  <si>
    <t>Symphyotrichum anomalum</t>
  </si>
  <si>
    <t>Aster.lateriflorus</t>
  </si>
  <si>
    <t>Symphyotrichum lateriflorum</t>
  </si>
  <si>
    <t>Aster.subulatus</t>
  </si>
  <si>
    <t>Aster subulatus</t>
  </si>
  <si>
    <t>Aster.asa-grayi</t>
  </si>
  <si>
    <t>Heteropappus ciliosus</t>
  </si>
  <si>
    <t>Aster asagrayi</t>
  </si>
  <si>
    <t>Aster asa-grayi</t>
  </si>
  <si>
    <t>Asteranthera.ovata</t>
  </si>
  <si>
    <t>Asteranthera ovata</t>
  </si>
  <si>
    <t>Asteriscium.aemocarpon</t>
  </si>
  <si>
    <t>Asteriscium aemocarpon</t>
  </si>
  <si>
    <t>Astilbe.thunbergii</t>
  </si>
  <si>
    <t>Astilbe thunbergii</t>
  </si>
  <si>
    <t>Astragalus.canadensis</t>
  </si>
  <si>
    <t>Astragalus canadensis</t>
  </si>
  <si>
    <t>Astragalus.nivicola</t>
  </si>
  <si>
    <t>Astragalus nivicola</t>
  </si>
  <si>
    <t>Astragalus.sinicus</t>
  </si>
  <si>
    <t>Astragalus sinicus</t>
  </si>
  <si>
    <t>Astragalus.drummondi</t>
  </si>
  <si>
    <t>Astragalus drummondii</t>
  </si>
  <si>
    <t>Astragalus.mexicanus</t>
  </si>
  <si>
    <t>Astragalus crassicarpus var. berlandieri</t>
  </si>
  <si>
    <t>Astragalus.monspessulanus</t>
  </si>
  <si>
    <t>Astragalus monspessulanus</t>
  </si>
  <si>
    <t>Astragalus.cruckshanksii</t>
  </si>
  <si>
    <t>Astragalus cruckshanksii</t>
  </si>
  <si>
    <t>Astragalus.sp</t>
  </si>
  <si>
    <t>Astragalus asper</t>
  </si>
  <si>
    <t>Astragalus.alpinus</t>
  </si>
  <si>
    <t>Astragalus alpinus</t>
  </si>
  <si>
    <t>Astragalus.curvicaulis</t>
  </si>
  <si>
    <t>Astragalus curvicaulis</t>
  </si>
  <si>
    <t>Aucuba.japonica</t>
  </si>
  <si>
    <t>Aucuba japonica</t>
  </si>
  <si>
    <t>Avicennia.germinans</t>
  </si>
  <si>
    <t>Avicennia germinans</t>
  </si>
  <si>
    <t>Azorella.madreporica</t>
  </si>
  <si>
    <t>Azorella madreporica</t>
  </si>
  <si>
    <t>Azorella.monantha</t>
  </si>
  <si>
    <t>Azorella monantha</t>
  </si>
  <si>
    <t>Azorina.vidalii</t>
  </si>
  <si>
    <t>Campanula vidalii</t>
  </si>
  <si>
    <t>Azorina vidalii</t>
  </si>
  <si>
    <t>Baccharis.articulata</t>
  </si>
  <si>
    <t>Baccharis articulata</t>
  </si>
  <si>
    <t>Baccharis.tandilensis</t>
  </si>
  <si>
    <t>Baccharis dracunculifolia subsp. tandilensis</t>
  </si>
  <si>
    <t>Baccharis dracunculifolia</t>
  </si>
  <si>
    <t>Baccharis.coridifolia</t>
  </si>
  <si>
    <t>Baccharis coridifolia</t>
  </si>
  <si>
    <t>Baccharis.pingraea</t>
  </si>
  <si>
    <t>Baccharis glutinosa var. glutinosa</t>
  </si>
  <si>
    <t>Baccharis glutinosa</t>
  </si>
  <si>
    <t>Baccharis.trimera</t>
  </si>
  <si>
    <t>Baccharis trimera</t>
  </si>
  <si>
    <t>Baccharis genistelloides subsp. crispa</t>
  </si>
  <si>
    <t>Bacopa.monniera</t>
  </si>
  <si>
    <t>Bacopa monniera</t>
  </si>
  <si>
    <t>Bacopa monnieri</t>
  </si>
  <si>
    <t>Badula.platiphylla</t>
  </si>
  <si>
    <t>Badula platyphylla</t>
  </si>
  <si>
    <t>Badula.insularis</t>
  </si>
  <si>
    <t>Badula insularis</t>
  </si>
  <si>
    <t>Baeckia.gunniana</t>
  </si>
  <si>
    <t>Baeckea gunniana</t>
  </si>
  <si>
    <t>Bakerella.hoyifolia</t>
  </si>
  <si>
    <t>Bakerella hoyifolia</t>
  </si>
  <si>
    <t>Ballota.acetabulosa</t>
  </si>
  <si>
    <t>Pseudodictamnus acetabulosus</t>
  </si>
  <si>
    <t>Banisteriopsis.muricata</t>
  </si>
  <si>
    <t>Banisteriopsis muricata</t>
  </si>
  <si>
    <t>Banisteriopsis.schizoptera</t>
  </si>
  <si>
    <t>Banisteriopsis schizoptera</t>
  </si>
  <si>
    <t>Banisteriopsis.stellaris</t>
  </si>
  <si>
    <t>Banisteriopsis stellaris</t>
  </si>
  <si>
    <t>Baptisia.bracteata</t>
  </si>
  <si>
    <t>Baptisia bracteata</t>
  </si>
  <si>
    <t>Baptisia.leucantha</t>
  </si>
  <si>
    <t>Baptisia alba var. macrophylla</t>
  </si>
  <si>
    <t>Baptisia lactea var. lactea</t>
  </si>
  <si>
    <t>Barneoudia.chilensis</t>
  </si>
  <si>
    <t>Knowltonia chilensis</t>
  </si>
  <si>
    <t>Barneoudia.major</t>
  </si>
  <si>
    <t>Knowltonia major</t>
  </si>
  <si>
    <t>Barringtonia.racemosa</t>
  </si>
  <si>
    <t>Barringtonia racemosa</t>
  </si>
  <si>
    <t>Bartsia.alpina</t>
  </si>
  <si>
    <t>Bartsia alpina</t>
  </si>
  <si>
    <t>Bastardia.viscosa</t>
  </si>
  <si>
    <t>Abutilon viscosum</t>
  </si>
  <si>
    <t>Bauhinia.divaricata</t>
  </si>
  <si>
    <t>Bauhinia divaricata</t>
  </si>
  <si>
    <t>Bauhinia.japonica</t>
  </si>
  <si>
    <t>Phanera japonica</t>
  </si>
  <si>
    <t>Befaria.glauca</t>
  </si>
  <si>
    <t>Bejaria aestuans</t>
  </si>
  <si>
    <t>Oenanthe benghalensis</t>
  </si>
  <si>
    <t>Belamcanda.chinensis</t>
  </si>
  <si>
    <t>Iris domestica</t>
  </si>
  <si>
    <t>Bellardia.trixago</t>
  </si>
  <si>
    <t>Bellardia trixago</t>
  </si>
  <si>
    <t>Bellis.annua</t>
  </si>
  <si>
    <t>Bellis annua</t>
  </si>
  <si>
    <t>Benthamida.kousa</t>
  </si>
  <si>
    <t>Cornus kousa</t>
  </si>
  <si>
    <t>Berberis.darwinii</t>
  </si>
  <si>
    <t>Berberis darwinii</t>
  </si>
  <si>
    <t>Berberis.thunbergii</t>
  </si>
  <si>
    <t>Berberis thunbergii</t>
  </si>
  <si>
    <t>Berberis.empetrifolia</t>
  </si>
  <si>
    <t>Berberis empetrifolia</t>
  </si>
  <si>
    <t>Berberis.montana</t>
  </si>
  <si>
    <t>Berberis montana</t>
  </si>
  <si>
    <t>Berberis.buxifolia</t>
  </si>
  <si>
    <t>Berberis microphylla</t>
  </si>
  <si>
    <t>Bertiera.zaluzania.</t>
  </si>
  <si>
    <t>Bertiera zaluzania</t>
  </si>
  <si>
    <t>Bertiera.zaluzania</t>
  </si>
  <si>
    <t>Besella.rubra</t>
  </si>
  <si>
    <t>Basella alba</t>
  </si>
  <si>
    <t>Besmoscelis.villosa</t>
  </si>
  <si>
    <t>Desmoscelis villosa</t>
  </si>
  <si>
    <t>Beta.vulgaris</t>
  </si>
  <si>
    <t>Beta vulgaris</t>
  </si>
  <si>
    <t>Beta.maritima</t>
  </si>
  <si>
    <t>Beta maritima</t>
  </si>
  <si>
    <t>Beta vulgaris subsp. vulgaris</t>
  </si>
  <si>
    <t>Bidens.pilosa</t>
  </si>
  <si>
    <t>Bidens pilosa</t>
  </si>
  <si>
    <t>Bidens.aristosa</t>
  </si>
  <si>
    <t>Bidens aristosa</t>
  </si>
  <si>
    <t>Bidens.laevis</t>
  </si>
  <si>
    <t>Bidens laevis</t>
  </si>
  <si>
    <t>Bidens.frondosa</t>
  </si>
  <si>
    <t>Bidens frondosa</t>
  </si>
  <si>
    <t>Bidens.connata</t>
  </si>
  <si>
    <t>Bidens connata</t>
  </si>
  <si>
    <t>Bidens.bipinnata</t>
  </si>
  <si>
    <t>Bidens bipinnata</t>
  </si>
  <si>
    <t>Billbergia.amoena</t>
  </si>
  <si>
    <t>Billbergia amoena</t>
  </si>
  <si>
    <t>Biscutella.didyma</t>
  </si>
  <si>
    <t>Biscutella didyma</t>
  </si>
  <si>
    <t>Bistorta.tenuicaulis</t>
  </si>
  <si>
    <t>Bistorta tenuicaulis</t>
  </si>
  <si>
    <t>Bituminaria.bituminosa</t>
  </si>
  <si>
    <t>Bituminaria bituminosa</t>
  </si>
  <si>
    <t>Blakea.trinervia</t>
  </si>
  <si>
    <t>Blakea trinervia</t>
  </si>
  <si>
    <t>Blastus.cochinchinensis</t>
  </si>
  <si>
    <t>Blastus cochinchinensis</t>
  </si>
  <si>
    <t>Blechum.pyramidatum</t>
  </si>
  <si>
    <t>Ruellia blechum</t>
  </si>
  <si>
    <t>Blephilia.hirsuta</t>
  </si>
  <si>
    <t>Blephilia hirsuta</t>
  </si>
  <si>
    <t>Blephilia.ciliata</t>
  </si>
  <si>
    <t>Blephilia ciliata</t>
  </si>
  <si>
    <t>Blumenbachia.insignis</t>
  </si>
  <si>
    <t>Blumenbachia insignis</t>
  </si>
  <si>
    <t>Boltonia.asteroides</t>
  </si>
  <si>
    <t>Boltonia asteroides</t>
  </si>
  <si>
    <t>Bonnetia.sessilis</t>
  </si>
  <si>
    <t>Bonnetia sessilis</t>
  </si>
  <si>
    <t>Borreria.laevis</t>
  </si>
  <si>
    <t>Spermacoce tenuior</t>
  </si>
  <si>
    <t>Borreria.capitata</t>
  </si>
  <si>
    <t>Spermacoce capitata</t>
  </si>
  <si>
    <t>Bougainvillea.sp1.M.PL.026</t>
  </si>
  <si>
    <t>Bourreria.succulenta</t>
  </si>
  <si>
    <t>Bourreria succulenta</t>
  </si>
  <si>
    <t>Bowlesia.tropaeolifolia</t>
  </si>
  <si>
    <t>Bowlesia tropaeolifolia</t>
  </si>
  <si>
    <t>Brachycome.stolonifera</t>
  </si>
  <si>
    <t>Brachyscome stolonifera</t>
  </si>
  <si>
    <t>Brachycome.scapigera</t>
  </si>
  <si>
    <t>Brachyscome scapigera</t>
  </si>
  <si>
    <t>Brachycome.scapiformis</t>
  </si>
  <si>
    <t>Brachyscome tenuiscapa var. tenuiscapa</t>
  </si>
  <si>
    <t>Brachyscome scapiformis</t>
  </si>
  <si>
    <t>Brachycome.sinlcairii</t>
  </si>
  <si>
    <t>Brachyscome sinclairii</t>
  </si>
  <si>
    <t>Brachycome.sp1.M.PL.019</t>
  </si>
  <si>
    <t>Brassica.campestris</t>
  </si>
  <si>
    <t>Brassica campestris</t>
  </si>
  <si>
    <t>Brassica rapa</t>
  </si>
  <si>
    <t>Brassica rapa subsp. oleifera</t>
  </si>
  <si>
    <t>Brassica.fruticulosa</t>
  </si>
  <si>
    <t>Brassica fruticulosa</t>
  </si>
  <si>
    <t>Brauneria.purpurea</t>
  </si>
  <si>
    <t>Echinacea purpurea</t>
  </si>
  <si>
    <t>Brauneria.pallida</t>
  </si>
  <si>
    <t>Echinacea pallida</t>
  </si>
  <si>
    <t>Braya.sp1.M.PL.014</t>
  </si>
  <si>
    <t>Bredia.hirsuta</t>
  </si>
  <si>
    <t>Bredia hirsuta</t>
  </si>
  <si>
    <t>Brocchinia.acuminata</t>
  </si>
  <si>
    <t>Brocchinia acuminata</t>
  </si>
  <si>
    <t>Broughtonia.sanguinea</t>
  </si>
  <si>
    <t>Broughtonia sanguinea</t>
  </si>
  <si>
    <t>Buddleia.davidii</t>
  </si>
  <si>
    <t>Buddleja davidii</t>
  </si>
  <si>
    <t>Bunchosia.media</t>
  </si>
  <si>
    <t>Bunchosia glandulosa</t>
  </si>
  <si>
    <t>Bursera.graveolens</t>
  </si>
  <si>
    <t>Bursera graveolens</t>
  </si>
  <si>
    <t>Bursera.simaruba.</t>
  </si>
  <si>
    <t>Bursera simaruba</t>
  </si>
  <si>
    <t>Byrsonia.coriacea</t>
  </si>
  <si>
    <t>Byrsonima crassifolia</t>
  </si>
  <si>
    <t>Byrsonima.spicata</t>
  </si>
  <si>
    <t>Byrsonima spicata</t>
  </si>
  <si>
    <t>Byrsonima.gardnerana</t>
  </si>
  <si>
    <t>Byrsonima gardneriana</t>
  </si>
  <si>
    <t>Byrsonima.sp1.M.PL.040</t>
  </si>
  <si>
    <t>Cacabus.miersii</t>
  </si>
  <si>
    <t>Exodeconus miersii</t>
  </si>
  <si>
    <t>Cacalia.adenostyloides</t>
  </si>
  <si>
    <t>Cacalia adenostyloides</t>
  </si>
  <si>
    <t>Parasenecio adenostyloides</t>
  </si>
  <si>
    <t>Cacalia.delphiniifolia</t>
  </si>
  <si>
    <t>Japonicalia delphiniifolia</t>
  </si>
  <si>
    <t>Parasenecio delphiniifolius</t>
  </si>
  <si>
    <t>Cacalia.atriplicifolia</t>
  </si>
  <si>
    <t>Arnoglossum atriplicifolium</t>
  </si>
  <si>
    <t>Cacalia.reniformis</t>
  </si>
  <si>
    <t>Cacalia reniformis</t>
  </si>
  <si>
    <t>Cacalia.tuberosa</t>
  </si>
  <si>
    <t>Cacalia tuberosa</t>
  </si>
  <si>
    <t>Cacalia.hastata.farfaraefolia</t>
  </si>
  <si>
    <t>Cacalia hastata subsp. farfaraefolia</t>
  </si>
  <si>
    <t>Parasenecio hastatus var. hastatus</t>
  </si>
  <si>
    <t>Parasenecio hastatus</t>
  </si>
  <si>
    <t>Caesalpinia.pulcherrima</t>
  </si>
  <si>
    <t>Caesalpinia pulcherrima</t>
  </si>
  <si>
    <t>Caiophora.coronata</t>
  </si>
  <si>
    <t>Caiophora coronata</t>
  </si>
  <si>
    <t>Calamagrostis.arundinacea</t>
  </si>
  <si>
    <t>Calamagrostis arundinacea</t>
  </si>
  <si>
    <t>Calandrinia.uspallatensis</t>
  </si>
  <si>
    <t>Montiopsis potentilloides</t>
  </si>
  <si>
    <t>Calandrinia.affinis</t>
  </si>
  <si>
    <t>Calandrinia affinis</t>
  </si>
  <si>
    <t>Calandrinia.picta</t>
  </si>
  <si>
    <t>Cistanthe picta</t>
  </si>
  <si>
    <t>Calandrinia.dianthoides</t>
  </si>
  <si>
    <t>Montiopsis cistiflora</t>
  </si>
  <si>
    <t>Calandrinia.occulta</t>
  </si>
  <si>
    <t>Calandrinia compacta</t>
  </si>
  <si>
    <t>Calandrinia.sericea</t>
  </si>
  <si>
    <t>Calandrinia.caespitosa</t>
  </si>
  <si>
    <t>Calandrinia caespitosa</t>
  </si>
  <si>
    <t>Calceolaria.sp</t>
  </si>
  <si>
    <t>Calceolaria.montana</t>
  </si>
  <si>
    <t>Calceolaria corymbosa subsp. montana</t>
  </si>
  <si>
    <t>Calceolaria mollissima</t>
  </si>
  <si>
    <t>Calceolaria.biflora</t>
  </si>
  <si>
    <t>Calceolaria biflora</t>
  </si>
  <si>
    <t>Calceolaria.crenatiflora</t>
  </si>
  <si>
    <t>Calceolaria crenatiflora</t>
  </si>
  <si>
    <t>Calceolaria.arachnoides</t>
  </si>
  <si>
    <t>Calceolaria arachnoides</t>
  </si>
  <si>
    <t>Calceolaria arachnoidea</t>
  </si>
  <si>
    <t>Caldcluvia.paniculata</t>
  </si>
  <si>
    <t>Caldcluvia paniculata</t>
  </si>
  <si>
    <t>Calea.lucidivenia</t>
  </si>
  <si>
    <t>Calea lucidivenia</t>
  </si>
  <si>
    <t>Calendula.arvensis</t>
  </si>
  <si>
    <t>Calendula arvensis</t>
  </si>
  <si>
    <t>Calliandra.tergemina</t>
  </si>
  <si>
    <t>Calliandra tergemina</t>
  </si>
  <si>
    <t>Callicarpa.japonica</t>
  </si>
  <si>
    <t>Callicarpa japonica</t>
  </si>
  <si>
    <t>Calluna.vulgaris</t>
  </si>
  <si>
    <t>Calluna vulgaris</t>
  </si>
  <si>
    <t>Calochortus.gunnisoni</t>
  </si>
  <si>
    <t>Calochortus gunnisonii</t>
  </si>
  <si>
    <t>Calophyllum.eputamen</t>
  </si>
  <si>
    <t>Calophyllum eputamen</t>
  </si>
  <si>
    <t>Calophyllum.eputamen.var.eputamen</t>
  </si>
  <si>
    <t>Calophyllum eputamen var. eputamen</t>
  </si>
  <si>
    <t>Calopogon.pulchellus</t>
  </si>
  <si>
    <t>Calopogon tuberosus var. tuberosus</t>
  </si>
  <si>
    <t>Caltha.palustris.</t>
  </si>
  <si>
    <t>Caltha palustris</t>
  </si>
  <si>
    <t>Caltha.leptosepala</t>
  </si>
  <si>
    <t>Caltha leptosepala</t>
  </si>
  <si>
    <t>Calystegia.japonica</t>
  </si>
  <si>
    <t>Calystegia pubescens</t>
  </si>
  <si>
    <t>Calystegia.sepium</t>
  </si>
  <si>
    <t>Calystegia sepium</t>
  </si>
  <si>
    <t>Camassia.esculenta</t>
  </si>
  <si>
    <t>Camassia scilloides</t>
  </si>
  <si>
    <t>Camellia.sasanqua</t>
  </si>
  <si>
    <t>Camellia sasanqua</t>
  </si>
  <si>
    <t>Camellia.japonica</t>
  </si>
  <si>
    <t>Camellia japonica</t>
  </si>
  <si>
    <t>Campanula.punctata.</t>
  </si>
  <si>
    <t>Campanula punctata</t>
  </si>
  <si>
    <t>Campanula.drabifolia</t>
  </si>
  <si>
    <t>Campanula drabifolia</t>
  </si>
  <si>
    <t>Campanula.rotundifolia</t>
  </si>
  <si>
    <t>Campanula rotundifolia</t>
  </si>
  <si>
    <t>Campanula.americana</t>
  </si>
  <si>
    <t>Campanula americana</t>
  </si>
  <si>
    <t>Campanulastrum americanum</t>
  </si>
  <si>
    <t>Campnosperma.seychellarum</t>
  </si>
  <si>
    <t>Campnosperma seychellarum</t>
  </si>
  <si>
    <t>Campsis.radicans</t>
  </si>
  <si>
    <t>Campsis radicans</t>
  </si>
  <si>
    <t>Campsis.grandiflora</t>
  </si>
  <si>
    <t>Campsis grandiflora</t>
  </si>
  <si>
    <t>Canavalia.lineata</t>
  </si>
  <si>
    <t>Canavalia lineata</t>
  </si>
  <si>
    <t>Canistrum.triangulare</t>
  </si>
  <si>
    <t>Canistrum triangulare</t>
  </si>
  <si>
    <t>Canna.sp1.M.PL.026</t>
  </si>
  <si>
    <t>Canna.glauca</t>
  </si>
  <si>
    <t>Canna glauca</t>
  </si>
  <si>
    <t>Canthium.bibracteatum</t>
  </si>
  <si>
    <t>Pyrostria bibracteata</t>
  </si>
  <si>
    <t>Caperonia.pallustris</t>
  </si>
  <si>
    <t>Caperonia palustris</t>
  </si>
  <si>
    <t>Capnoides.aureum</t>
  </si>
  <si>
    <t>Corydalis aurea</t>
  </si>
  <si>
    <t>Capparis.ferruginea</t>
  </si>
  <si>
    <t>Morisonia ferruginea</t>
  </si>
  <si>
    <t>Capparis.ovata</t>
  </si>
  <si>
    <t>Capparis spinosa var. herbacea</t>
  </si>
  <si>
    <t>Capraria.biflora</t>
  </si>
  <si>
    <t>Capraria biflora</t>
  </si>
  <si>
    <t>Capsella.bursa-pastoris</t>
  </si>
  <si>
    <t>Capsella bursa-pastoris</t>
  </si>
  <si>
    <t>Capsicum.frutescens</t>
  </si>
  <si>
    <t>Capsicum frutescens</t>
  </si>
  <si>
    <t>Cardamine.tyrata</t>
  </si>
  <si>
    <t>Cardamine lyrata</t>
  </si>
  <si>
    <t>Cardamine.regeliana</t>
  </si>
  <si>
    <t>Cardamine regeliana</t>
  </si>
  <si>
    <t>Cardamine scutata</t>
  </si>
  <si>
    <t>Cardamine.nivalis</t>
  </si>
  <si>
    <t>Cardamine cordata</t>
  </si>
  <si>
    <t>Cardamine.angustata.angustata</t>
  </si>
  <si>
    <t>Cardamine angustata</t>
  </si>
  <si>
    <t>Cardamine.bulbosa</t>
  </si>
  <si>
    <t>Cardamine bulbosa</t>
  </si>
  <si>
    <t>Cardamine.tanakae</t>
  </si>
  <si>
    <t>Cardamine tanakae</t>
  </si>
  <si>
    <t>Cardaria.draba</t>
  </si>
  <si>
    <t>Lepidium draba</t>
  </si>
  <si>
    <t>Cardiandra.alternifolia</t>
  </si>
  <si>
    <t>Hydrangea alternifolia</t>
  </si>
  <si>
    <t>Cardiospermum.galapageium</t>
  </si>
  <si>
    <t>Cardiospermum corindum</t>
  </si>
  <si>
    <t>Carduus.pycnocephalus</t>
  </si>
  <si>
    <t>Carduus pycnocephalus</t>
  </si>
  <si>
    <t>Carduus.acanthoides</t>
  </si>
  <si>
    <t>Carduus acanthoides</t>
  </si>
  <si>
    <t>Carduus.tenuiflorus</t>
  </si>
  <si>
    <t>Carduus tenuiflorus</t>
  </si>
  <si>
    <t>Carduus.hookerianus</t>
  </si>
  <si>
    <t>Cirsium hookerianum</t>
  </si>
  <si>
    <t>Carex.curvicollis</t>
  </si>
  <si>
    <t>Carex curvicollis</t>
  </si>
  <si>
    <t>Carica.papaya</t>
  </si>
  <si>
    <t>Carica papaya</t>
  </si>
  <si>
    <t>Carmichaelia.angusta</t>
  </si>
  <si>
    <t>Carmichaelia odorata</t>
  </si>
  <si>
    <t>Carolus.chasei</t>
  </si>
  <si>
    <t>Carolus chasei</t>
  </si>
  <si>
    <t>Carpesium.divaricatum</t>
  </si>
  <si>
    <t>Carpesium divaricatum</t>
  </si>
  <si>
    <t>Carpobrotus.sp1.M.PL.058</t>
  </si>
  <si>
    <t>Caryopteris.divaricata</t>
  </si>
  <si>
    <t>Tripora divaricata</t>
  </si>
  <si>
    <t>Casearia.coriacea</t>
  </si>
  <si>
    <t>Casearia coriacea</t>
  </si>
  <si>
    <t>Cassia.sp1.M.PL.026</t>
  </si>
  <si>
    <t>Cassia.picta</t>
  </si>
  <si>
    <t>Senna pistaciifolia var. picta</t>
  </si>
  <si>
    <t>Cassia.chamaecrista</t>
  </si>
  <si>
    <t>Chamaecrista fasciculata</t>
  </si>
  <si>
    <t>Chamaecrista chamaecristoides</t>
  </si>
  <si>
    <t>Cassia.sp1.M.PL.035</t>
  </si>
  <si>
    <t>Cassia.occidentalis</t>
  </si>
  <si>
    <t>Senna occidentalis</t>
  </si>
  <si>
    <t>Cassia.marilandica</t>
  </si>
  <si>
    <t>Senna marilandica</t>
  </si>
  <si>
    <t>Cassinia.vauvilliersii</t>
  </si>
  <si>
    <t>Ozothamnus leptophyllus</t>
  </si>
  <si>
    <t>Ozothamnus vauvilliersii</t>
  </si>
  <si>
    <t>Cassinia vauvilliersii</t>
  </si>
  <si>
    <t>Cassinia.fulvida</t>
  </si>
  <si>
    <t>Cassinia fulvida</t>
  </si>
  <si>
    <t>Cassiope.hypnoides</t>
  </si>
  <si>
    <t>Harrimanella hypnoides</t>
  </si>
  <si>
    <t>Cassiope hypnoides</t>
  </si>
  <si>
    <t>Cassiope.tetragona</t>
  </si>
  <si>
    <t>Cassiope tetragona</t>
  </si>
  <si>
    <t>Castalia.tuberosa</t>
  </si>
  <si>
    <t>Nymphaea odorata subsp. tuberosa</t>
  </si>
  <si>
    <t>Castanea.crenata</t>
  </si>
  <si>
    <t>Castanea crenata</t>
  </si>
  <si>
    <t>Castanopsis.sieboldii</t>
  </si>
  <si>
    <t>Castanopsis sieboldii</t>
  </si>
  <si>
    <t>Castela.galapageia</t>
  </si>
  <si>
    <t>Castela galapageia</t>
  </si>
  <si>
    <t>Castilleia.miniata</t>
  </si>
  <si>
    <t>Castilleja miniata</t>
  </si>
  <si>
    <t>Castilleja.coccinea</t>
  </si>
  <si>
    <t>Castilleja coccinea</t>
  </si>
  <si>
    <t>Catasetum.discolor</t>
  </si>
  <si>
    <t>Catasetum discolor</t>
  </si>
  <si>
    <t>Catharanthus.roseus</t>
  </si>
  <si>
    <t>Catharanthus roseus</t>
  </si>
  <si>
    <t>Caulophyllum.thalictroides</t>
  </si>
  <si>
    <t>Caulophyllum thalictroides</t>
  </si>
  <si>
    <t>Cayratia.japonica</t>
  </si>
  <si>
    <t>Cayratia japonica</t>
  </si>
  <si>
    <t>Causonis japonica</t>
  </si>
  <si>
    <t>Ceanothus.americanus</t>
  </si>
  <si>
    <t>Ceanothus americanus</t>
  </si>
  <si>
    <t>Ceballosia.fruticosa</t>
  </si>
  <si>
    <t>Heliotropium messerschmidioides</t>
  </si>
  <si>
    <t>Cedronella.canariensis</t>
  </si>
  <si>
    <t>Cedronella canariensis</t>
  </si>
  <si>
    <t>Celastrus.scandens</t>
  </si>
  <si>
    <t>Celastrus scandens</t>
  </si>
  <si>
    <t>Celmisia.discolor</t>
  </si>
  <si>
    <t>Celmisia discolor</t>
  </si>
  <si>
    <t>Celmisia.petiolata</t>
  </si>
  <si>
    <t>Celmisia petiolata</t>
  </si>
  <si>
    <t>Celmisia.longifolia</t>
  </si>
  <si>
    <t>Celmisia longifolia</t>
  </si>
  <si>
    <t>Celmisia.coriacea</t>
  </si>
  <si>
    <t>Celmisia coriacea</t>
  </si>
  <si>
    <t>Celmisia.laricifolia</t>
  </si>
  <si>
    <t>Celmisia laricifolia</t>
  </si>
  <si>
    <t>Celmisia.gracilenta</t>
  </si>
  <si>
    <t>Celmisia gracilenta</t>
  </si>
  <si>
    <t>Celmisia.lyalii</t>
  </si>
  <si>
    <t>Celmisia lyallii</t>
  </si>
  <si>
    <t>Celmisia.spectabilis</t>
  </si>
  <si>
    <t>Celmisia spectabilis</t>
  </si>
  <si>
    <t>Celmisia.sessiliflora</t>
  </si>
  <si>
    <t>Celmisia sessiliflora</t>
  </si>
  <si>
    <t>Celmisia.armstrongii</t>
  </si>
  <si>
    <t>Celmisia armstrongii</t>
  </si>
  <si>
    <t>Centaurea.orphanidea</t>
  </si>
  <si>
    <t>Centaurea orphanidea</t>
  </si>
  <si>
    <t>Centaurea.nigra</t>
  </si>
  <si>
    <t>Centaurea nigra</t>
  </si>
  <si>
    <t>Centaurea.jacea</t>
  </si>
  <si>
    <t>Centaurea jacea</t>
  </si>
  <si>
    <t>Centaurea.raphanina</t>
  </si>
  <si>
    <t>Centaurea raphanina</t>
  </si>
  <si>
    <t>Centrosema.virginianum</t>
  </si>
  <si>
    <t>Centrosema virginianum</t>
  </si>
  <si>
    <t>Cephalantera.falcata</t>
  </si>
  <si>
    <t>Cephalanthera falcata</t>
  </si>
  <si>
    <t>Cephalanthus.occidentalis</t>
  </si>
  <si>
    <t>Cephalanthus occidentalis</t>
  </si>
  <si>
    <t>Cerastium.montioides</t>
  </si>
  <si>
    <t>Cerastium humifusum</t>
  </si>
  <si>
    <t>Cerastium montioides</t>
  </si>
  <si>
    <t>Cerastium.mollissimum</t>
  </si>
  <si>
    <t>Cerastium mollissimum</t>
  </si>
  <si>
    <t>Cerastium.alpinum</t>
  </si>
  <si>
    <t>Cerastium alpinum</t>
  </si>
  <si>
    <t>Cerastium.nutans</t>
  </si>
  <si>
    <t>Cerastium nutans</t>
  </si>
  <si>
    <t>Cerastium.arcticum</t>
  </si>
  <si>
    <t>Cerastium arcticum</t>
  </si>
  <si>
    <t>Cerastium.fontanum</t>
  </si>
  <si>
    <t>Cerastium fontanum</t>
  </si>
  <si>
    <t>Cerastium.arvense</t>
  </si>
  <si>
    <t>Cerastium arvense</t>
  </si>
  <si>
    <t>Cerastium.glomeratum</t>
  </si>
  <si>
    <t>Cerastium glomeratum</t>
  </si>
  <si>
    <t>Cerbera.manghas</t>
  </si>
  <si>
    <t>Cerbera manghas</t>
  </si>
  <si>
    <t>Cercis.siliquastrum</t>
  </si>
  <si>
    <t>Cercis siliquastrum</t>
  </si>
  <si>
    <t>Cercis.canadensis</t>
  </si>
  <si>
    <t>Cercis canadensis</t>
  </si>
  <si>
    <t>Chaerophyllum.temulentum</t>
  </si>
  <si>
    <t>Chaerophyllum temulum</t>
  </si>
  <si>
    <t>Chaerophyllum.procumbens</t>
  </si>
  <si>
    <t>Chaerophyllum procumbens</t>
  </si>
  <si>
    <t>Chaetanthera.microphylla</t>
  </si>
  <si>
    <t>Chaetanthera microphylla</t>
  </si>
  <si>
    <t>Chaetanthera.flabellata</t>
  </si>
  <si>
    <t>Chaetanthera flabellata</t>
  </si>
  <si>
    <t>Chaetanthera.pusilla</t>
  </si>
  <si>
    <t>Oriastrum pusillum</t>
  </si>
  <si>
    <t>Chaetanthera pusilla</t>
  </si>
  <si>
    <t>Chaetanthera.euphrasioides</t>
  </si>
  <si>
    <t>Chaetanthera euphrasioides</t>
  </si>
  <si>
    <t>Chaetanthera.lycopodioides</t>
  </si>
  <si>
    <t>Oriastrum lycopodioides</t>
  </si>
  <si>
    <t>Chaetanthera lycopodioides</t>
  </si>
  <si>
    <t>Chaetanthera.apiculata</t>
  </si>
  <si>
    <t>Oriastrum apiculatum</t>
  </si>
  <si>
    <t>Chaetanthera apiculata</t>
  </si>
  <si>
    <t>Chamaecrista.glandulosa</t>
  </si>
  <si>
    <t>Chamaecrista glandulosa</t>
  </si>
  <si>
    <t>Chamaedaphne.calyculata</t>
  </si>
  <si>
    <t>Chamaedaphne calyculata</t>
  </si>
  <si>
    <t>Chamaenerion.angustifolium</t>
  </si>
  <si>
    <t>Chamaenerion angustifolium</t>
  </si>
  <si>
    <t>Epilobium angustifolium</t>
  </si>
  <si>
    <t>Chamaerops.humilis</t>
  </si>
  <si>
    <t>Chamaerops humilis</t>
  </si>
  <si>
    <t>Chamerion.angustifolium</t>
  </si>
  <si>
    <t>Chamaenerion angustifolium subsp. angustifolium</t>
  </si>
  <si>
    <t>Chamomilla.recutita</t>
  </si>
  <si>
    <t>Matricaria chamomilla</t>
  </si>
  <si>
    <t>Chamomilla.suaveolens</t>
  </si>
  <si>
    <t>Matricaria discoidea</t>
  </si>
  <si>
    <t>Chassalia.petrinensis</t>
  </si>
  <si>
    <t>Chassalia petrinensis</t>
  </si>
  <si>
    <t>Chassalia.coriacea</t>
  </si>
  <si>
    <t>Chassalia coriacea</t>
  </si>
  <si>
    <t>Chassalia.coriacea.var.coriacea</t>
  </si>
  <si>
    <t>Chassalia coriacea var. coriacea</t>
  </si>
  <si>
    <t>Chelidonium.majus</t>
  </si>
  <si>
    <t>Chelidonium majus</t>
  </si>
  <si>
    <t>Chimaphila.umbellata</t>
  </si>
  <si>
    <t>Chimaphila umbellata</t>
  </si>
  <si>
    <t>Chiococa.alba</t>
  </si>
  <si>
    <t>Chiococca alba</t>
  </si>
  <si>
    <t>Chionographis.japonica</t>
  </si>
  <si>
    <t>Chamaelirium japonicum</t>
  </si>
  <si>
    <t>Chondrilla.ramosissima</t>
  </si>
  <si>
    <t>Chondrilla ramosissima</t>
  </si>
  <si>
    <t>Chondrilla.juncea</t>
  </si>
  <si>
    <t>Chondrilla juncea</t>
  </si>
  <si>
    <t>Chromolanea.sp1.M.PL.031</t>
  </si>
  <si>
    <t>Chrysanthemum.maximum</t>
  </si>
  <si>
    <t>Chrysanthemum maximum</t>
  </si>
  <si>
    <t>Leucanthemum maximum</t>
  </si>
  <si>
    <t>Chrysanthemum.coronarium</t>
  </si>
  <si>
    <t>Glebionis coronaria</t>
  </si>
  <si>
    <t>Chrysobalanus.icaco</t>
  </si>
  <si>
    <t>Chrysobalanus icaco</t>
  </si>
  <si>
    <t>Chrysopsis.villosa</t>
  </si>
  <si>
    <t>Heterotheca villosa</t>
  </si>
  <si>
    <t>Chrysopsis villosa</t>
  </si>
  <si>
    <t>Chuquiraga.oppositifolia</t>
  </si>
  <si>
    <t>Chuquiraga oppositifolia</t>
  </si>
  <si>
    <t>Cicuta.maculata</t>
  </si>
  <si>
    <t>Cicuta maculata</t>
  </si>
  <si>
    <t>Cimicifuga.acerina</t>
  </si>
  <si>
    <t>Actaea japonica</t>
  </si>
  <si>
    <t>Cimicifuga.simplex</t>
  </si>
  <si>
    <t>Actaea simplex</t>
  </si>
  <si>
    <t>Cinnamomum.doederleinii</t>
  </si>
  <si>
    <t>Cinnamomum doederleinii</t>
  </si>
  <si>
    <t>Cinnamomum.verum</t>
  </si>
  <si>
    <t>Cinnamomum verum</t>
  </si>
  <si>
    <t>Cinnamomum.camphora</t>
  </si>
  <si>
    <t>Cinnamomum camphora</t>
  </si>
  <si>
    <t>Camphora officinarum</t>
  </si>
  <si>
    <t>Circaea.lutetiana</t>
  </si>
  <si>
    <t>Circaea lutetiana</t>
  </si>
  <si>
    <t>Cirsium.vulgare</t>
  </si>
  <si>
    <t>Cirsium vulgare</t>
  </si>
  <si>
    <t>Cirsium.sieboldii</t>
  </si>
  <si>
    <t>Cirsium sieboldii</t>
  </si>
  <si>
    <t>Cirsium.arvense</t>
  </si>
  <si>
    <t>Cirsium arvense</t>
  </si>
  <si>
    <t>Cirsium.japonicum</t>
  </si>
  <si>
    <t>Cirsium japonicum</t>
  </si>
  <si>
    <t>Cirsium.palustre</t>
  </si>
  <si>
    <t>Cirsium palustre</t>
  </si>
  <si>
    <t>Cirsium.brevicaule</t>
  </si>
  <si>
    <t>Cirsium brevicaule</t>
  </si>
  <si>
    <t>Cirsium.pumilum</t>
  </si>
  <si>
    <t>Cirsium pumilum</t>
  </si>
  <si>
    <t>Cirsium.discolor</t>
  </si>
  <si>
    <t>Cirsium discolor</t>
  </si>
  <si>
    <t>Cirsium.altissimum</t>
  </si>
  <si>
    <t>Cirsium altissimum</t>
  </si>
  <si>
    <t>Cirsium.kagamontanum</t>
  </si>
  <si>
    <t>Cirsium kagamontanum</t>
  </si>
  <si>
    <t>Cirsium.nipponica</t>
  </si>
  <si>
    <t>Cirsium nipponicum</t>
  </si>
  <si>
    <t>Cirsium.pratensis</t>
  </si>
  <si>
    <t>Cirsium pratensis</t>
  </si>
  <si>
    <t>Cirsium monspessulanum subsp. monspessulanum</t>
  </si>
  <si>
    <t>Cirsium.microspicatum</t>
  </si>
  <si>
    <t>Cirsium microspicatum</t>
  </si>
  <si>
    <t>Cirsium.oleraceum</t>
  </si>
  <si>
    <t>Cirsium oleraceum</t>
  </si>
  <si>
    <t>Cirsium.suffultum</t>
  </si>
  <si>
    <t>Cirsium suffultum</t>
  </si>
  <si>
    <t>Cirsium.effusum</t>
  </si>
  <si>
    <t>Cirsium pulchellum</t>
  </si>
  <si>
    <t>Cirsium.lanceolatum</t>
  </si>
  <si>
    <t>Cirsium lanceolatum</t>
  </si>
  <si>
    <t>Cissus.sicycoides</t>
  </si>
  <si>
    <t>Cissus discolor</t>
  </si>
  <si>
    <t>Cistus.salvifolius</t>
  </si>
  <si>
    <t>Cistus salviifolius</t>
  </si>
  <si>
    <t>Cistus.libanotis</t>
  </si>
  <si>
    <t>Cistus libanotis</t>
  </si>
  <si>
    <t>Cistus.monspeliensis</t>
  </si>
  <si>
    <t>Cistus monspeliensis</t>
  </si>
  <si>
    <t>Cistus.albidus</t>
  </si>
  <si>
    <t>Cistus albidus</t>
  </si>
  <si>
    <t>Cistus.parviflorus</t>
  </si>
  <si>
    <t>Cistus parviflorus</t>
  </si>
  <si>
    <t>Citrus.tachibana</t>
  </si>
  <si>
    <t>Citrus ×tachibana</t>
  </si>
  <si>
    <t>Citrus × tachibana</t>
  </si>
  <si>
    <t>Citrus tachibana</t>
  </si>
  <si>
    <t>Cladrastis.sikokiana</t>
  </si>
  <si>
    <t>Cladrastis sikokiana</t>
  </si>
  <si>
    <t>Cladrastis shikokiana</t>
  </si>
  <si>
    <t>Claoxylon.linostachys</t>
  </si>
  <si>
    <t>Claoxylon linostachys</t>
  </si>
  <si>
    <t>Claoxylon.linostachys.ssp.brachyphyllum</t>
  </si>
  <si>
    <t>Claoxylon linostachys subsp. brachyphyllum</t>
  </si>
  <si>
    <t>Clarkia.tenella</t>
  </si>
  <si>
    <t>Clarkia tenella</t>
  </si>
  <si>
    <t>Claytonia.virginica</t>
  </si>
  <si>
    <t>Claytonia virginica</t>
  </si>
  <si>
    <t>Cleanthes.brasiliensis</t>
  </si>
  <si>
    <t>Holocheilus brasiliensis</t>
  </si>
  <si>
    <t>Clematis.terniflora</t>
  </si>
  <si>
    <t>Clematis terniflora</t>
  </si>
  <si>
    <t>Clematis.pitcheri</t>
  </si>
  <si>
    <t>Clematis pitcheri</t>
  </si>
  <si>
    <t>Clematis.virginiana</t>
  </si>
  <si>
    <t>Clematis virginiana</t>
  </si>
  <si>
    <t>Clematis.apiifolia</t>
  </si>
  <si>
    <t>Clematis apiifolia</t>
  </si>
  <si>
    <t>Clematis.grata</t>
  </si>
  <si>
    <t>Clematis grata</t>
  </si>
  <si>
    <t>Clematis.vitalba</t>
  </si>
  <si>
    <t>Clematis vitalba</t>
  </si>
  <si>
    <t>Clementsia.rhodantha</t>
  </si>
  <si>
    <t>Rhodiola rhodantha</t>
  </si>
  <si>
    <t>Sedum rhodanthum</t>
  </si>
  <si>
    <t>Cleome.serrulata</t>
  </si>
  <si>
    <t>Cleome usambarica</t>
  </si>
  <si>
    <t>Clerodendrum.trichotomum</t>
  </si>
  <si>
    <t>Clerodendrum trichotomum</t>
  </si>
  <si>
    <t>Clerodendrum.molle</t>
  </si>
  <si>
    <t>Clerodendrum villosum</t>
  </si>
  <si>
    <t>Clerodendrum.molle.glabr.</t>
  </si>
  <si>
    <t>Volkameria mollis</t>
  </si>
  <si>
    <t>Clethra.barbinervis</t>
  </si>
  <si>
    <t>Clethra barbinervis</t>
  </si>
  <si>
    <t>Clidemia.capitellata</t>
  </si>
  <si>
    <t>Miconia dependens</t>
  </si>
  <si>
    <t>Clinopodium.micranthum</t>
  </si>
  <si>
    <t>Clinopodium micranthum</t>
  </si>
  <si>
    <t>Clinopodium.chinense.grandiflorum</t>
  </si>
  <si>
    <t>Clinopodium chinense subsp. grandiflorum</t>
  </si>
  <si>
    <t>Clinopodium chinense</t>
  </si>
  <si>
    <t>Clintonia.borealis</t>
  </si>
  <si>
    <t>Clintonia borealis</t>
  </si>
  <si>
    <t>Clusia.grandiflora</t>
  </si>
  <si>
    <t>Clusia grandiflora</t>
  </si>
  <si>
    <t>Clusia.pusilla</t>
  </si>
  <si>
    <t>Clusia pusilla</t>
  </si>
  <si>
    <t>Coccoloba.sp1.M.PL.041</t>
  </si>
  <si>
    <t>Cochlearia.groenlandica</t>
  </si>
  <si>
    <t>Cochlearia groenlandica</t>
  </si>
  <si>
    <t>Codonopsis.lanceolata</t>
  </si>
  <si>
    <t>Codonopsis lanceolata</t>
  </si>
  <si>
    <t>Coffea.arabica.</t>
  </si>
  <si>
    <t>Coffea arabica</t>
  </si>
  <si>
    <t>Coffea.macrocarpa</t>
  </si>
  <si>
    <t>Coffea macrocarpa</t>
  </si>
  <si>
    <t>Coffea.mauritiana</t>
  </si>
  <si>
    <t>Coffea mauritiana</t>
  </si>
  <si>
    <t>Colea.seychellarum</t>
  </si>
  <si>
    <t>Colea seychellarum</t>
  </si>
  <si>
    <t>Colletia.paradoxa</t>
  </si>
  <si>
    <t>Colletia paradoxa</t>
  </si>
  <si>
    <t>Collinsia.verna</t>
  </si>
  <si>
    <t>Collinsia verna</t>
  </si>
  <si>
    <t>Collomia.biflora</t>
  </si>
  <si>
    <t>Collomia biflora</t>
  </si>
  <si>
    <t>Comandra.umbellata</t>
  </si>
  <si>
    <t>Comandra umbellata</t>
  </si>
  <si>
    <t>Commelina.communis</t>
  </si>
  <si>
    <t>Commelina communis</t>
  </si>
  <si>
    <t>Commelina.erecta</t>
  </si>
  <si>
    <t>Commelina erecta</t>
  </si>
  <si>
    <t>Commicarpus.tuberosus</t>
  </si>
  <si>
    <t>Commicarpus tuberosus</t>
  </si>
  <si>
    <t>Boerhavia tuberosa</t>
  </si>
  <si>
    <t>Conium.maculatum</t>
  </si>
  <si>
    <t>Conium maculatum</t>
  </si>
  <si>
    <t>Conocarpus.erectus</t>
  </si>
  <si>
    <t>Conocarpus erectus</t>
  </si>
  <si>
    <t>Convolvulus.sp1.M.PL.050</t>
  </si>
  <si>
    <t>Convolvulus.cantabrica</t>
  </si>
  <si>
    <t>Convolvulus cantabrica</t>
  </si>
  <si>
    <t>Convolvulus.arvensis</t>
  </si>
  <si>
    <t>Convolvulus arvensis</t>
  </si>
  <si>
    <t>Convolvulus.sepium</t>
  </si>
  <si>
    <t>Convolvulus sepium</t>
  </si>
  <si>
    <t>Convolvulus.floridus</t>
  </si>
  <si>
    <t>Convolvulus floridus</t>
  </si>
  <si>
    <t>Convolvulus.hermanniae</t>
  </si>
  <si>
    <t>Convolvulus hermanniae</t>
  </si>
  <si>
    <t>Convolvulus.althaeoides</t>
  </si>
  <si>
    <t>Convolvulus althaeoides</t>
  </si>
  <si>
    <t>Conyza.bonariensis</t>
  </si>
  <si>
    <t>Erigeron bonariensis</t>
  </si>
  <si>
    <t>Cordemoya.integrifolia</t>
  </si>
  <si>
    <t>Hancea integrifolia</t>
  </si>
  <si>
    <t>Cordia.martinicensis</t>
  </si>
  <si>
    <t>Varronia martinicensis</t>
  </si>
  <si>
    <t>Cordia.lutea</t>
  </si>
  <si>
    <t>Cordia lutea</t>
  </si>
  <si>
    <t>Cordia.brownei</t>
  </si>
  <si>
    <t>Varronia brownei</t>
  </si>
  <si>
    <t>Cordia.gerascanthus</t>
  </si>
  <si>
    <t>Cordia gerascanthus</t>
  </si>
  <si>
    <t>Cordia.leucophlyctis</t>
  </si>
  <si>
    <t>Varronia leucophlyctis</t>
  </si>
  <si>
    <t>Varronia leucophyctis</t>
  </si>
  <si>
    <t>Cordia.sebestena</t>
  </si>
  <si>
    <t>Cordia sebestena</t>
  </si>
  <si>
    <t>Cordia.revoluta</t>
  </si>
  <si>
    <t>Varronia revoluta</t>
  </si>
  <si>
    <t>Cordia.sp1.M.PL.041</t>
  </si>
  <si>
    <t>Cordia.globosa</t>
  </si>
  <si>
    <t>Varronia bullata subsp. humilis</t>
  </si>
  <si>
    <t>Cordia.sp1.M.PL.026</t>
  </si>
  <si>
    <t>Coreopsis.palmata</t>
  </si>
  <si>
    <t>Coreopsis palmata</t>
  </si>
  <si>
    <t>Gyrophyllum palmatum</t>
  </si>
  <si>
    <t>Coreopsis.tripteris</t>
  </si>
  <si>
    <t>Coreopsis tripteris</t>
  </si>
  <si>
    <t>Gyrophyllum tripteris</t>
  </si>
  <si>
    <t>Coreopsis.basalis</t>
  </si>
  <si>
    <t>Coreopsis basalis</t>
  </si>
  <si>
    <t>Cornus.amomum</t>
  </si>
  <si>
    <t>Cornus amomum</t>
  </si>
  <si>
    <t>Cornus.canadensis</t>
  </si>
  <si>
    <t>Cornus canadensis</t>
  </si>
  <si>
    <t>Cornus.paniculata</t>
  </si>
  <si>
    <t>Cornus oblonga</t>
  </si>
  <si>
    <t>Cornus.florida</t>
  </si>
  <si>
    <t>Cornus florida</t>
  </si>
  <si>
    <t>Cornutia.pyramidata</t>
  </si>
  <si>
    <t>Cornutia pyramidata</t>
  </si>
  <si>
    <t>Corokia.cotoneaster</t>
  </si>
  <si>
    <t>Corokia cotoneaster</t>
  </si>
  <si>
    <t>Corydalis.incisa</t>
  </si>
  <si>
    <t>Corydalis incisa</t>
  </si>
  <si>
    <t>Corydalis.lineariloba</t>
  </si>
  <si>
    <t>Corydalis lineariloba</t>
  </si>
  <si>
    <t>Corydalis.pallida</t>
  </si>
  <si>
    <t>Corydalis pallida</t>
  </si>
  <si>
    <t>Cotula.pyrethrifolia</t>
  </si>
  <si>
    <t>Leptinella pyrethrifolia</t>
  </si>
  <si>
    <t>Craspedia.uniflora</t>
  </si>
  <si>
    <t>Craspedia uniflora</t>
  </si>
  <si>
    <t>Craspedia.sp1.M.PL.019</t>
  </si>
  <si>
    <t>Crataegus.crus-galli</t>
  </si>
  <si>
    <t>Crataegus crus-galli</t>
  </si>
  <si>
    <t>Crataegus.coccinea</t>
  </si>
  <si>
    <t>Crataegus coccinea</t>
  </si>
  <si>
    <t>Crataegus.mollis</t>
  </si>
  <si>
    <t>Crataegus mollis</t>
  </si>
  <si>
    <t>Craterispermum.microdon</t>
  </si>
  <si>
    <t>Craterispermum microdon</t>
  </si>
  <si>
    <t>Crepidiastrum.lanceolatum</t>
  </si>
  <si>
    <t>Crepidiastrum lanceolatum</t>
  </si>
  <si>
    <t>Crepis.paludosa</t>
  </si>
  <si>
    <t>Crepis paludosa</t>
  </si>
  <si>
    <t>Crepis.capillaris</t>
  </si>
  <si>
    <t>Crepis capillaris</t>
  </si>
  <si>
    <t>Crithmum.maritimum</t>
  </si>
  <si>
    <t>Crithmum maritimum</t>
  </si>
  <si>
    <t>Crocus.cancellatus</t>
  </si>
  <si>
    <t>Crocus cancellatus</t>
  </si>
  <si>
    <t>Crocus.laevigatus</t>
  </si>
  <si>
    <t>Crocus laevigatus</t>
  </si>
  <si>
    <t>Croomia.japonica</t>
  </si>
  <si>
    <t>Croomia japonica</t>
  </si>
  <si>
    <t>Crotalaria.sagittalis</t>
  </si>
  <si>
    <t>Crotalaria sagittalis</t>
  </si>
  <si>
    <t>Crotalaria.incana</t>
  </si>
  <si>
    <t>Crotalaria incana</t>
  </si>
  <si>
    <t>Crotalaria.verrucosa</t>
  </si>
  <si>
    <t>Crotalaria verrucosa</t>
  </si>
  <si>
    <t>Croton.grangeroides</t>
  </si>
  <si>
    <t>Croton grangerioides</t>
  </si>
  <si>
    <t>Croton.flavens</t>
  </si>
  <si>
    <t>Croton flavens</t>
  </si>
  <si>
    <t>Croton.scouleri</t>
  </si>
  <si>
    <t>Croton scouleri</t>
  </si>
  <si>
    <t>Croton.hirtus</t>
  </si>
  <si>
    <t>Croton hirtus</t>
  </si>
  <si>
    <t>Croton.fothergillifolius</t>
  </si>
  <si>
    <t>Croton fothergillifolius</t>
  </si>
  <si>
    <t>Crupina.crupinastrum</t>
  </si>
  <si>
    <t>Crupina crupinastrum</t>
  </si>
  <si>
    <t>Cryptocarpus.pyriformis</t>
  </si>
  <si>
    <t>Cryptocarpus pyriformis</t>
  </si>
  <si>
    <t>Cryptotaenia.japonica</t>
  </si>
  <si>
    <t>Cryptotaenia japonica</t>
  </si>
  <si>
    <t>Cryptotaenia.canadensis</t>
  </si>
  <si>
    <t>Cryptotaenia canadensis</t>
  </si>
  <si>
    <t>Cucurbita.melopepo</t>
  </si>
  <si>
    <t>Cucurbita melopepo</t>
  </si>
  <si>
    <t>Cucurbita.pepo</t>
  </si>
  <si>
    <t>Cucurbita pepo</t>
  </si>
  <si>
    <t>Cuphea.o'donellii</t>
  </si>
  <si>
    <t>Cuphea odonellii</t>
  </si>
  <si>
    <t>Cuphea.petiolata</t>
  </si>
  <si>
    <t>Cuphea petiolata</t>
  </si>
  <si>
    <t>Cuphea sessiliflora</t>
  </si>
  <si>
    <t>Cuphea.fruticosa</t>
  </si>
  <si>
    <t>Cuphea fruticosa</t>
  </si>
  <si>
    <t>Cuphea.racemosa</t>
  </si>
  <si>
    <t>Cuphea racemosa</t>
  </si>
  <si>
    <t>Cuscuta.glomerata</t>
  </si>
  <si>
    <t>Cuscuta glomerata</t>
  </si>
  <si>
    <t>Cuscuta.cephalanthi</t>
  </si>
  <si>
    <t>Cuscuta cephalanthi</t>
  </si>
  <si>
    <t>Cybianthus.quelchii</t>
  </si>
  <si>
    <t>Cybianthus quelchii</t>
  </si>
  <si>
    <t>Cyclamen.graecum</t>
  </si>
  <si>
    <t>Cyclamen graecum</t>
  </si>
  <si>
    <t>Cynanchum.ascyrifolium</t>
  </si>
  <si>
    <t>Vincetoxicum ascyrifolium</t>
  </si>
  <si>
    <t>Cynanchum.diemii</t>
  </si>
  <si>
    <t>Diplolepis diemii</t>
  </si>
  <si>
    <t>Cynara.cardunculus</t>
  </si>
  <si>
    <t>Cynara cardunculus</t>
  </si>
  <si>
    <t>Cynoglossum.creticum</t>
  </si>
  <si>
    <t>Cynoglossum creticum</t>
  </si>
  <si>
    <t>Cynoglossum.officinale</t>
  </si>
  <si>
    <t>Cynoglossum officinale</t>
  </si>
  <si>
    <t>Cypella.herbertii</t>
  </si>
  <si>
    <t>Cypella herbertii</t>
  </si>
  <si>
    <t>Cypripedium.guttatum.</t>
  </si>
  <si>
    <t>Cypripedium guttatum</t>
  </si>
  <si>
    <t>Cypripedium.parviflorum.pubescens</t>
  </si>
  <si>
    <t>Cypripedium parviflorum var. pubescens</t>
  </si>
  <si>
    <t>Cypripedium parviflorum</t>
  </si>
  <si>
    <t>Cypripedium.acaule</t>
  </si>
  <si>
    <t>Cypripedium acaule</t>
  </si>
  <si>
    <t>Cyrilla.racemiflora</t>
  </si>
  <si>
    <t>Cyrilla racemiflora</t>
  </si>
  <si>
    <t>Cytisus.monspessulanus</t>
  </si>
  <si>
    <t>Genista monspessulana</t>
  </si>
  <si>
    <t>Cytisus.grandiflorus</t>
  </si>
  <si>
    <t>Cytisus grandiflorus</t>
  </si>
  <si>
    <t>Cytisus.scoparius</t>
  </si>
  <si>
    <t>Cytisus scoparius</t>
  </si>
  <si>
    <t>Daphne.gnidium</t>
  </si>
  <si>
    <t>Daphne gnidium</t>
  </si>
  <si>
    <t>Daphnopsis.americana</t>
  </si>
  <si>
    <t>Daphnopsis americana</t>
  </si>
  <si>
    <t>Darwiniothamnus.tenuifolius</t>
  </si>
  <si>
    <t>Erigeron tenuifolius</t>
  </si>
  <si>
    <t>Erigeron darwinii</t>
  </si>
  <si>
    <t>Dasyphora.fruticosa</t>
  </si>
  <si>
    <t>Dasiphora fruticosa</t>
  </si>
  <si>
    <t>Datura.stramonium</t>
  </si>
  <si>
    <t>Datura stramonium</t>
  </si>
  <si>
    <t>Datura.tatula</t>
  </si>
  <si>
    <t>Datura stramonium var. tatula</t>
  </si>
  <si>
    <t>Daucus.carota.carota</t>
  </si>
  <si>
    <t>Daucus carota subsp. carota</t>
  </si>
  <si>
    <t>Daucus carota</t>
  </si>
  <si>
    <t>Daucus.guttatus</t>
  </si>
  <si>
    <t>Daucus guttatus</t>
  </si>
  <si>
    <t>Daucus.carota</t>
  </si>
  <si>
    <t>Deckenia.nobilis</t>
  </si>
  <si>
    <t>Deckenia nobilis</t>
  </si>
  <si>
    <t>Declieuxia.fruticosa</t>
  </si>
  <si>
    <t>Declieuxia fruticosa</t>
  </si>
  <si>
    <t>Delphinium.peregrinum</t>
  </si>
  <si>
    <t>Delphinium peregrinum</t>
  </si>
  <si>
    <t>Delphinium.tricorne</t>
  </si>
  <si>
    <t>Delphinium tricorne</t>
  </si>
  <si>
    <t>Delphinium.scopulorum</t>
  </si>
  <si>
    <t>Delphinium scopulorum</t>
  </si>
  <si>
    <t>Dendropanax.trifidus</t>
  </si>
  <si>
    <t>Dendropanax trifidus</t>
  </si>
  <si>
    <t>Dendropanax.arboreus.</t>
  </si>
  <si>
    <t>Dendropanax arboreus</t>
  </si>
  <si>
    <t>Dendropanax.sp1.M.PL.040</t>
  </si>
  <si>
    <t>Dentaria.laciniata</t>
  </si>
  <si>
    <t>Cardamine concatenata</t>
  </si>
  <si>
    <t>Desmodium.adscendens</t>
  </si>
  <si>
    <t>Grona adscendens</t>
  </si>
  <si>
    <t>Desmodium.canescens</t>
  </si>
  <si>
    <t>Desmodium canescens</t>
  </si>
  <si>
    <t>Desmodium.paniculatum</t>
  </si>
  <si>
    <t>Desmodium paniculatum</t>
  </si>
  <si>
    <t>Desmodium.bracteosum</t>
  </si>
  <si>
    <t>Desmodium cuspidatum</t>
  </si>
  <si>
    <t>Desmodium.sessilifolium</t>
  </si>
  <si>
    <t>Desmodium sessilifolium</t>
  </si>
  <si>
    <t>Desmodium.grandiflorum</t>
  </si>
  <si>
    <t>Hylodesmum glutinosum</t>
  </si>
  <si>
    <t>Desmodium.marilandicum</t>
  </si>
  <si>
    <t>Desmodium marilandicum</t>
  </si>
  <si>
    <t>Desmodium.canadense</t>
  </si>
  <si>
    <t>Desmodium canadense</t>
  </si>
  <si>
    <t>Desmodium.dillenii</t>
  </si>
  <si>
    <t>Desmodium dillenii</t>
  </si>
  <si>
    <t>Desmodium glabellum</t>
  </si>
  <si>
    <t>Desmodium.illinoense</t>
  </si>
  <si>
    <t>Desmodium illinoense</t>
  </si>
  <si>
    <t>Desmodium.podocarpum</t>
  </si>
  <si>
    <t>Desmodium podocarpum</t>
  </si>
  <si>
    <t>Desmodium hookerianum</t>
  </si>
  <si>
    <t>Desmodium.barbatum</t>
  </si>
  <si>
    <t>Grona barbata</t>
  </si>
  <si>
    <t>Deutzia.maximowicziana</t>
  </si>
  <si>
    <t>Deutzia maximowicziana</t>
  </si>
  <si>
    <t>Deutzia.scabra</t>
  </si>
  <si>
    <t>Deutzia scabra</t>
  </si>
  <si>
    <t>Deutzia.gracilis</t>
  </si>
  <si>
    <t>Deutzia gracilis</t>
  </si>
  <si>
    <t>Deutzia.naseana</t>
  </si>
  <si>
    <t>Deutzia naseana</t>
  </si>
  <si>
    <t>Deutzia.crenata</t>
  </si>
  <si>
    <t>Deutzia crenata</t>
  </si>
  <si>
    <t>Dianthera.americana</t>
  </si>
  <si>
    <t>Dianthera americana</t>
  </si>
  <si>
    <t>Dianthus.superbus</t>
  </si>
  <si>
    <t>Dianthus superbus</t>
  </si>
  <si>
    <t>Dianthus.superbus.longicalycinus</t>
  </si>
  <si>
    <t>Dianthus longicalyx</t>
  </si>
  <si>
    <t>Dianthus.caryophillus</t>
  </si>
  <si>
    <t>Dianthus caryophyllus</t>
  </si>
  <si>
    <t>Diapensia.lapponica</t>
  </si>
  <si>
    <t>Diapensia lapponica</t>
  </si>
  <si>
    <t>Dicella.bracteosa</t>
  </si>
  <si>
    <t>Dicella bracteosa</t>
  </si>
  <si>
    <t>Dicentra.canadensis</t>
  </si>
  <si>
    <t>Dicentra canadensis</t>
  </si>
  <si>
    <t>Dicentra.cucullaria</t>
  </si>
  <si>
    <t>Dicentra cucullaria</t>
  </si>
  <si>
    <t>Digitalis.purpurea</t>
  </si>
  <si>
    <t>Digitalis purpurea</t>
  </si>
  <si>
    <t>Digitaria.ciliaris</t>
  </si>
  <si>
    <t>Digitaria ciliaris</t>
  </si>
  <si>
    <t>Digomphia.laurifolia</t>
  </si>
  <si>
    <t>Digomphia laurifolia</t>
  </si>
  <si>
    <t>Dillenia.suffruticosa</t>
  </si>
  <si>
    <t>Dillenia suffruticosa</t>
  </si>
  <si>
    <t>Dillenia.ferruginea</t>
  </si>
  <si>
    <t>Dillenia ferruginea</t>
  </si>
  <si>
    <t>Diodia.multiflora</t>
  </si>
  <si>
    <t>Spermacoce multiflora</t>
  </si>
  <si>
    <t>Diodia.radula</t>
  </si>
  <si>
    <t>Hexasepalum radulum</t>
  </si>
  <si>
    <t>Dioscorea.asclepiadea</t>
  </si>
  <si>
    <t>Dioscorea asclepiadea</t>
  </si>
  <si>
    <t>Diospyros.revaughanii</t>
  </si>
  <si>
    <t>Diospyros revaughanii</t>
  </si>
  <si>
    <t>Diospyros.virginiana</t>
  </si>
  <si>
    <t>Diospyros virginiana</t>
  </si>
  <si>
    <t>Diospyros.seychellarum</t>
  </si>
  <si>
    <t>Diospyros boiviniana</t>
  </si>
  <si>
    <t>Diospyrus.japonica</t>
  </si>
  <si>
    <t>Diospyros japonica</t>
  </si>
  <si>
    <t>Diplopterys.pubipetala</t>
  </si>
  <si>
    <t>Diplopterys pubipetala</t>
  </si>
  <si>
    <t>Dipsacus.japonicus</t>
  </si>
  <si>
    <t>Dipsacus japonicus</t>
  </si>
  <si>
    <t>Dipsacus.sylvestris</t>
  </si>
  <si>
    <t>Dipsacus sylvestris</t>
  </si>
  <si>
    <t>Dipsacus fullonum</t>
  </si>
  <si>
    <t>Dirca.palustris</t>
  </si>
  <si>
    <t>Dirca palustris</t>
  </si>
  <si>
    <t>Discaria.nana</t>
  </si>
  <si>
    <t>Discaria nana</t>
  </si>
  <si>
    <t>Ochetophila nana</t>
  </si>
  <si>
    <t>Discaria.trinervis</t>
  </si>
  <si>
    <t>Discaria trinervis</t>
  </si>
  <si>
    <t>Ochetophila trinervis</t>
  </si>
  <si>
    <t>Discaria.toumatou</t>
  </si>
  <si>
    <t>Discaria toumatou</t>
  </si>
  <si>
    <t>Discaria.longispina</t>
  </si>
  <si>
    <t>Discaria americana</t>
  </si>
  <si>
    <t>Disporum.sessile</t>
  </si>
  <si>
    <t>Disporum sessile</t>
  </si>
  <si>
    <t>Dittrichia.graveolens</t>
  </si>
  <si>
    <t>Dittrichia graveolens</t>
  </si>
  <si>
    <t>Dodecatheon.meadia</t>
  </si>
  <si>
    <t>Dodecatheon meadia</t>
  </si>
  <si>
    <t>Primula meadia</t>
  </si>
  <si>
    <t>Dodonaea.viscosa</t>
  </si>
  <si>
    <t>Dodonaea viscosa</t>
  </si>
  <si>
    <t>Donatia.novae-zelandiae</t>
  </si>
  <si>
    <t>Donatia novae-zelandiae</t>
  </si>
  <si>
    <t>Doratoxylon.apetalum</t>
  </si>
  <si>
    <t>Doratoxylon apetalum</t>
  </si>
  <si>
    <t>Doratoxylon.apetalum.var.diphyllum</t>
  </si>
  <si>
    <t>Doratoxylon apetalum var. diphyllum</t>
  </si>
  <si>
    <t>Dorychnium.pentaphylum</t>
  </si>
  <si>
    <t>Lotus dorycnium</t>
  </si>
  <si>
    <t>Draba.sp1.M.PL.020</t>
  </si>
  <si>
    <t>Draba.lactea</t>
  </si>
  <si>
    <t>Draba lactea</t>
  </si>
  <si>
    <t>Draba.cinerea</t>
  </si>
  <si>
    <t>Draba cinerea</t>
  </si>
  <si>
    <t>Draba.oblongata</t>
  </si>
  <si>
    <t>Draba oblongata</t>
  </si>
  <si>
    <t>Draba.bellii</t>
  </si>
  <si>
    <t>Draba corymbosa</t>
  </si>
  <si>
    <t>Draba.aurea</t>
  </si>
  <si>
    <t>Draba aurea</t>
  </si>
  <si>
    <t>Draba.gilliesii</t>
  </si>
  <si>
    <t>Draba gilliesii</t>
  </si>
  <si>
    <t>Draba.arctica</t>
  </si>
  <si>
    <t>Draba arctica</t>
  </si>
  <si>
    <t>Draba.tenuis</t>
  </si>
  <si>
    <t>Hornungia procumbens</t>
  </si>
  <si>
    <t>Hornungia procumbens subsp. procumbens</t>
  </si>
  <si>
    <t>Dracaena.reflexa.var.angustifolia</t>
  </si>
  <si>
    <t>Dracaena reflexa var. angustifolia</t>
  </si>
  <si>
    <t>Dracaena.concinna</t>
  </si>
  <si>
    <t>Dracaena concinna</t>
  </si>
  <si>
    <t>Dracaena.reflexa</t>
  </si>
  <si>
    <t>Dracaena reflexa</t>
  </si>
  <si>
    <t>Dracophyllum.pronum</t>
  </si>
  <si>
    <t>Dracophyllum pronum</t>
  </si>
  <si>
    <t>Dracuphyllum.acerosum</t>
  </si>
  <si>
    <t>Dracophyllum acerosum</t>
  </si>
  <si>
    <t>Drapetes.dieffenbachii</t>
  </si>
  <si>
    <t>Kelleria dieffenbachii</t>
  </si>
  <si>
    <t>Dryas.integrifolia</t>
  </si>
  <si>
    <t>Dryas integrifolia</t>
  </si>
  <si>
    <t>Dryas.octopetala</t>
  </si>
  <si>
    <t>Dryas octopetala</t>
  </si>
  <si>
    <t>Dryas.sp1.M.PL.014</t>
  </si>
  <si>
    <t>Drymocallis.fissa</t>
  </si>
  <si>
    <t>Drymocallis fissa</t>
  </si>
  <si>
    <t>Duchesnea.chrysantha</t>
  </si>
  <si>
    <t>Potentilla wallichiana</t>
  </si>
  <si>
    <t>Potentilla hebiichigo</t>
  </si>
  <si>
    <t>Ebenus.sibthorpii</t>
  </si>
  <si>
    <t>Ebenus sibthorpii</t>
  </si>
  <si>
    <t>Ecballium.elaterium</t>
  </si>
  <si>
    <t>Ecballium elaterium</t>
  </si>
  <si>
    <t>Echinocystis.lobata</t>
  </si>
  <si>
    <t>Echinocystis lobata</t>
  </si>
  <si>
    <t>Echinops.setifer</t>
  </si>
  <si>
    <t>Echinops setifer</t>
  </si>
  <si>
    <t>Echinops.microcephalus</t>
  </si>
  <si>
    <t>Echinops microcephalus</t>
  </si>
  <si>
    <t>Echium.plantagineum</t>
  </si>
  <si>
    <t>Echium plantagineum</t>
  </si>
  <si>
    <t>Echium.bonnetii</t>
  </si>
  <si>
    <t>Echium bonnetii</t>
  </si>
  <si>
    <t>Echium.angustifolium</t>
  </si>
  <si>
    <t>Echium angustifolium</t>
  </si>
  <si>
    <t>Echium.wildpretii</t>
  </si>
  <si>
    <t>Echium wildpretii</t>
  </si>
  <si>
    <t>Echium.aculeatum</t>
  </si>
  <si>
    <t>Echium aculeatum</t>
  </si>
  <si>
    <t>Echium.vulgare</t>
  </si>
  <si>
    <t>Echium vulgare</t>
  </si>
  <si>
    <t>Edgeworthia.chrysantha</t>
  </si>
  <si>
    <t>Edgeworthia chrysantha</t>
  </si>
  <si>
    <t>Ehretia.tinifolia</t>
  </si>
  <si>
    <t>Ehretia tinifolia</t>
  </si>
  <si>
    <t>Elaeagnus.multiflora</t>
  </si>
  <si>
    <t>Elaeagnus multiflora</t>
  </si>
  <si>
    <t>Elaeagnus.montana</t>
  </si>
  <si>
    <t>Elaeagnus montana</t>
  </si>
  <si>
    <t>Elaeocarpus.japonicus</t>
  </si>
  <si>
    <t>Elaeocarpus japonicus</t>
  </si>
  <si>
    <t>Elaeocarpus.sylvestris</t>
  </si>
  <si>
    <t>Elaeocarpus sylvestris</t>
  </si>
  <si>
    <t>Elephantella.groenlandica</t>
  </si>
  <si>
    <t>Pedicularis groenlandica</t>
  </si>
  <si>
    <t>Ellisia.nyctelaea</t>
  </si>
  <si>
    <t>Ellisia nyctelea</t>
  </si>
  <si>
    <t>Embelia.angustifolia</t>
  </si>
  <si>
    <t>Embelia angustifolia</t>
  </si>
  <si>
    <t>Embothrium.coccineum</t>
  </si>
  <si>
    <t>Embothrium coccineum</t>
  </si>
  <si>
    <t>Empetrum.nigrum</t>
  </si>
  <si>
    <t>Empetrum nigrum</t>
  </si>
  <si>
    <t>Encelia.hispida</t>
  </si>
  <si>
    <t>Encelia hispida</t>
  </si>
  <si>
    <t>Enkianthus.perulatus</t>
  </si>
  <si>
    <t>Enkianthus perulatus</t>
  </si>
  <si>
    <t>Enkianthus.campanulatus</t>
  </si>
  <si>
    <t>Enkianthus campanulatus</t>
  </si>
  <si>
    <t>Epacris.microphylla</t>
  </si>
  <si>
    <t>Epacris microphylla</t>
  </si>
  <si>
    <t>Epacris.petrophila</t>
  </si>
  <si>
    <t>Epacris petrophila</t>
  </si>
  <si>
    <t>Epidendrum.ibaguense</t>
  </si>
  <si>
    <t>Epidendrum ibaguense</t>
  </si>
  <si>
    <t>Epilobium.latifolium</t>
  </si>
  <si>
    <t>Epilobium latifolium</t>
  </si>
  <si>
    <t>Epilobium.sp1.M.PL.029</t>
  </si>
  <si>
    <t>Epilobium.sp1.M.PL.028</t>
  </si>
  <si>
    <t>Epilobium.gunnianum</t>
  </si>
  <si>
    <t>Epilobium gunnianum</t>
  </si>
  <si>
    <t>Epilobium.hirsutum</t>
  </si>
  <si>
    <t>Epilobium hirsutum</t>
  </si>
  <si>
    <t>Epilobium.nivale.</t>
  </si>
  <si>
    <t>Epilobium nivale</t>
  </si>
  <si>
    <t>Epilobium.sp1.M.PL.014</t>
  </si>
  <si>
    <t>Epilobium.angustifolium</t>
  </si>
  <si>
    <t>Epilobium.montanum</t>
  </si>
  <si>
    <t>Epilobium montanum</t>
  </si>
  <si>
    <t>Epimedium.grandiflorum</t>
  </si>
  <si>
    <t>Epimedium grandiflorum</t>
  </si>
  <si>
    <t>Epimedium.diphyllum</t>
  </si>
  <si>
    <t>Epimedium diphyllum</t>
  </si>
  <si>
    <t>Epistephium.duckei</t>
  </si>
  <si>
    <t>Epistephium duckei</t>
  </si>
  <si>
    <t>Equium.sabulicola</t>
  </si>
  <si>
    <t>Echium sabulicola</t>
  </si>
  <si>
    <t>Erechthites.hieracifolia</t>
  </si>
  <si>
    <t>Erechtites hieraciifolius</t>
  </si>
  <si>
    <t>Erechtites hieracifolia</t>
  </si>
  <si>
    <t>Erica.ciliaris</t>
  </si>
  <si>
    <t>Erica ciliaris</t>
  </si>
  <si>
    <t>Erica.arborea</t>
  </si>
  <si>
    <t>Erica arborea</t>
  </si>
  <si>
    <t>Erica.tetralix</t>
  </si>
  <si>
    <t>Erica tetralix</t>
  </si>
  <si>
    <t>Erica.manipuliflora</t>
  </si>
  <si>
    <t>Erica manipuliflora</t>
  </si>
  <si>
    <t>Erigenia.bulbosa</t>
  </si>
  <si>
    <t>Erigenia bulbosa</t>
  </si>
  <si>
    <t>Erigeron.ramosus</t>
  </si>
  <si>
    <t>Erigeron divergens</t>
  </si>
  <si>
    <t>Erigeron.macranthus</t>
  </si>
  <si>
    <t>Erigeron speciosus</t>
  </si>
  <si>
    <t>Erigeron.canadensis</t>
  </si>
  <si>
    <t>Erigeron canadensis</t>
  </si>
  <si>
    <t>Erigeron.pulchellus</t>
  </si>
  <si>
    <t>Erigeron pulchellus</t>
  </si>
  <si>
    <t>Erigeron.uniflorus</t>
  </si>
  <si>
    <t>Erigeron uniflorus</t>
  </si>
  <si>
    <t>Erigeron.eriocephalus</t>
  </si>
  <si>
    <t>Erigeron eriocephalus</t>
  </si>
  <si>
    <t>Erigeron.philadelphicus</t>
  </si>
  <si>
    <t>Erigeron philadelphicus</t>
  </si>
  <si>
    <t>Erigeron.annuus</t>
  </si>
  <si>
    <t>Erigeron annuus</t>
  </si>
  <si>
    <t>Erigeron.compositus</t>
  </si>
  <si>
    <t>Erigeron compositus</t>
  </si>
  <si>
    <t>Erigeron.sp1.M.PL.014</t>
  </si>
  <si>
    <t>Erigeron.andicola</t>
  </si>
  <si>
    <t>Erigeron andicola</t>
  </si>
  <si>
    <t>Eriobotrya.japonica</t>
  </si>
  <si>
    <t>Rhaphiolepis bibas</t>
  </si>
  <si>
    <t>Eriobotrya japonica</t>
  </si>
  <si>
    <t>Eriopsis.biloba</t>
  </si>
  <si>
    <t>Eriopsis biloba</t>
  </si>
  <si>
    <t>Erodium.cicutarium</t>
  </si>
  <si>
    <t>Erodium cicutarium</t>
  </si>
  <si>
    <t>Erodium.malacoides</t>
  </si>
  <si>
    <t>Erodium malacoides</t>
  </si>
  <si>
    <t>Eruca.vesicaria</t>
  </si>
  <si>
    <t>Eruca vesicaria</t>
  </si>
  <si>
    <t>Eryngium.stenophyllum</t>
  </si>
  <si>
    <t>Eryngium stenophyllum</t>
  </si>
  <si>
    <t>Eryngium.horridum</t>
  </si>
  <si>
    <t>Eryngium horridum</t>
  </si>
  <si>
    <t>Eryngium.campestre</t>
  </si>
  <si>
    <t>Eryngium campestre</t>
  </si>
  <si>
    <t>Eryngium.yuccifolium</t>
  </si>
  <si>
    <t>Eryngium yuccifolium</t>
  </si>
  <si>
    <t>Eryngium.floribundum</t>
  </si>
  <si>
    <t>Eryngium floribundum</t>
  </si>
  <si>
    <t>Eryngium.nudicaule</t>
  </si>
  <si>
    <t>Eryngium nudicaule</t>
  </si>
  <si>
    <t>Erysimum.scoparium</t>
  </si>
  <si>
    <t>Erysimum scoparium</t>
  </si>
  <si>
    <t>Erysimum.asperum</t>
  </si>
  <si>
    <t>Erysimum asperum</t>
  </si>
  <si>
    <t>Erysimum.sp1.M.PL.014</t>
  </si>
  <si>
    <t>Erysimum.pallasii</t>
  </si>
  <si>
    <t>Erysimum pallasii</t>
  </si>
  <si>
    <t>Erysimum redowskii</t>
  </si>
  <si>
    <t>Erysimum.cheiranthoides</t>
  </si>
  <si>
    <t>Erysimum cheiranthoides</t>
  </si>
  <si>
    <t>Erythronium.albidum</t>
  </si>
  <si>
    <t>Erythronium albidum</t>
  </si>
  <si>
    <t>Erythronium.umbilicatum</t>
  </si>
  <si>
    <t>Erythronium umbilicatum</t>
  </si>
  <si>
    <t>Erythrospermum.monticolum</t>
  </si>
  <si>
    <t>Erythrospermum monticola</t>
  </si>
  <si>
    <t>Erythroxylum.macrocarpum</t>
  </si>
  <si>
    <t>Erythroxylum macrocarpum</t>
  </si>
  <si>
    <t>Erythroxylum.sechellarum</t>
  </si>
  <si>
    <t>Erythroxylum sechellarum</t>
  </si>
  <si>
    <t>Eucryphia.cordifolia</t>
  </si>
  <si>
    <t>Eucryphia cordifolia</t>
  </si>
  <si>
    <t>Eugenia.orbiculata</t>
  </si>
  <si>
    <t>Eugenia orbiculata</t>
  </si>
  <si>
    <t>Eulophus.americanus</t>
  </si>
  <si>
    <t>Perideridia americana</t>
  </si>
  <si>
    <t>Euodia.chapelieri.var.chapelieri</t>
  </si>
  <si>
    <t>Melicope chapelieri var. chapelieri</t>
  </si>
  <si>
    <t>Macphersonia chapelieri</t>
  </si>
  <si>
    <t>Euodia.obtusifolia.ssp.gigas.var.gigas</t>
  </si>
  <si>
    <t>Melicope obtusifolia</t>
  </si>
  <si>
    <t>Euodia.chapelieri</t>
  </si>
  <si>
    <t>Melicope chapelieri</t>
  </si>
  <si>
    <t>Euodia.meliifolia</t>
  </si>
  <si>
    <t>Tetradium glabrifolium</t>
  </si>
  <si>
    <t>Euodia.obtusifolia</t>
  </si>
  <si>
    <t>Euonymus.sieboldianus</t>
  </si>
  <si>
    <t>Euonymus hamiltonianus</t>
  </si>
  <si>
    <t>Euonymus.fo.rtunei</t>
  </si>
  <si>
    <t>Euonymus fortunei</t>
  </si>
  <si>
    <t>Euonymus.alatus</t>
  </si>
  <si>
    <t>Euonymus alatus</t>
  </si>
  <si>
    <t>Euonymus.macropterus</t>
  </si>
  <si>
    <t>Euonymus macropterus</t>
  </si>
  <si>
    <t>Eupatorium.lanigerum</t>
  </si>
  <si>
    <t>Gyptis lanigera</t>
  </si>
  <si>
    <t>Eupatorium.bupleurifolium</t>
  </si>
  <si>
    <t>Campovassouria cruciata</t>
  </si>
  <si>
    <t>Eupatorium.chinense.sachalinense</t>
  </si>
  <si>
    <t>Eupatorium glehnii</t>
  </si>
  <si>
    <t>Eupatorium chinense</t>
  </si>
  <si>
    <t>Eupatorium.cannabinum</t>
  </si>
  <si>
    <t>Eupatorium cannabinum</t>
  </si>
  <si>
    <t>Eupatorium.macrocephalum</t>
  </si>
  <si>
    <t>Campuloclinium macrocephalum</t>
  </si>
  <si>
    <t>Eupatorium.tenacetifolium</t>
  </si>
  <si>
    <t>Gyptis tanacetifolia</t>
  </si>
  <si>
    <t>Eupatorium.serotinum</t>
  </si>
  <si>
    <t>Eupatorium serotinum</t>
  </si>
  <si>
    <t>Eupatorium.purpureum</t>
  </si>
  <si>
    <t>Eupatorium purpureum</t>
  </si>
  <si>
    <t>Eupatorium.sessilifolium</t>
  </si>
  <si>
    <t>Eupatorium sessilifolium</t>
  </si>
  <si>
    <t>Eupatorium.coelestinum</t>
  </si>
  <si>
    <t>Eupatorium coelestinum</t>
  </si>
  <si>
    <t>Conoclinium coelestinum</t>
  </si>
  <si>
    <t>Eupatorium.odoratum</t>
  </si>
  <si>
    <t>Chromolaena odorata</t>
  </si>
  <si>
    <t>Eupatorium.subhastatum</t>
  </si>
  <si>
    <t>Chromolaena hirsuta</t>
  </si>
  <si>
    <t>Eupatorium.perfoliatum</t>
  </si>
  <si>
    <t>Eupatorium perfoliatum</t>
  </si>
  <si>
    <t>Eupatorium.chinense</t>
  </si>
  <si>
    <t>Eupatorium.altissimum</t>
  </si>
  <si>
    <t>Eupatorium altissimum</t>
  </si>
  <si>
    <t>Eupatorium.lindleyanum</t>
  </si>
  <si>
    <t>Eupatorium lindleyanum</t>
  </si>
  <si>
    <t>Eupatorium.urticaefolium</t>
  </si>
  <si>
    <t>Praxelis pauciflora</t>
  </si>
  <si>
    <t>Eupatorium.squarrulosum</t>
  </si>
  <si>
    <t>Chromolaena squarrulosa</t>
  </si>
  <si>
    <t>Chromolaena squarroso-ramosa</t>
  </si>
  <si>
    <t>Euphorbia.acanthothamnos</t>
  </si>
  <si>
    <t>Euphorbia acanthothamnos</t>
  </si>
  <si>
    <t>Euphorbia.hyssopifolia</t>
  </si>
  <si>
    <t>Euphorbia hyssopifolia</t>
  </si>
  <si>
    <t>Euphorbia.obtusifolia</t>
  </si>
  <si>
    <t>Euphorbia lamarckii</t>
  </si>
  <si>
    <t>Euphorbia.pyrifolia</t>
  </si>
  <si>
    <t>Euphorbia pyrifolia</t>
  </si>
  <si>
    <t>Euphorbia.preslii</t>
  </si>
  <si>
    <t>Euphorbia nutans</t>
  </si>
  <si>
    <t>Euphorbia.portulacoides</t>
  </si>
  <si>
    <t>Euphorbia portulacoides</t>
  </si>
  <si>
    <t>Euphorbia.cyathophora</t>
  </si>
  <si>
    <t>Euphorbia heterophylla var. cyathophora</t>
  </si>
  <si>
    <t>Euphorbia.corollata</t>
  </si>
  <si>
    <t>Euphorbia corollata</t>
  </si>
  <si>
    <t>Euphorbia.heterophylla</t>
  </si>
  <si>
    <t>Euphorbia heterophylla</t>
  </si>
  <si>
    <t>Euphorbia.segatalis</t>
  </si>
  <si>
    <t>Euphorbia segetalis</t>
  </si>
  <si>
    <t>Euphorbia.canariensis</t>
  </si>
  <si>
    <t>Euphorbia canariensis</t>
  </si>
  <si>
    <t>Euphrasia.zelandica</t>
  </si>
  <si>
    <t>Euphrasia zelandica</t>
  </si>
  <si>
    <t>Euphrasia.maximowiczii</t>
  </si>
  <si>
    <t>Euphrasia maximowiczii</t>
  </si>
  <si>
    <t>Euphrasia.officinalis</t>
  </si>
  <si>
    <t>Euphrasia officinalis</t>
  </si>
  <si>
    <t>Euphrasia.collina</t>
  </si>
  <si>
    <t>Euphrasia collina</t>
  </si>
  <si>
    <t>Euphrasia.revoluta</t>
  </si>
  <si>
    <t>Euphrasia revoluta</t>
  </si>
  <si>
    <t>Euptelea.polyandra</t>
  </si>
  <si>
    <t>Euptelea polyandra</t>
  </si>
  <si>
    <t>Eurya.japonica</t>
  </si>
  <si>
    <t>Eurya japonica</t>
  </si>
  <si>
    <t>Euscaphis.japonica</t>
  </si>
  <si>
    <t>Staphylea japonica</t>
  </si>
  <si>
    <t>Eusteratis.yatabeana</t>
  </si>
  <si>
    <t>Pogostemon yatabeanus</t>
  </si>
  <si>
    <t>Evolvulus.nummularius</t>
  </si>
  <si>
    <t>Evolvulus nummularius</t>
  </si>
  <si>
    <t>Evonymus.atropurpureus</t>
  </si>
  <si>
    <t>Euonymus atropurpureus</t>
  </si>
  <si>
    <t>Excoecaria.benthiamiana</t>
  </si>
  <si>
    <t>Excoecaria benthamiana</t>
  </si>
  <si>
    <t>Fagonia.albiflora</t>
  </si>
  <si>
    <t>Fagonia scabra</t>
  </si>
  <si>
    <t>Zygophyllum scabrum</t>
  </si>
  <si>
    <t>Farfugium.joponicum</t>
  </si>
  <si>
    <t>Farfugium japonicum</t>
  </si>
  <si>
    <t>Fatsia.japonica</t>
  </si>
  <si>
    <t>Fatsia japonica</t>
  </si>
  <si>
    <t>Faujasiopsis.flexuosa.ssp.erecta</t>
  </si>
  <si>
    <t>Faujasiopsis flexuosa subsp. erecta</t>
  </si>
  <si>
    <t>Faujasiopsis.flexuosa</t>
  </si>
  <si>
    <t>Faujasiopsis flexuosa</t>
  </si>
  <si>
    <t>Faujasia flexuosa</t>
  </si>
  <si>
    <t>Filipendula.ulmaria</t>
  </si>
  <si>
    <t>Filipendula ulmaria</t>
  </si>
  <si>
    <t>Filipendula.multifuga</t>
  </si>
  <si>
    <t>Filipendula multijuga</t>
  </si>
  <si>
    <t>Flagellaria.indica</t>
  </si>
  <si>
    <t>Flagellaria indica</t>
  </si>
  <si>
    <t>Foeniculum.vulgare</t>
  </si>
  <si>
    <t>Foeniculum vulgare</t>
  </si>
  <si>
    <t>Forsythia.suspensa</t>
  </si>
  <si>
    <t>Forsythia suspensa</t>
  </si>
  <si>
    <t>Fragaria.vesca</t>
  </si>
  <si>
    <t>Fragaria vesca</t>
  </si>
  <si>
    <t>Fragaria.nipponica</t>
  </si>
  <si>
    <t>Fragaria nipponica</t>
  </si>
  <si>
    <t>Fragaria.virginiana.illinoensis</t>
  </si>
  <si>
    <t>Fragaria virginiana subsp. grayana</t>
  </si>
  <si>
    <t>Fragaria virginiana</t>
  </si>
  <si>
    <t>Frasera.speciosa</t>
  </si>
  <si>
    <t>Frasera speciosa</t>
  </si>
  <si>
    <t>Frasera.carolinensis</t>
  </si>
  <si>
    <t>Frasera carolinensis</t>
  </si>
  <si>
    <t>Frasera caroliniensis</t>
  </si>
  <si>
    <t>Fraxinus.americanus</t>
  </si>
  <si>
    <t>Fraxinus americana</t>
  </si>
  <si>
    <t>Fraxinus.griffithii</t>
  </si>
  <si>
    <t>Fraxinus griffithii</t>
  </si>
  <si>
    <t>Freesia.refracta</t>
  </si>
  <si>
    <t>Freesia refracta</t>
  </si>
  <si>
    <t>Freesia.sp1.M.PL.036</t>
  </si>
  <si>
    <t>Fritillaria.graeca</t>
  </si>
  <si>
    <t>Fritillaria graeca</t>
  </si>
  <si>
    <t>Fumana.arabica</t>
  </si>
  <si>
    <t>Fumana arabica</t>
  </si>
  <si>
    <t>Fumana.thymifolia</t>
  </si>
  <si>
    <t>Fumana thymifolia</t>
  </si>
  <si>
    <t>Fumaria.amarysia</t>
  </si>
  <si>
    <t>Fumaria judaica subsp. amarysia</t>
  </si>
  <si>
    <t>Gaertnera.sp1.M.PL.079</t>
  </si>
  <si>
    <t>Gaertnera.sp1.M.PL.066</t>
  </si>
  <si>
    <t>Gaertnera.sp1.M.PL.082</t>
  </si>
  <si>
    <t>Gaertnera.sp1.M.PL.078</t>
  </si>
  <si>
    <t>Gaertnera.sp1.M.PL.080</t>
  </si>
  <si>
    <t>Gaertnera.sp1.M.PL.068</t>
  </si>
  <si>
    <t>Gaertnera.psychotrioides.edentata</t>
  </si>
  <si>
    <t>Gaertnera psychotrioides</t>
  </si>
  <si>
    <t>Gaertnera.sp1.M.PL.067</t>
  </si>
  <si>
    <t>Gaertnera.sp1.M.PL.070</t>
  </si>
  <si>
    <t>Gaertnera.rotundifolia</t>
  </si>
  <si>
    <t>Gaertnera rotundifolia</t>
  </si>
  <si>
    <t>Gaertnera.sp1.M.PL.077</t>
  </si>
  <si>
    <t>Gaertnera.petrinensis</t>
  </si>
  <si>
    <t>Gaertnera edentata</t>
  </si>
  <si>
    <t>Gaertnera.sp1.M.PL.069</t>
  </si>
  <si>
    <t>Gaertnera.sp1.M.PL.081</t>
  </si>
  <si>
    <t>Gagea.granatelli</t>
  </si>
  <si>
    <t>Gagea granatelli</t>
  </si>
  <si>
    <t>Gagea granatellii</t>
  </si>
  <si>
    <t>Galactea.striata</t>
  </si>
  <si>
    <t>Galactia striata</t>
  </si>
  <si>
    <t>Galactites.tomentosa</t>
  </si>
  <si>
    <t>Galactites tomentosa</t>
  </si>
  <si>
    <t>Galactites tomentosus</t>
  </si>
  <si>
    <t>Galactophora.schomburgkiana</t>
  </si>
  <si>
    <t>Galactophora schomburgkiana</t>
  </si>
  <si>
    <t>Galium.aperine</t>
  </si>
  <si>
    <t>Galium aparine</t>
  </si>
  <si>
    <t>Galium.palustre</t>
  </si>
  <si>
    <t>Galium palustre</t>
  </si>
  <si>
    <t>Galium.trifidum</t>
  </si>
  <si>
    <t>Galium trifidum</t>
  </si>
  <si>
    <t>Galium.saxatile</t>
  </si>
  <si>
    <t>Galium saxatile</t>
  </si>
  <si>
    <t>Galium.boreale</t>
  </si>
  <si>
    <t>Galium boreale</t>
  </si>
  <si>
    <t>Galium.perpusillum</t>
  </si>
  <si>
    <t>Asperula perpusilla</t>
  </si>
  <si>
    <t>Galium.verum</t>
  </si>
  <si>
    <t>Galium verum</t>
  </si>
  <si>
    <t>Galium.japonicum</t>
  </si>
  <si>
    <t>Galium japonicum</t>
  </si>
  <si>
    <t>Galium.propinquum</t>
  </si>
  <si>
    <t>Galium propinquum</t>
  </si>
  <si>
    <t>Galvezia.leucantha</t>
  </si>
  <si>
    <t>Galvezia leucantha</t>
  </si>
  <si>
    <t>Galvezia.leucantha.pubescen</t>
  </si>
  <si>
    <t>Galvezia leucantha subsp. leucantha</t>
  </si>
  <si>
    <t>Gamochaeta.argentina</t>
  </si>
  <si>
    <t>Gamochaeta argentina</t>
  </si>
  <si>
    <t>Gamochaeta.stachydifolia</t>
  </si>
  <si>
    <t>Gamochaeta stachidifolia</t>
  </si>
  <si>
    <t>Gamochaeta stachydifolia</t>
  </si>
  <si>
    <t>Gastonia.crassa</t>
  </si>
  <si>
    <t>Polyscias crassa</t>
  </si>
  <si>
    <t>Gastonia.mauritiana</t>
  </si>
  <si>
    <t>Polyscias maraisiana</t>
  </si>
  <si>
    <t>Gaultheria.phillyreifolia</t>
  </si>
  <si>
    <t>Gaultheria phillyreifolia</t>
  </si>
  <si>
    <t>Gaultheria.mucronata</t>
  </si>
  <si>
    <t>Gaultheria mucronata</t>
  </si>
  <si>
    <t>Gaura.biennis</t>
  </si>
  <si>
    <t>Oenothera gaura</t>
  </si>
  <si>
    <t>Gavilea.odoratissima</t>
  </si>
  <si>
    <t>Gavilea odoratissima</t>
  </si>
  <si>
    <t>Gaylussacia.baccata</t>
  </si>
  <si>
    <t>Gaylussacia baccata</t>
  </si>
  <si>
    <t>Gelasine.azurea</t>
  </si>
  <si>
    <t>Gelasine elongata</t>
  </si>
  <si>
    <t>Geniostoma.borbonicum</t>
  </si>
  <si>
    <t>Geniostoma borbonicum</t>
  </si>
  <si>
    <t>Genista.anglica</t>
  </si>
  <si>
    <t>Genista anglica</t>
  </si>
  <si>
    <t>Gentiana.andrewsii</t>
  </si>
  <si>
    <t>Gentiana andrewsii</t>
  </si>
  <si>
    <t>Gentiana.corymbifera</t>
  </si>
  <si>
    <t>Gentianella corymbifera</t>
  </si>
  <si>
    <t>Gentiana.puberula</t>
  </si>
  <si>
    <t>Gentiana pubigera</t>
  </si>
  <si>
    <t>Gentiana.zollingeri</t>
  </si>
  <si>
    <t>Gentiana zollingeri</t>
  </si>
  <si>
    <t>Gentiana.parryi</t>
  </si>
  <si>
    <t>Gentiana parryi</t>
  </si>
  <si>
    <t>Gentiana.montana</t>
  </si>
  <si>
    <t>Gentianella montana</t>
  </si>
  <si>
    <t>Gentianella.diemensis</t>
  </si>
  <si>
    <t>Gentianella diemensis</t>
  </si>
  <si>
    <t>Geoffroea.spinosa</t>
  </si>
  <si>
    <t>Geoffroea spinosa</t>
  </si>
  <si>
    <t>Geranium.shikokianum</t>
  </si>
  <si>
    <t>Geranium shikokianum</t>
  </si>
  <si>
    <t>Geranium.rotundifolium</t>
  </si>
  <si>
    <t>Geranium rotundifolium</t>
  </si>
  <si>
    <t>Geranium.caespitosum</t>
  </si>
  <si>
    <t>Geranium caespitosum</t>
  </si>
  <si>
    <t>Geranium.richardsoni</t>
  </si>
  <si>
    <t>Geranium richardsonii</t>
  </si>
  <si>
    <t>Geranium.robertianum</t>
  </si>
  <si>
    <t>Geranium robertianum</t>
  </si>
  <si>
    <t>Geranium.canariense</t>
  </si>
  <si>
    <t>Geranium reuteri</t>
  </si>
  <si>
    <t>Geranium.dissectum</t>
  </si>
  <si>
    <t>Geranium dissectum</t>
  </si>
  <si>
    <t>Geranium.nepalense</t>
  </si>
  <si>
    <t>Geranium nepalense</t>
  </si>
  <si>
    <t>Geranium.carolinianum</t>
  </si>
  <si>
    <t>Geranium carolinianum</t>
  </si>
  <si>
    <t>Geranium.eriostemon.</t>
  </si>
  <si>
    <t>Geranium platyanthum</t>
  </si>
  <si>
    <t>Geranium.maculatum</t>
  </si>
  <si>
    <t>Geranium maculatum</t>
  </si>
  <si>
    <t>Gerardia.genistifolia</t>
  </si>
  <si>
    <t>Agalinis genistifolia</t>
  </si>
  <si>
    <t>Gerardia.grandiflora</t>
  </si>
  <si>
    <t>Aureolaria grandiflora</t>
  </si>
  <si>
    <t>Gerardia.purpurea</t>
  </si>
  <si>
    <t>Agalinis purpurea</t>
  </si>
  <si>
    <t>Gerardia.tenuifolia</t>
  </si>
  <si>
    <t>Agalinis tenuifolia</t>
  </si>
  <si>
    <t>Gerardia.auriculata</t>
  </si>
  <si>
    <t>Agalinis auriculata</t>
  </si>
  <si>
    <t>Geum.japonicum</t>
  </si>
  <si>
    <t>Geum japonicum</t>
  </si>
  <si>
    <t>Geum.rivale</t>
  </si>
  <si>
    <t>Geum rivale</t>
  </si>
  <si>
    <t>Geum.canadense</t>
  </si>
  <si>
    <t>Geum canadense</t>
  </si>
  <si>
    <t>Geum.uniflorum</t>
  </si>
  <si>
    <t>Geum uniflorum</t>
  </si>
  <si>
    <t>Geum.vernum</t>
  </si>
  <si>
    <t>Geum vernum</t>
  </si>
  <si>
    <t>Geum.rossii.</t>
  </si>
  <si>
    <t>Geum rossii</t>
  </si>
  <si>
    <t>Gevuina.avellana</t>
  </si>
  <si>
    <t>Gevuina avellana</t>
  </si>
  <si>
    <t>Gilia.aggregata</t>
  </si>
  <si>
    <t>Ipomopsis aggregata subsp. aggregata</t>
  </si>
  <si>
    <t>Ipomopsis aggregata</t>
  </si>
  <si>
    <t>Gillenia.stipulacea</t>
  </si>
  <si>
    <t>Gillenia stipulata</t>
  </si>
  <si>
    <t>Glandularia.dissecta</t>
  </si>
  <si>
    <t>Verbena dissecta</t>
  </si>
  <si>
    <t>Glechoma.hederacea</t>
  </si>
  <si>
    <t>Glechoma hederacea</t>
  </si>
  <si>
    <t>Gleditsia.triacanthos</t>
  </si>
  <si>
    <t>Gleditsia triacanthos</t>
  </si>
  <si>
    <t>Glionnetia.sericea</t>
  </si>
  <si>
    <t>Glionnetia sericea</t>
  </si>
  <si>
    <t>Globularia.alypum</t>
  </si>
  <si>
    <t>Globularia alypum</t>
  </si>
  <si>
    <t>Glochidion.obovatum</t>
  </si>
  <si>
    <t>Glochidion obovatum</t>
  </si>
  <si>
    <t>Glochidion.acuminatum</t>
  </si>
  <si>
    <t>Glochidion acuminatum</t>
  </si>
  <si>
    <t>Glochidion.zeylanicum</t>
  </si>
  <si>
    <t>Glochidion zeylanicum</t>
  </si>
  <si>
    <t>Gnaphalium.polycephalum</t>
  </si>
  <si>
    <t>Gnaphalium polycephalum</t>
  </si>
  <si>
    <t>Gnaphalium.cheirantifolium</t>
  </si>
  <si>
    <t>Gnaphalium cheiranthifolium</t>
  </si>
  <si>
    <t>Gomphrena.perennis</t>
  </si>
  <si>
    <t>Gomphrena perennis</t>
  </si>
  <si>
    <t>Gonolobus.laevis</t>
  </si>
  <si>
    <t>Cynanchum laeve</t>
  </si>
  <si>
    <t>Gonzalagunia.hirsuta</t>
  </si>
  <si>
    <t>Gonzalagunia hirsuta</t>
  </si>
  <si>
    <t>Gossypium.sp1.M.PL.026</t>
  </si>
  <si>
    <t>Gossypium.barbadense</t>
  </si>
  <si>
    <t>Gossypium barbadense</t>
  </si>
  <si>
    <t>Grangeria.borbonica</t>
  </si>
  <si>
    <t>Grangeria borbonica</t>
  </si>
  <si>
    <t>Gratiola.virginiana</t>
  </si>
  <si>
    <t>Gratiola virginiana</t>
  </si>
  <si>
    <t>Grindelia.chiloensis</t>
  </si>
  <si>
    <t>Grindelia chiloensis</t>
  </si>
  <si>
    <t>Grindelia.buphtalmoides</t>
  </si>
  <si>
    <t>Grindelia buphthalmoides</t>
  </si>
  <si>
    <t>Guarea.swartzii</t>
  </si>
  <si>
    <t>Guarea glabra subsp. glabra</t>
  </si>
  <si>
    <t>Guarea glabra</t>
  </si>
  <si>
    <t>Guazuma.ulmifolia</t>
  </si>
  <si>
    <t>Guazuma ulmifolia</t>
  </si>
  <si>
    <t>Guettarda.scabra</t>
  </si>
  <si>
    <t>Guettarda scabra</t>
  </si>
  <si>
    <t>Gymnadenia.conopsea</t>
  </si>
  <si>
    <t>Gymnadenia conopsea</t>
  </si>
  <si>
    <t>Gymnocalycium.reductum</t>
  </si>
  <si>
    <t>Gymnocalycium reductum</t>
  </si>
  <si>
    <t>Gymnocladus.dioica</t>
  </si>
  <si>
    <t>Gymnocladus dioicus</t>
  </si>
  <si>
    <t>Habenaria.leucophaea</t>
  </si>
  <si>
    <t>Platanthera leucophaea</t>
  </si>
  <si>
    <t>Habranthus.andersoni</t>
  </si>
  <si>
    <t>Zephyranthes tubispatha</t>
  </si>
  <si>
    <t>Habranthus tubispathus</t>
  </si>
  <si>
    <t>Habranthus.gracilifolius</t>
  </si>
  <si>
    <t>Zephyranthes gracilifolia</t>
  </si>
  <si>
    <t>Habranthus gracilifolius</t>
  </si>
  <si>
    <t>Halimium.commutatum</t>
  </si>
  <si>
    <t>Halimium calycinum</t>
  </si>
  <si>
    <t>Cistus calycinus</t>
  </si>
  <si>
    <t>Halimium.halimifolium</t>
  </si>
  <si>
    <t>Halimium halimifolium</t>
  </si>
  <si>
    <t>Cistus halimifolius</t>
  </si>
  <si>
    <t>Haplopappus.sericeus</t>
  </si>
  <si>
    <t>Noticastrum sericeum</t>
  </si>
  <si>
    <t>Haplopappus.chysanthemifolius</t>
  </si>
  <si>
    <t>Haplopappus chrysanthemifolius</t>
  </si>
  <si>
    <t>Harungana.madagascariensis</t>
  </si>
  <si>
    <t>Harungana madagascariensis</t>
  </si>
  <si>
    <t>Hebe.odora</t>
  </si>
  <si>
    <t>Veronica odora</t>
  </si>
  <si>
    <t>Hebe.salicifolia</t>
  </si>
  <si>
    <t>Veronica salicifolia</t>
  </si>
  <si>
    <t>Hebe.epacridea</t>
  </si>
  <si>
    <t>Veronica epacridea</t>
  </si>
  <si>
    <t>Hebe.pinguifolia</t>
  </si>
  <si>
    <t>Veronica pinguifolia</t>
  </si>
  <si>
    <t>Hebe.brachysiphon</t>
  </si>
  <si>
    <t>Veronica brachysiphon</t>
  </si>
  <si>
    <t>Hebe.subalpina</t>
  </si>
  <si>
    <t>Veronica subalpina</t>
  </si>
  <si>
    <t>Hedeoma.pulegioides</t>
  </si>
  <si>
    <t>Hedeoma pulegioides</t>
  </si>
  <si>
    <t>Helenium.autumnale</t>
  </si>
  <si>
    <t>Helenium autumnale</t>
  </si>
  <si>
    <t>Heliamphora.heterodoxa</t>
  </si>
  <si>
    <t>Heliamphora heterodoxa</t>
  </si>
  <si>
    <t>Helianthemum.brasiliense</t>
  </si>
  <si>
    <t>Crocanthemum brasiliensis</t>
  </si>
  <si>
    <t>Crocanthemum brasiliense</t>
  </si>
  <si>
    <t>Helianthemum.guttatum</t>
  </si>
  <si>
    <t>Tuberaria guttata subsp. guttata</t>
  </si>
  <si>
    <t>Tuberaria guttata</t>
  </si>
  <si>
    <t>Helianthemum.croceum</t>
  </si>
  <si>
    <t>Helianthemum croceum</t>
  </si>
  <si>
    <t>Helianthus.divaricatus</t>
  </si>
  <si>
    <t>Helianthus divaricatus</t>
  </si>
  <si>
    <t>Helianthus.tuberosus</t>
  </si>
  <si>
    <t>Helianthus tuberosus</t>
  </si>
  <si>
    <t>Helianthus.annuus</t>
  </si>
  <si>
    <t>Helianthus annuus</t>
  </si>
  <si>
    <t>Helianthus.mollis</t>
  </si>
  <si>
    <t>Helianthus mollis</t>
  </si>
  <si>
    <t>Helianthus.decapetalus</t>
  </si>
  <si>
    <t>Helianthus decapetalus</t>
  </si>
  <si>
    <t>Helianthus hirsutus</t>
  </si>
  <si>
    <t>Helianthus.strumosus</t>
  </si>
  <si>
    <t>Helianthus strumosus</t>
  </si>
  <si>
    <t>Helianthus.petiolaris</t>
  </si>
  <si>
    <t>Helianthus petiolaris</t>
  </si>
  <si>
    <t>Helianthus.grosse-serratus</t>
  </si>
  <si>
    <t>Helianthus grosseserratus</t>
  </si>
  <si>
    <t>Helianthus.laetiflorus</t>
  </si>
  <si>
    <t>Helianthus ×laetiflorus</t>
  </si>
  <si>
    <t>Helianthus × laetiflorus</t>
  </si>
  <si>
    <t>Helichrysum.alpinum</t>
  </si>
  <si>
    <t>Helichrysum.scorpioides</t>
  </si>
  <si>
    <t>Coronidium scorpioides</t>
  </si>
  <si>
    <t>Helichrysum.bellidioides</t>
  </si>
  <si>
    <t>Anaphalioides bellidioides</t>
  </si>
  <si>
    <t>Helichrysum.selago</t>
  </si>
  <si>
    <t>Ozothamnus selago</t>
  </si>
  <si>
    <t>Ozothamnus × selago</t>
  </si>
  <si>
    <t>Helichrysum selago</t>
  </si>
  <si>
    <t>Helichrysum.proteoides</t>
  </si>
  <si>
    <t>Helichrysum proteoides</t>
  </si>
  <si>
    <t>Helichrysum.stoechas</t>
  </si>
  <si>
    <t>Helichrysum stoechas</t>
  </si>
  <si>
    <t>Helichrysum.picardii</t>
  </si>
  <si>
    <t>Helichrysum serotinum subsp. picardii</t>
  </si>
  <si>
    <t>Helichrysum italicum subsp. picardii</t>
  </si>
  <si>
    <t>Heliconia.psittacorum</t>
  </si>
  <si>
    <t>Heliconia psittacorum</t>
  </si>
  <si>
    <t>Heliopsis.helianthoides</t>
  </si>
  <si>
    <t>Heliopsis helianthoides</t>
  </si>
  <si>
    <t>Heliotropium.europaeum</t>
  </si>
  <si>
    <t>Heliotropium europaeum</t>
  </si>
  <si>
    <t>Heliotropium.hirsutissimum</t>
  </si>
  <si>
    <t>Heliotropium hirsutissimum</t>
  </si>
  <si>
    <t>Heliotropium.dolosum</t>
  </si>
  <si>
    <t>Heliotropium dolosum</t>
  </si>
  <si>
    <t>Helipterum.albicans</t>
  </si>
  <si>
    <t>Leucochrysum albicans subsp. albicans</t>
  </si>
  <si>
    <t>Leucochrysum albicans</t>
  </si>
  <si>
    <t>Hemerocallis.vespertina</t>
  </si>
  <si>
    <t>Hemerocallis citrina var. vespertina</t>
  </si>
  <si>
    <t>Hepatica.americana</t>
  </si>
  <si>
    <t>Hepatica americana</t>
  </si>
  <si>
    <t>Hepatica.acutiloba</t>
  </si>
  <si>
    <t>Hepatica acutiloba</t>
  </si>
  <si>
    <t>Hepatica americana var. acuta</t>
  </si>
  <si>
    <t>Heracleum.lanatum</t>
  </si>
  <si>
    <t>Heracleum maximum</t>
  </si>
  <si>
    <t>Heritiera.littoralis</t>
  </si>
  <si>
    <t>Heritiera littoralis</t>
  </si>
  <si>
    <t>Heteropappus.hispidus</t>
  </si>
  <si>
    <t>Heteropappus hispidus</t>
  </si>
  <si>
    <t>Aster hispidus</t>
  </si>
  <si>
    <t>Heteropterys.sp2.M.PL.059</t>
  </si>
  <si>
    <t>Heteropterys.sp1.M.PL.059</t>
  </si>
  <si>
    <t>Heuchera.hispida</t>
  </si>
  <si>
    <t>Heuchera pilosissima</t>
  </si>
  <si>
    <t>Hibiscus.teliaceus</t>
  </si>
  <si>
    <t>Hibiscus tiliaceus</t>
  </si>
  <si>
    <t>Hibiscus.trionum</t>
  </si>
  <si>
    <t>Hibiscus trionum</t>
  </si>
  <si>
    <t>Hibiscus.syriacus</t>
  </si>
  <si>
    <t>Hibiscus syriacus</t>
  </si>
  <si>
    <t>Hibiscus.laevis</t>
  </si>
  <si>
    <t>Hibiscus laevis</t>
  </si>
  <si>
    <t>Hibiscus.militaris</t>
  </si>
  <si>
    <t>Hibiscus.maleinoi</t>
  </si>
  <si>
    <t>Hibiscus makinoi</t>
  </si>
  <si>
    <t>Hibiscus.lasiocarpos</t>
  </si>
  <si>
    <t>Hibiscus moscheutos subsp. lasiocarpos</t>
  </si>
  <si>
    <t>Hibiscus.hamabo</t>
  </si>
  <si>
    <t>Talipariti hamabo</t>
  </si>
  <si>
    <t>Hibiscus hamabo</t>
  </si>
  <si>
    <t>Hibiscus.tiliaceus</t>
  </si>
  <si>
    <t>Talipariti tiliaceum</t>
  </si>
  <si>
    <t>Hieracium.umbellatum</t>
  </si>
  <si>
    <t>Hieracium umbellatum</t>
  </si>
  <si>
    <t>Hieracium.praealtum</t>
  </si>
  <si>
    <t>Hieracium praealtum</t>
  </si>
  <si>
    <t>Pilosella piloselloides subsp. praealta</t>
  </si>
  <si>
    <t>Hieracium.pilosella</t>
  </si>
  <si>
    <t>Pilosella officinarum</t>
  </si>
  <si>
    <t>Hippeastrum.uniflorum</t>
  </si>
  <si>
    <t>Paposoa laeta</t>
  </si>
  <si>
    <t>Rhodophiala pratensis</t>
  </si>
  <si>
    <t>Hirschfeldia.incana</t>
  </si>
  <si>
    <t>Hirschfeldia incana</t>
  </si>
  <si>
    <t>Hoheria.glabrata</t>
  </si>
  <si>
    <t>Hoheria glabrata</t>
  </si>
  <si>
    <t>Holodiscus.dumosus</t>
  </si>
  <si>
    <t>Holodiscus australis</t>
  </si>
  <si>
    <t>Homalanthus.populifolius</t>
  </si>
  <si>
    <t>Homalanthus populifolius</t>
  </si>
  <si>
    <t>Hosta.albomarginata</t>
  </si>
  <si>
    <t>Hosta sieboldii</t>
  </si>
  <si>
    <t>Hosta.sieboldiana</t>
  </si>
  <si>
    <t>Hosta sieboldiana</t>
  </si>
  <si>
    <t>Houstonia.purpurea.calycosa</t>
  </si>
  <si>
    <t>Houstonia purpurea var. calycosa</t>
  </si>
  <si>
    <t>Houstonia purpurea</t>
  </si>
  <si>
    <t>Houttuynia.cordata</t>
  </si>
  <si>
    <t>Houttuynia cordata</t>
  </si>
  <si>
    <t>Hovenia.tomentella</t>
  </si>
  <si>
    <t>Hovenia tomentella</t>
  </si>
  <si>
    <t>Humiria.balsamifera</t>
  </si>
  <si>
    <t>Humiria balsamifera</t>
  </si>
  <si>
    <t>Hybanthus.concolor</t>
  </si>
  <si>
    <t>Cubelium concolor</t>
  </si>
  <si>
    <t>Hybanthus concolor</t>
  </si>
  <si>
    <t>Hydrangea.luteo-venosa</t>
  </si>
  <si>
    <t>Hydrangea luteovenosa</t>
  </si>
  <si>
    <t>Hydrangea.macrophylla</t>
  </si>
  <si>
    <t>Hydrangea macrophylla</t>
  </si>
  <si>
    <t>Hydrangea.serrata</t>
  </si>
  <si>
    <t>Hydrangea serrata</t>
  </si>
  <si>
    <t>Hydrangea.serratifolia</t>
  </si>
  <si>
    <t>Hydrangea serratifolia</t>
  </si>
  <si>
    <t>Hydrangea.hirta</t>
  </si>
  <si>
    <t>Hydrangea hirta</t>
  </si>
  <si>
    <t>Hydrangea.paniculata</t>
  </si>
  <si>
    <t>Hydrangea paniculata</t>
  </si>
  <si>
    <t>Hydrangea.arborescens</t>
  </si>
  <si>
    <t>Hydrangea arborescens</t>
  </si>
  <si>
    <t>Hydrocharis.dubia</t>
  </si>
  <si>
    <t>Hydrocharis dubia</t>
  </si>
  <si>
    <t>Hydrocotyle.ramiflora</t>
  </si>
  <si>
    <t>Hydrocotyle ramiflora</t>
  </si>
  <si>
    <t>Hydrophyllum.appendiculatum</t>
  </si>
  <si>
    <t>Hydrophyllum appendiculatum</t>
  </si>
  <si>
    <t>Hydrophyllum.virginianum</t>
  </si>
  <si>
    <t>Hydrophyllum virginianum</t>
  </si>
  <si>
    <t>Hymenocarpus.circinnatus</t>
  </si>
  <si>
    <t>Anthyllis circinnata</t>
  </si>
  <si>
    <t>Hypericum.empetrifolium</t>
  </si>
  <si>
    <t>Hypericum empetrifolium</t>
  </si>
  <si>
    <t>Hypericum.pseudopetiolatum</t>
  </si>
  <si>
    <t>Hypericum pseudopetiolatum</t>
  </si>
  <si>
    <t>Hypericum.perfolatum</t>
  </si>
  <si>
    <t>Hypericum perfoliatum</t>
  </si>
  <si>
    <t>Hypericum.triquetrifolium</t>
  </si>
  <si>
    <t>Hypericum triquetrifolium</t>
  </si>
  <si>
    <t>Hypericum.perforatum</t>
  </si>
  <si>
    <t>Hypericum perforatum</t>
  </si>
  <si>
    <t>Hypericum.connatum</t>
  </si>
  <si>
    <t>Hypericum connatum</t>
  </si>
  <si>
    <t>Hypericum.punctatum</t>
  </si>
  <si>
    <t>Hypericum punctatum</t>
  </si>
  <si>
    <t>Hypericum.cistifolium</t>
  </si>
  <si>
    <t>Hypericum cistifolium</t>
  </si>
  <si>
    <t>Hypericum.prolificum</t>
  </si>
  <si>
    <t>Hypericum prolificum</t>
  </si>
  <si>
    <t>Hypericum.patulum</t>
  </si>
  <si>
    <t>Hypericum patulum</t>
  </si>
  <si>
    <t>Hypericum.erectum</t>
  </si>
  <si>
    <t>Hypericum erectum</t>
  </si>
  <si>
    <t>Hypericum.ascyron</t>
  </si>
  <si>
    <t>Hypericum ascyron</t>
  </si>
  <si>
    <t>Hypericum.grandifolium</t>
  </si>
  <si>
    <t>Hypericum grandifolium</t>
  </si>
  <si>
    <t>Hypochaeris.rosengurtii</t>
  </si>
  <si>
    <t>Hypochaeris lutea</t>
  </si>
  <si>
    <t>Hypochaeris rosengurttii</t>
  </si>
  <si>
    <t>Hypochaeris.radicata</t>
  </si>
  <si>
    <t>Hypochaeris radicata</t>
  </si>
  <si>
    <t>Hypochaeris.pampasica</t>
  </si>
  <si>
    <t>Hypochaeris pampasica</t>
  </si>
  <si>
    <t>Hypochoeris.achyrophorus</t>
  </si>
  <si>
    <t>Hypochaeris achyrophorus</t>
  </si>
  <si>
    <t>Hypochoeris.radicata</t>
  </si>
  <si>
    <t>Hypochoeris radicata</t>
  </si>
  <si>
    <t>Hypochoeris.sp</t>
  </si>
  <si>
    <t>Hypochoeris.montana.</t>
  </si>
  <si>
    <t>Hypochaeris laciniata</t>
  </si>
  <si>
    <t>Hypoxis.hirsuta</t>
  </si>
  <si>
    <t>Hypoxis hirsuta</t>
  </si>
  <si>
    <t>Hyptis.conferta</t>
  </si>
  <si>
    <t>Hyptis conferta</t>
  </si>
  <si>
    <t>Hyptis.dilatata</t>
  </si>
  <si>
    <t>Hyptis dilatata</t>
  </si>
  <si>
    <t>Hysterionica.pinifolia</t>
  </si>
  <si>
    <t>Neja pinifolia</t>
  </si>
  <si>
    <t>Hysterionica.jasionoides</t>
  </si>
  <si>
    <t>Hysterionica jasionoides</t>
  </si>
  <si>
    <t>Ibidium.strictum</t>
  </si>
  <si>
    <t>Spiranthes romanzoffiana</t>
  </si>
  <si>
    <t>Idesia.polycarpa</t>
  </si>
  <si>
    <t>Idesia polycarpa</t>
  </si>
  <si>
    <t>Ilex.retusa</t>
  </si>
  <si>
    <t>Ilex retusa</t>
  </si>
  <si>
    <t>Ilex.integra</t>
  </si>
  <si>
    <t>Ilex integra</t>
  </si>
  <si>
    <t>Ilex.canarienis</t>
  </si>
  <si>
    <t>Ilex canariensis</t>
  </si>
  <si>
    <t>Ilex.serrata</t>
  </si>
  <si>
    <t>Ilex serrata</t>
  </si>
  <si>
    <t>Impatiens.pallida</t>
  </si>
  <si>
    <t>Impatiens pallida</t>
  </si>
  <si>
    <t>Impatiens.noli-tangere</t>
  </si>
  <si>
    <t>Impatiens noli-tangere</t>
  </si>
  <si>
    <t>Impatiens.biflora</t>
  </si>
  <si>
    <t>Impatiens capensis</t>
  </si>
  <si>
    <t>Impatiens.walleriana</t>
  </si>
  <si>
    <t>Impatiens walleriana</t>
  </si>
  <si>
    <t>Impatiens.textori</t>
  </si>
  <si>
    <t>Impatiens textorii</t>
  </si>
  <si>
    <t>Indigofera.tinctoria</t>
  </si>
  <si>
    <t>Indigofera tinctoria</t>
  </si>
  <si>
    <t>Inga.edulis</t>
  </si>
  <si>
    <t>Inga edulis</t>
  </si>
  <si>
    <t>Inula.salicina</t>
  </si>
  <si>
    <t>Inula salicina</t>
  </si>
  <si>
    <t>Inula.japonica</t>
  </si>
  <si>
    <t>Inula japonica</t>
  </si>
  <si>
    <t>Ipomoea.macrantha</t>
  </si>
  <si>
    <t>Ipomoea violacea</t>
  </si>
  <si>
    <t>Ipomoea.linearifolia</t>
  </si>
  <si>
    <t>Ipomoea incarnata</t>
  </si>
  <si>
    <t>Ipomoea.hederacea</t>
  </si>
  <si>
    <t>Ipomoea hederacea</t>
  </si>
  <si>
    <t>Ipomoea.purpurea</t>
  </si>
  <si>
    <t>Ipomoea purpurea</t>
  </si>
  <si>
    <t>Ipomoea.tiliacea</t>
  </si>
  <si>
    <t>Ipomoea tiliacea</t>
  </si>
  <si>
    <t>Ipomoea.indica</t>
  </si>
  <si>
    <t>Ipomoea indica</t>
  </si>
  <si>
    <t>Ipomoea.sp1.M.PL.026</t>
  </si>
  <si>
    <t>Ipomoea.pandurata</t>
  </si>
  <si>
    <t>Ipomoea pandurata</t>
  </si>
  <si>
    <t>Ipomoea.pes-caprae</t>
  </si>
  <si>
    <t>Ipomoea pes-caprae</t>
  </si>
  <si>
    <t>Iris.taevigata</t>
  </si>
  <si>
    <t>Iris laevigata</t>
  </si>
  <si>
    <t>Iris.versicolor</t>
  </si>
  <si>
    <t>Iris versicolor</t>
  </si>
  <si>
    <t>Iris.sanguinea</t>
  </si>
  <si>
    <t>Iris sanguinea</t>
  </si>
  <si>
    <t>Iris.japonica</t>
  </si>
  <si>
    <t>Iris japonica</t>
  </si>
  <si>
    <t>Iris.rossii</t>
  </si>
  <si>
    <t>Iris rossii</t>
  </si>
  <si>
    <t>Iris.pumila</t>
  </si>
  <si>
    <t>Iris pumila</t>
  </si>
  <si>
    <t>Iris.pseudacorus</t>
  </si>
  <si>
    <t>Iris pseudacorus</t>
  </si>
  <si>
    <t>Iris.hexagona</t>
  </si>
  <si>
    <t>Iris hexagona</t>
  </si>
  <si>
    <t>Iris.missouriensis</t>
  </si>
  <si>
    <t>Iris missouriensis</t>
  </si>
  <si>
    <t>Irlbachia.nemorosa</t>
  </si>
  <si>
    <t>Irlbachia nemorosa</t>
  </si>
  <si>
    <t>Isachne.globosa</t>
  </si>
  <si>
    <t>Isachne globosa</t>
  </si>
  <si>
    <t>Isodon.inflexus</t>
  </si>
  <si>
    <t>Isodon inflexus</t>
  </si>
  <si>
    <t>Isopyrum.biternatum</t>
  </si>
  <si>
    <t>Enemion biternatum</t>
  </si>
  <si>
    <t>Isotoma.fluviatilis</t>
  </si>
  <si>
    <t>Isotoma fluviatilis</t>
  </si>
  <si>
    <t>Itea.parviflora</t>
  </si>
  <si>
    <t>Itea parviflora</t>
  </si>
  <si>
    <t>Ixeris.debilis</t>
  </si>
  <si>
    <t>Ixeris japonica</t>
  </si>
  <si>
    <t>Ixeris debilis</t>
  </si>
  <si>
    <t>Ixeris.dentata</t>
  </si>
  <si>
    <t>Ixeridium dentatum subsp. dentatum</t>
  </si>
  <si>
    <t>Ixeridium dentatum</t>
  </si>
  <si>
    <t>Ixora.pudica</t>
  </si>
  <si>
    <t>Ixora pudica</t>
  </si>
  <si>
    <t>Jaborosa.laciniata.</t>
  </si>
  <si>
    <t>Jaborosa laciniata</t>
  </si>
  <si>
    <t>Jacquinia.arborea</t>
  </si>
  <si>
    <t>Jacquinia arborea</t>
  </si>
  <si>
    <t>Jaegeria.gracilis</t>
  </si>
  <si>
    <t>Jaegeria gracilis</t>
  </si>
  <si>
    <t>Jamesia.americana</t>
  </si>
  <si>
    <t>Jamesia americana</t>
  </si>
  <si>
    <t>Janusia.anisandra</t>
  </si>
  <si>
    <t>Janusia anisandra</t>
  </si>
  <si>
    <t>Schwannia anisandra</t>
  </si>
  <si>
    <t>Jasminoserius.thouarsii</t>
  </si>
  <si>
    <t>Jasminocereus thouarsii</t>
  </si>
  <si>
    <t>Juncus.effusus</t>
  </si>
  <si>
    <t>Juncus effusus</t>
  </si>
  <si>
    <t>Junellia.tonini</t>
  </si>
  <si>
    <t>Junellia toninii</t>
  </si>
  <si>
    <t>Junellia.uniflora</t>
  </si>
  <si>
    <t>Junellia uniflora</t>
  </si>
  <si>
    <t>Justicia.galapagana</t>
  </si>
  <si>
    <t>Justicia galapagana</t>
  </si>
  <si>
    <t>Justicia.procumbens</t>
  </si>
  <si>
    <t>Rostellularia procumbens</t>
  </si>
  <si>
    <t>Kalimeris.pinnatifida</t>
  </si>
  <si>
    <t>Kalimeris pinnatifida</t>
  </si>
  <si>
    <t>Aster iinumae</t>
  </si>
  <si>
    <t>Kalimeris.yomena</t>
  </si>
  <si>
    <t>Kalimeris yomena</t>
  </si>
  <si>
    <t>Aster yomena</t>
  </si>
  <si>
    <t>Kalmia.angustifolia</t>
  </si>
  <si>
    <t>Kalmia angustifolia</t>
  </si>
  <si>
    <t>Kalmia.polifolia</t>
  </si>
  <si>
    <t>Kalmia polifolia</t>
  </si>
  <si>
    <t>Kandetia.candel</t>
  </si>
  <si>
    <t>Kandelia candel</t>
  </si>
  <si>
    <t>Kerria.japonica</t>
  </si>
  <si>
    <t>Kerria japonica</t>
  </si>
  <si>
    <t>Knautia.arvensis</t>
  </si>
  <si>
    <t>Knautia arvensis</t>
  </si>
  <si>
    <t>Krigia.amplexicaulis</t>
  </si>
  <si>
    <t>Krigia biflora</t>
  </si>
  <si>
    <t>Kunzea.muelleri</t>
  </si>
  <si>
    <t>Kunzea muelleri</t>
  </si>
  <si>
    <t>L.acaulis</t>
  </si>
  <si>
    <t>Labourdonnaisia.callophylloides</t>
  </si>
  <si>
    <t>Labourdonnaisia calophylloides</t>
  </si>
  <si>
    <t>Lactuca.indica</t>
  </si>
  <si>
    <t>Lactuca indica</t>
  </si>
  <si>
    <t>Lactuca.floridana</t>
  </si>
  <si>
    <t>Lactuca floridana</t>
  </si>
  <si>
    <t>Lactuca.canadensis</t>
  </si>
  <si>
    <t>Lactuca canadensis</t>
  </si>
  <si>
    <t>Lagerstroemia.subcostata</t>
  </si>
  <si>
    <t>Lagerstroemia subcostata</t>
  </si>
  <si>
    <t>Lamium.amplexicaule</t>
  </si>
  <si>
    <t>Lamium amplexicaule</t>
  </si>
  <si>
    <t>Lantana.camara</t>
  </si>
  <si>
    <t>Lantana camara</t>
  </si>
  <si>
    <t>Lantana.involucrata</t>
  </si>
  <si>
    <t>Lantana involucrata</t>
  </si>
  <si>
    <t>Lantana.peducularis</t>
  </si>
  <si>
    <t>Lantana peduncularis</t>
  </si>
  <si>
    <t>Lappula.virginiana</t>
  </si>
  <si>
    <t>Hackelia virginiana</t>
  </si>
  <si>
    <t>Lappula.floribunda</t>
  </si>
  <si>
    <t>Hackelia floribunda</t>
  </si>
  <si>
    <t>Lapsana.communis</t>
  </si>
  <si>
    <t>Lapsana communis</t>
  </si>
  <si>
    <t>Larrea.divaricata</t>
  </si>
  <si>
    <t>Larrea divaricata</t>
  </si>
  <si>
    <t>Lasianthus.japonicus</t>
  </si>
  <si>
    <t>Lasianthus japonicus</t>
  </si>
  <si>
    <t>Lathyrus.subandinus</t>
  </si>
  <si>
    <t>Lathyrus subandinus</t>
  </si>
  <si>
    <t>Lathyrus.cicera</t>
  </si>
  <si>
    <t>Lathyrus cicera</t>
  </si>
  <si>
    <t>Lathyrus.nervosus</t>
  </si>
  <si>
    <t>Lathyrus nervosus</t>
  </si>
  <si>
    <t>Lathyrus.montanus</t>
  </si>
  <si>
    <t>Lathyrus linifolius</t>
  </si>
  <si>
    <t>Lathyrus.sp1.M.PL.023</t>
  </si>
  <si>
    <t>Lathyrus.clymenum</t>
  </si>
  <si>
    <t>Lathyrus clymenum</t>
  </si>
  <si>
    <t>Lathyrus.crassipes</t>
  </si>
  <si>
    <t>Lathyrus crassipes</t>
  </si>
  <si>
    <t>Lathyrus.pubescens</t>
  </si>
  <si>
    <t>Lathyrus pubescens</t>
  </si>
  <si>
    <t>Lathyrus.pratensis</t>
  </si>
  <si>
    <t>Lathyrus pratensis</t>
  </si>
  <si>
    <t>Lathyrus.ornatus</t>
  </si>
  <si>
    <t>Lathyrus decaphyllus var. decaphyllus</t>
  </si>
  <si>
    <t>Lathyrus polymorphus var. polymorphus</t>
  </si>
  <si>
    <t>Laurus.azorica</t>
  </si>
  <si>
    <t>Laurus azorica</t>
  </si>
  <si>
    <t>Lavandula.buchii</t>
  </si>
  <si>
    <t>Lavandula buchii</t>
  </si>
  <si>
    <t>Lavandula.stoechas</t>
  </si>
  <si>
    <t>Lavandula stoechas</t>
  </si>
  <si>
    <t>Lecanophora.heterophylla</t>
  </si>
  <si>
    <t>Lecanophora heterophylla</t>
  </si>
  <si>
    <t>Ledum.groenlandicum</t>
  </si>
  <si>
    <t>Rhododendron groenlandicum</t>
  </si>
  <si>
    <t>Leesia.japonica</t>
  </si>
  <si>
    <t>Leersia japonica</t>
  </si>
  <si>
    <t>Leontodon.saxatilis</t>
  </si>
  <si>
    <t>Leontodon saxatilis</t>
  </si>
  <si>
    <t>Leontodon.taraxacoides</t>
  </si>
  <si>
    <t>Leontodon taraxacoides</t>
  </si>
  <si>
    <t>Leontodon saxatilis subsp. saxatilis</t>
  </si>
  <si>
    <t>Taraxacum taraxacoides</t>
  </si>
  <si>
    <t>Leontodon.hispidus</t>
  </si>
  <si>
    <t>Leontodon hispidus</t>
  </si>
  <si>
    <t>Leontodon.autumnalis</t>
  </si>
  <si>
    <t>Leontodon autumnalis</t>
  </si>
  <si>
    <t>Scorzoneroides autumnalis</t>
  </si>
  <si>
    <t>Leonurus.cardiaca</t>
  </si>
  <si>
    <t>Leonurus cardiaca</t>
  </si>
  <si>
    <t>Lepachys.pinnata</t>
  </si>
  <si>
    <t>Ratibida pinnata</t>
  </si>
  <si>
    <t>Lepidium.virginicum</t>
  </si>
  <si>
    <t>Lepidium virginicum</t>
  </si>
  <si>
    <t>Lepidium.suffruticosum</t>
  </si>
  <si>
    <t>Lepidium graminifolium</t>
  </si>
  <si>
    <t>Leptorhynchos.squamatus</t>
  </si>
  <si>
    <t>Leptorhynchos squamatus</t>
  </si>
  <si>
    <t>Leptospermum.scoparium</t>
  </si>
  <si>
    <t>Leptospermum scoparium</t>
  </si>
  <si>
    <t>Lespedeza.virginica</t>
  </si>
  <si>
    <t>Lespedeza virginica</t>
  </si>
  <si>
    <t>Lespedeza.capitata</t>
  </si>
  <si>
    <t>Lespedeza capitata</t>
  </si>
  <si>
    <t>Lespedeza.procumbens</t>
  </si>
  <si>
    <t>Lespedeza procumbens</t>
  </si>
  <si>
    <t>Lespedeza.bicolor</t>
  </si>
  <si>
    <t>Lespedeza bicolor</t>
  </si>
  <si>
    <t>Lespedeza.thunbergii</t>
  </si>
  <si>
    <t>Lespedeza thunbergii</t>
  </si>
  <si>
    <t>Lesquerella.arctica</t>
  </si>
  <si>
    <t>Physaria arctica</t>
  </si>
  <si>
    <t>Leucaena.leucocephala</t>
  </si>
  <si>
    <t>Leucaena leucocephala</t>
  </si>
  <si>
    <t>Leucanthemum.vulgare</t>
  </si>
  <si>
    <t>Leucanthemum vulgare</t>
  </si>
  <si>
    <t>Leuceria.landbeckii</t>
  </si>
  <si>
    <t>Leucheria runcinata</t>
  </si>
  <si>
    <t>Leucheria landbeckii</t>
  </si>
  <si>
    <t>Leuceria.candidissima.</t>
  </si>
  <si>
    <t>Leucheria candidissima</t>
  </si>
  <si>
    <t>Leuceria.salina</t>
  </si>
  <si>
    <t>Leucheria salina</t>
  </si>
  <si>
    <t>Leucheria salinae</t>
  </si>
  <si>
    <t>Leucocoryne.ixioides</t>
  </si>
  <si>
    <t>Leucocoryne ixioides</t>
  </si>
  <si>
    <t>Leucocoryne.pauciflora</t>
  </si>
  <si>
    <t>Leucocoryne pauciflora</t>
  </si>
  <si>
    <t>Leucogenes.grandiceps</t>
  </si>
  <si>
    <t>Leucogenes grandiceps</t>
  </si>
  <si>
    <t>Leucopogon.montanus</t>
  </si>
  <si>
    <t>Acrothamnus montanus</t>
  </si>
  <si>
    <t>Leucosceptrum.stellipilum</t>
  </si>
  <si>
    <t>Comanthosphace stellipila</t>
  </si>
  <si>
    <t>Liatris.scariosa</t>
  </si>
  <si>
    <t>Liatris scariosa</t>
  </si>
  <si>
    <t>Liatris.pycnostachya</t>
  </si>
  <si>
    <t>Liatris pycnostachya</t>
  </si>
  <si>
    <t>Libanotis.coreana</t>
  </si>
  <si>
    <t>Seseli coreanum</t>
  </si>
  <si>
    <t>Ligularia.dentata</t>
  </si>
  <si>
    <t>Ligularia dentata</t>
  </si>
  <si>
    <t>Ligularia.japonica</t>
  </si>
  <si>
    <t>Ligularia japonica</t>
  </si>
  <si>
    <t>Ligularia.fischerii</t>
  </si>
  <si>
    <t>Ligularia fischeri</t>
  </si>
  <si>
    <t>Ligustrum.japonicum</t>
  </si>
  <si>
    <t>Ligustrum japonicum</t>
  </si>
  <si>
    <t>Ligustrum.obtusifolium</t>
  </si>
  <si>
    <t>Ligustrum obtusifolium</t>
  </si>
  <si>
    <t>Lilium.leichtlinii</t>
  </si>
  <si>
    <t>Lilium leichtlinii</t>
  </si>
  <si>
    <t>Lilium.superbum</t>
  </si>
  <si>
    <t>Lilium superbum</t>
  </si>
  <si>
    <t>Limophila.sessiliflora</t>
  </si>
  <si>
    <t>Limnophila sessiliflora</t>
  </si>
  <si>
    <t>Linaria.vulgaris</t>
  </si>
  <si>
    <t>Linaria vulgaris</t>
  </si>
  <si>
    <t>Lindera.sericea</t>
  </si>
  <si>
    <t>Lindera sericea</t>
  </si>
  <si>
    <t>Lindera.obtusiloba</t>
  </si>
  <si>
    <t>Lindera obtusiloba</t>
  </si>
  <si>
    <t>Lindera.umbellata</t>
  </si>
  <si>
    <t>Lindera umbellata</t>
  </si>
  <si>
    <t>Lindernia.procumbens</t>
  </si>
  <si>
    <t>Lindernia procumbens</t>
  </si>
  <si>
    <t>Lindernia.dubia</t>
  </si>
  <si>
    <t>Lindernia dubia</t>
  </si>
  <si>
    <t>Linnaea.borealis</t>
  </si>
  <si>
    <t>Linnaea borealis</t>
  </si>
  <si>
    <t>Linum.strictum</t>
  </si>
  <si>
    <t>Linum strictum</t>
  </si>
  <si>
    <t>Linum.catharticum</t>
  </si>
  <si>
    <t>Linum catharticum</t>
  </si>
  <si>
    <t>Linum.sp1.M.PL.058</t>
  </si>
  <si>
    <t>Liparis.liliifolia</t>
  </si>
  <si>
    <t>Liparis liliifolia</t>
  </si>
  <si>
    <t>Lippia.lanceolata</t>
  </si>
  <si>
    <t>Phyla lanceolata</t>
  </si>
  <si>
    <t>Lippia.rosmarinifolia</t>
  </si>
  <si>
    <t>Lippia rosmarinifolia</t>
  </si>
  <si>
    <t>Lippia.nodiflora</t>
  </si>
  <si>
    <t>Phyla nodiflora</t>
  </si>
  <si>
    <t>Liriope.platyphylla</t>
  </si>
  <si>
    <t>Liriope muscari</t>
  </si>
  <si>
    <t>Lithospermum.canescens</t>
  </si>
  <si>
    <t>Lithospermum canescens</t>
  </si>
  <si>
    <t>Litsea.japonica</t>
  </si>
  <si>
    <t>Litsea japonica</t>
  </si>
  <si>
    <t>Litsea.citriodora</t>
  </si>
  <si>
    <t>Lindera citriodora</t>
  </si>
  <si>
    <t>Loasa.incurva.</t>
  </si>
  <si>
    <t>Pinnasa incurva</t>
  </si>
  <si>
    <t>Loasa.heterophylla</t>
  </si>
  <si>
    <t>Loasa heterophylla</t>
  </si>
  <si>
    <t>Loasa.sigmoidea</t>
  </si>
  <si>
    <t>Loasa sigmoidea</t>
  </si>
  <si>
    <t>Loasa.caespitosa</t>
  </si>
  <si>
    <t>Loasa caespitosa</t>
  </si>
  <si>
    <t>Lobelia.inflata</t>
  </si>
  <si>
    <t>Lobelia inflata</t>
  </si>
  <si>
    <t>Lobelia.cardinalis</t>
  </si>
  <si>
    <t>Lobelia cardinalis</t>
  </si>
  <si>
    <t>Lobelia.spicata</t>
  </si>
  <si>
    <t>Lobelia spicata</t>
  </si>
  <si>
    <t>Lobelia.leptostachys</t>
  </si>
  <si>
    <t>Lobelia.siphilitica</t>
  </si>
  <si>
    <t>Lobelia siphilitica</t>
  </si>
  <si>
    <t>Lobelia.cardinalis.x.siphilitica</t>
  </si>
  <si>
    <t>Lonicera.morrowii</t>
  </si>
  <si>
    <t>Lonicera morrowii</t>
  </si>
  <si>
    <t>Lonicera.sullivantii</t>
  </si>
  <si>
    <t>Lonicera reticulata</t>
  </si>
  <si>
    <t>Lonicera.gracilipes</t>
  </si>
  <si>
    <t>Lonicera gracilipes</t>
  </si>
  <si>
    <t>Lonicera.sempervirens</t>
  </si>
  <si>
    <t>Lonicera sempervirens</t>
  </si>
  <si>
    <t>Lonicera.alpigena.</t>
  </si>
  <si>
    <t>Lonicera alpigena</t>
  </si>
  <si>
    <t>Lonicera.periclymenum</t>
  </si>
  <si>
    <t>Lonicera periclymenum</t>
  </si>
  <si>
    <t>Lotus.glaucus</t>
  </si>
  <si>
    <t>Lotus glaucus</t>
  </si>
  <si>
    <t>Lotus.sp1.M.PL.050</t>
  </si>
  <si>
    <t>Lotus.corniculatus</t>
  </si>
  <si>
    <t>Lotus corniculatus</t>
  </si>
  <si>
    <t>Lotus.uliginosus</t>
  </si>
  <si>
    <t>Lotus corniculatus subsp. corniculatus</t>
  </si>
  <si>
    <t>Ludvigia.alternifolia</t>
  </si>
  <si>
    <t>Ludwigia alternifolia</t>
  </si>
  <si>
    <t>Ludvigia.polycarpa</t>
  </si>
  <si>
    <t>Ludwigia polycarpa</t>
  </si>
  <si>
    <t>Ludwigia.epilobioides</t>
  </si>
  <si>
    <t>Ludwigia epilobioides</t>
  </si>
  <si>
    <t>Ludwigia.decurrens</t>
  </si>
  <si>
    <t>Ludwigia decurrens</t>
  </si>
  <si>
    <t>Ludwigia.nervosa</t>
  </si>
  <si>
    <t>Ludwigia nervosa</t>
  </si>
  <si>
    <t>Ludwigia.octovalvis</t>
  </si>
  <si>
    <t>Ludwigia octovalvis</t>
  </si>
  <si>
    <t>Luma.apiculata</t>
  </si>
  <si>
    <t>Luma apiculata</t>
  </si>
  <si>
    <t>Lupinus.microcarpus</t>
  </si>
  <si>
    <t>Lupinus microcarpus</t>
  </si>
  <si>
    <t>Lupinus.polyphyllus</t>
  </si>
  <si>
    <t>Lupinus polyphyllus</t>
  </si>
  <si>
    <t>Luzula.capitata</t>
  </si>
  <si>
    <t>Luzula capitata</t>
  </si>
  <si>
    <t>Luzuriaga.polyphylla</t>
  </si>
  <si>
    <t>Luzuriaga polyphylla</t>
  </si>
  <si>
    <t>Luzuriaga.radicans</t>
  </si>
  <si>
    <t>Luzuriaga radicans</t>
  </si>
  <si>
    <t>Lychnis.flos-cuculi</t>
  </si>
  <si>
    <t>Silene flos-cuculi</t>
  </si>
  <si>
    <t>Lychnis.gracillima</t>
  </si>
  <si>
    <t>Silene gracillima</t>
  </si>
  <si>
    <t>Lycopersicon.cheesmanii.minor</t>
  </si>
  <si>
    <t>Solanum cheesmaniae</t>
  </si>
  <si>
    <t>Lycopersicon.cheesmanii</t>
  </si>
  <si>
    <t>Lycopersicon cheesmanii</t>
  </si>
  <si>
    <t>Lycopus.rubellus</t>
  </si>
  <si>
    <t>Lycopus rubellus</t>
  </si>
  <si>
    <t>Lycopus.americanus</t>
  </si>
  <si>
    <t>Lycopus americanus</t>
  </si>
  <si>
    <t>Lycopus.ramosissimus</t>
  </si>
  <si>
    <t>Lycopus cavaleriei</t>
  </si>
  <si>
    <t>Lyonia.ovalifolia</t>
  </si>
  <si>
    <t>Lyonia ovalifolia</t>
  </si>
  <si>
    <t>Lysimachia.mauiriana</t>
  </si>
  <si>
    <t>Lysimachia mauritiana</t>
  </si>
  <si>
    <t>Lysimachia.vulgaris</t>
  </si>
  <si>
    <t>Lysimachia vulgaris</t>
  </si>
  <si>
    <t>Lysimachia.fortunei</t>
  </si>
  <si>
    <t>Lysimachia fortunei</t>
  </si>
  <si>
    <t>Lysimachia.nummularia</t>
  </si>
  <si>
    <t>Lysimachia nummularia</t>
  </si>
  <si>
    <t>Lysimachia.clethroides</t>
  </si>
  <si>
    <t>Lysimachia clethroides</t>
  </si>
  <si>
    <t>Lythrum.salicaria</t>
  </si>
  <si>
    <t>Lythrum salicaria</t>
  </si>
  <si>
    <t>Lythrum.alatum</t>
  </si>
  <si>
    <t>Lythrum alatum</t>
  </si>
  <si>
    <t>Lythrum.anceps</t>
  </si>
  <si>
    <t>Maackia.tashiroi</t>
  </si>
  <si>
    <t>Maackia tashiroi</t>
  </si>
  <si>
    <t>Macairea.pachyphylla</t>
  </si>
  <si>
    <t>Macairea pachyphylla</t>
  </si>
  <si>
    <t>Macairea.parvifolia</t>
  </si>
  <si>
    <t>Macairea parvifolia</t>
  </si>
  <si>
    <t>Machitus.thunbergii</t>
  </si>
  <si>
    <t>Machilus thunbergii</t>
  </si>
  <si>
    <t>Macleaya.cordata</t>
  </si>
  <si>
    <t>Macleaya cordata</t>
  </si>
  <si>
    <t>Macraea.laricifolia</t>
  </si>
  <si>
    <t>Trigonopterum laricifolium</t>
  </si>
  <si>
    <t>Macraea laricifolia</t>
  </si>
  <si>
    <t>Madia.sativa</t>
  </si>
  <si>
    <t>Madia sativa</t>
  </si>
  <si>
    <t>Maesa.tenera</t>
  </si>
  <si>
    <t>Maesa perlaria var. formosana</t>
  </si>
  <si>
    <t>Maesa tenera</t>
  </si>
  <si>
    <t>Magnolia.salicifolia</t>
  </si>
  <si>
    <t>Magnolia salicifolia</t>
  </si>
  <si>
    <t>Mahonia.japonica</t>
  </si>
  <si>
    <t>Mahonia japonica</t>
  </si>
  <si>
    <t>Berberis japonica</t>
  </si>
  <si>
    <t>Maianthemum.canadense</t>
  </si>
  <si>
    <t>Maianthemum canadense</t>
  </si>
  <si>
    <t>Malcolmia.chia</t>
  </si>
  <si>
    <t>Malcolmia chia</t>
  </si>
  <si>
    <t>Malesherbia.linearifolius</t>
  </si>
  <si>
    <t>Malesherbia linearifolia</t>
  </si>
  <si>
    <t>Mallotus.japonicus</t>
  </si>
  <si>
    <t>Mallotus japonicus</t>
  </si>
  <si>
    <t>Malpighia.glabra</t>
  </si>
  <si>
    <t>Malpighia glabra</t>
  </si>
  <si>
    <t>Malus.sieboldii</t>
  </si>
  <si>
    <t>Malus toringo</t>
  </si>
  <si>
    <t>Malus.halliana</t>
  </si>
  <si>
    <t>Malus halliana</t>
  </si>
  <si>
    <t>Malva.rotundifolia</t>
  </si>
  <si>
    <t>Malva pusilla</t>
  </si>
  <si>
    <t>Malva.sylvestris</t>
  </si>
  <si>
    <t>Malva sylvestris</t>
  </si>
  <si>
    <t>Malvastrum.coccineum</t>
  </si>
  <si>
    <t>Sphaeralcea coccinea</t>
  </si>
  <si>
    <t>Malvastrum.coromandelianum</t>
  </si>
  <si>
    <t>Malvastrum coromandelianum</t>
  </si>
  <si>
    <t>Mandevilla.benthamii</t>
  </si>
  <si>
    <t>Mandevilla benthamii</t>
  </si>
  <si>
    <t>Marcetia.taxifolia</t>
  </si>
  <si>
    <t>Marcetia taxifolia</t>
  </si>
  <si>
    <t>Marrubium.vulgare</t>
  </si>
  <si>
    <t>Marrubium vulgare</t>
  </si>
  <si>
    <t>Martynia.louisiana</t>
  </si>
  <si>
    <t>Proboscidea louisianica subsp. louisianica</t>
  </si>
  <si>
    <t>Medeola.virginiana</t>
  </si>
  <si>
    <t>Medeola virginiana</t>
  </si>
  <si>
    <t>Medicago.lupulina</t>
  </si>
  <si>
    <t>Medicago lupulina</t>
  </si>
  <si>
    <t>Medusagyne.oppositifolia</t>
  </si>
  <si>
    <t>Medusagyne oppositifolia</t>
  </si>
  <si>
    <t>Meehania.urticifolia</t>
  </si>
  <si>
    <t>Meehania urticifolia</t>
  </si>
  <si>
    <t>Melandrium.triflorum</t>
  </si>
  <si>
    <t>Silene sorensenis</t>
  </si>
  <si>
    <t>Silene taimyrensis</t>
  </si>
  <si>
    <t>Melanthium.virginicum</t>
  </si>
  <si>
    <t>Melanthium virginicum</t>
  </si>
  <si>
    <t>Melastoma.candidum</t>
  </si>
  <si>
    <t>Melastoma malabathricum subsp. malabathricum</t>
  </si>
  <si>
    <t>Melilotus.officinalis</t>
  </si>
  <si>
    <t>Melilotus officinalis</t>
  </si>
  <si>
    <t>Melilotus.albus</t>
  </si>
  <si>
    <t>Melilotus albus</t>
  </si>
  <si>
    <t>Melilotus.alba</t>
  </si>
  <si>
    <t>Meliosma.oldhamii</t>
  </si>
  <si>
    <t>Meliosma oldhamii</t>
  </si>
  <si>
    <t>Meliosma.rigida</t>
  </si>
  <si>
    <t>Meliosma rigida</t>
  </si>
  <si>
    <t>Meliosma.tenuis</t>
  </si>
  <si>
    <t>Meliosma tenuis</t>
  </si>
  <si>
    <t>Melochia.villosa</t>
  </si>
  <si>
    <t>Melochia spicata</t>
  </si>
  <si>
    <t>Melochia spicata var. spicata</t>
  </si>
  <si>
    <t>Melochia villosa</t>
  </si>
  <si>
    <t>Melochia.nodiflora</t>
  </si>
  <si>
    <t>Melochia nodiflora</t>
  </si>
  <si>
    <t>Memecylon.eleagni</t>
  </si>
  <si>
    <t>Memecylon elaeagni</t>
  </si>
  <si>
    <t>Memecylon.ovatifolium</t>
  </si>
  <si>
    <t>Memecylon ovatifolium</t>
  </si>
  <si>
    <t>Menonvillea.hookeri.</t>
  </si>
  <si>
    <t>Menonvillea scapigera subsp. longipes</t>
  </si>
  <si>
    <t>Mentha.arvensis</t>
  </si>
  <si>
    <t>Mentha arvensis</t>
  </si>
  <si>
    <t>Mentha.aquatica</t>
  </si>
  <si>
    <t>Mentha aquatica</t>
  </si>
  <si>
    <t>Mentha.longifolia</t>
  </si>
  <si>
    <t>Mentha longifolia</t>
  </si>
  <si>
    <t>Mentzelia.aspera</t>
  </si>
  <si>
    <t>Mentzelia aspera</t>
  </si>
  <si>
    <t>Mentzelia.multiflora</t>
  </si>
  <si>
    <t>Mentzelia multiflora</t>
  </si>
  <si>
    <t>Menziesia.pentandra</t>
  </si>
  <si>
    <t>Rhododendron pentandrum</t>
  </si>
  <si>
    <t>Meriana.sclerophylla</t>
  </si>
  <si>
    <t>Meriania sclerophylla</t>
  </si>
  <si>
    <t>Merremia.umbellata</t>
  </si>
  <si>
    <t>Merremia umbellata</t>
  </si>
  <si>
    <t>Camonea umbellata</t>
  </si>
  <si>
    <t>Mertensia.sibirica</t>
  </si>
  <si>
    <t>Mertensia sibirica</t>
  </si>
  <si>
    <t>Mertensia.virginica</t>
  </si>
  <si>
    <t>Mertensia virginica</t>
  </si>
  <si>
    <t>Mertensia.pratensis</t>
  </si>
  <si>
    <t>Mertensia pratensis</t>
  </si>
  <si>
    <t>Metothria.tiukiuensis</t>
  </si>
  <si>
    <t>Zehneria guamensis</t>
  </si>
  <si>
    <t>Zehneria liukiuensis</t>
  </si>
  <si>
    <t>Miconia.stephananthera</t>
  </si>
  <si>
    <t>Miconia stephananthera</t>
  </si>
  <si>
    <t>Miconia.robinsoniana</t>
  </si>
  <si>
    <t>Miconia robinsoniana</t>
  </si>
  <si>
    <t>Miconia.ciliata</t>
  </si>
  <si>
    <t>Miconia ciliata</t>
  </si>
  <si>
    <t>Miconia.sp1.M.PL.040</t>
  </si>
  <si>
    <t>Miconia.striata</t>
  </si>
  <si>
    <t>Miconia striata</t>
  </si>
  <si>
    <t>Microseris.lanceolata</t>
  </si>
  <si>
    <t>Microseris lanceolata</t>
  </si>
  <si>
    <t>Mikania.psilotachya</t>
  </si>
  <si>
    <t>Mikania psilostachya</t>
  </si>
  <si>
    <t>Mikania.micrantha</t>
  </si>
  <si>
    <t>Mikania micrantha</t>
  </si>
  <si>
    <t>Mimosa.casta</t>
  </si>
  <si>
    <t>Mimosa casta</t>
  </si>
  <si>
    <t>Mimosa.camporum</t>
  </si>
  <si>
    <t>Mimosa camporum</t>
  </si>
  <si>
    <t>Mimosa.pudica</t>
  </si>
  <si>
    <t>Mimosa pudica</t>
  </si>
  <si>
    <t>Mimosa.tandilensis</t>
  </si>
  <si>
    <t>Mimosa tandilensis</t>
  </si>
  <si>
    <t>Mimulus.alatus</t>
  </si>
  <si>
    <t>Mimulus alatus</t>
  </si>
  <si>
    <t>Mimulus.ringens</t>
  </si>
  <si>
    <t>Mimulus ringens</t>
  </si>
  <si>
    <t>Mimulus.sp1.M.PL.023</t>
  </si>
  <si>
    <t>Mimusops.sechellarum</t>
  </si>
  <si>
    <t>Mimusops sechellarum</t>
  </si>
  <si>
    <t>Mimusops.erythroxylon</t>
  </si>
  <si>
    <t>Mimusops erythroxylon</t>
  </si>
  <si>
    <t>Mirabilis.jalapa</t>
  </si>
  <si>
    <t>Mirabilis jalapa</t>
  </si>
  <si>
    <t>Miraglossum.verticillare</t>
  </si>
  <si>
    <t>Miraglossum verticillare</t>
  </si>
  <si>
    <t>Miraglossum.pilosum</t>
  </si>
  <si>
    <t>Miraglossum pilosum</t>
  </si>
  <si>
    <t>Mitraria.coccinea</t>
  </si>
  <si>
    <t>Mitraria coccinea</t>
  </si>
  <si>
    <t>Moehringia.lateriflora</t>
  </si>
  <si>
    <t>Moehringia lateriflora</t>
  </si>
  <si>
    <t>Molinaea.macrantha</t>
  </si>
  <si>
    <t>Molinaea macrantha</t>
  </si>
  <si>
    <t>Molinaea.alternifolia</t>
  </si>
  <si>
    <t>Molinaea alternifolia</t>
  </si>
  <si>
    <t>Mollugo.verticillata</t>
  </si>
  <si>
    <t>Mollugo verticillata</t>
  </si>
  <si>
    <t>Momordica.charantia.</t>
  </si>
  <si>
    <t>Momordica charantia</t>
  </si>
  <si>
    <t>Monarda.bradburiana</t>
  </si>
  <si>
    <t>Monarda bradburiana</t>
  </si>
  <si>
    <t>Monarda bradburyana</t>
  </si>
  <si>
    <t>Monarda.fistulosa</t>
  </si>
  <si>
    <t>Monarda fistulosa</t>
  </si>
  <si>
    <t>Monimiastrum.globosum</t>
  </si>
  <si>
    <t>Eugenia kanakana</t>
  </si>
  <si>
    <t>Monochoria.korsakowii</t>
  </si>
  <si>
    <t>Pontederia korsakowii</t>
  </si>
  <si>
    <t>Monochoria.vaginalis</t>
  </si>
  <si>
    <t>Pontederia vaginalis</t>
  </si>
  <si>
    <t>Montiopsis.gilliesii.</t>
  </si>
  <si>
    <t>Montiopsis gilliesii</t>
  </si>
  <si>
    <t>Montricharida.arborescens</t>
  </si>
  <si>
    <t>Montrichardia arborescens</t>
  </si>
  <si>
    <t>Morinda.citrifolia</t>
  </si>
  <si>
    <t>Morinda citrifolia</t>
  </si>
  <si>
    <t>Morinda.umbellata</t>
  </si>
  <si>
    <t>Morinda umbellata</t>
  </si>
  <si>
    <t>Gynochthodes umbellata</t>
  </si>
  <si>
    <t>Morinda.royoc</t>
  </si>
  <si>
    <t>Morinda royoc</t>
  </si>
  <si>
    <t>Mormordica.charantia</t>
  </si>
  <si>
    <t>Mosla.dianthera</t>
  </si>
  <si>
    <t>Mosla dianthera</t>
  </si>
  <si>
    <t>Muehlenbeckia.complexa</t>
  </si>
  <si>
    <t>Muehlenbeckia complexa</t>
  </si>
  <si>
    <t>Muehlenbeckia.axillaris</t>
  </si>
  <si>
    <t>Muehlenbeckia axillaris</t>
  </si>
  <si>
    <t>Mulinum.spinosum</t>
  </si>
  <si>
    <t>Azorella prolifera</t>
  </si>
  <si>
    <t>Murdannia.keisak</t>
  </si>
  <si>
    <t>Murdannia keisak</t>
  </si>
  <si>
    <t>Musa.balbisiana</t>
  </si>
  <si>
    <t>Musa balbisiana</t>
  </si>
  <si>
    <t>Musaenda.parviflora</t>
  </si>
  <si>
    <t>Mussaenda parviflora</t>
  </si>
  <si>
    <t>Muscari.comosum</t>
  </si>
  <si>
    <t>Muscari comosum</t>
  </si>
  <si>
    <t>Muscari.commutatum</t>
  </si>
  <si>
    <t>Muscari commutatum</t>
  </si>
  <si>
    <t>Muscari.neglectum</t>
  </si>
  <si>
    <t>Muscari neglectum</t>
  </si>
  <si>
    <t>Mustisia.subulata</t>
  </si>
  <si>
    <t>Mutisia subulata</t>
  </si>
  <si>
    <t>Mustisia.sinuata</t>
  </si>
  <si>
    <t>Mutisia sinuata</t>
  </si>
  <si>
    <t>Mustisia.acerosa</t>
  </si>
  <si>
    <t>Mutisia acerosa</t>
  </si>
  <si>
    <t>Mutisia.decurrens</t>
  </si>
  <si>
    <t>Mutisia decurrens</t>
  </si>
  <si>
    <t>Myonima.violacea</t>
  </si>
  <si>
    <t>Ixora parviflora var. parviflora</t>
  </si>
  <si>
    <t>Myonima.violacea.var.ovata</t>
  </si>
  <si>
    <t>Ixora parviflora var. ovata</t>
  </si>
  <si>
    <t>Myosotis.virginica</t>
  </si>
  <si>
    <t>Myosotis virginica</t>
  </si>
  <si>
    <t>Myosotis verna</t>
  </si>
  <si>
    <t>Myosotis.palustris</t>
  </si>
  <si>
    <t>Myosotis scorpioides subsp. scorpioides</t>
  </si>
  <si>
    <t>Myosotis scorpioides</t>
  </si>
  <si>
    <t>Myosurus.minimus</t>
  </si>
  <si>
    <t>Myosurus minimus</t>
  </si>
  <si>
    <t>Ranunculus minimus</t>
  </si>
  <si>
    <t>Myrceugenia.ovata.var..ovata</t>
  </si>
  <si>
    <t>Myrceugenia ovata var. ovata</t>
  </si>
  <si>
    <t>Myrceugenia.parvifolia</t>
  </si>
  <si>
    <t>Myrceugenia parvifolia</t>
  </si>
  <si>
    <t>Myrceugenia.planipes</t>
  </si>
  <si>
    <t>Myrceugenia planipes</t>
  </si>
  <si>
    <t>Myrsine.segttinii</t>
  </si>
  <si>
    <t>Myrsine seguinii</t>
  </si>
  <si>
    <t>Myrteola.nummularia</t>
  </si>
  <si>
    <t>Myrteola nummularia</t>
  </si>
  <si>
    <t>Myrtus.communis</t>
  </si>
  <si>
    <t>Myrtus communis</t>
  </si>
  <si>
    <t>Nandina.domestica</t>
  </si>
  <si>
    <t>Nandina domestica</t>
  </si>
  <si>
    <t>Nardophyllum.lanatum</t>
  </si>
  <si>
    <t>Nardophyllum lanatum</t>
  </si>
  <si>
    <t>Nassauvia.lagascae</t>
  </si>
  <si>
    <t>Nassauvia lagascae</t>
  </si>
  <si>
    <t>Nassauvia.pinnigera</t>
  </si>
  <si>
    <t>Nassauvia pinnigera</t>
  </si>
  <si>
    <t>Nassauvia.pungens</t>
  </si>
  <si>
    <t>Nassauvia pyramidalis</t>
  </si>
  <si>
    <t>Nassauvia.heterophylla</t>
  </si>
  <si>
    <t>Nassauvia magellanica</t>
  </si>
  <si>
    <t>Nassauvia.axillaris</t>
  </si>
  <si>
    <t>Nassauvia axillaris</t>
  </si>
  <si>
    <t>Nastanthus.aglomeratus</t>
  </si>
  <si>
    <t>Gamocarpha ventosa</t>
  </si>
  <si>
    <t>Nastanthus.spathulatus</t>
  </si>
  <si>
    <t>Gamocarpha scapigera</t>
  </si>
  <si>
    <t>Nectandra.coriacea</t>
  </si>
  <si>
    <t>Damburneya coriacea</t>
  </si>
  <si>
    <t>Nelumbo.lutea</t>
  </si>
  <si>
    <t>Nelumbo lutea</t>
  </si>
  <si>
    <t>Nemopanthus.mucronata</t>
  </si>
  <si>
    <t>Ilex mucronata</t>
  </si>
  <si>
    <t>Neopaxia.australasica</t>
  </si>
  <si>
    <t>Montia australasica</t>
  </si>
  <si>
    <t>Neopaxia australasica</t>
  </si>
  <si>
    <t>Neoregelia.magdalaenae</t>
  </si>
  <si>
    <t>Neoregelia magdalenae</t>
  </si>
  <si>
    <t>Neoregelia.sp</t>
  </si>
  <si>
    <t>Nepenthes.pervillei</t>
  </si>
  <si>
    <t>Nepenthes pervillei</t>
  </si>
  <si>
    <t>Nepeta.teydea</t>
  </si>
  <si>
    <t>Nepeta teydea</t>
  </si>
  <si>
    <t>Nepeta.hederacea</t>
  </si>
  <si>
    <t>Nepeta hederacea</t>
  </si>
  <si>
    <t>Nepeta.cataria</t>
  </si>
  <si>
    <t>Nepeta cataria</t>
  </si>
  <si>
    <t>Nephrosperma.vanhoutteanum</t>
  </si>
  <si>
    <t>Nephrosperma vanhoutteanum</t>
  </si>
  <si>
    <t>Nidularium.procerum</t>
  </si>
  <si>
    <t>Nidularium procerum</t>
  </si>
  <si>
    <t>Nidularium.campo-alegrensis</t>
  </si>
  <si>
    <t>Nidularium campo-alegrensis</t>
  </si>
  <si>
    <t>Nidularium.cariacicaense</t>
  </si>
  <si>
    <t>Nidularium cariacicaense</t>
  </si>
  <si>
    <t>Nigella.arvensis</t>
  </si>
  <si>
    <t>Nigella arvensis</t>
  </si>
  <si>
    <t>Noechamaelea.pulverulenta</t>
  </si>
  <si>
    <t>Cneorum pulverulentum</t>
  </si>
  <si>
    <t>Nolana.galapagensis</t>
  </si>
  <si>
    <t>Nolana galapagensis</t>
  </si>
  <si>
    <t>Northea.hornei</t>
  </si>
  <si>
    <t>Northia seychellana</t>
  </si>
  <si>
    <t>Nothoscordum.andinum</t>
  </si>
  <si>
    <t>Latace andina</t>
  </si>
  <si>
    <t>Nothoscordum.bivalve</t>
  </si>
  <si>
    <t>Nothoscordum bivalve</t>
  </si>
  <si>
    <t>Nothoscordum.bonariense</t>
  </si>
  <si>
    <t>Nothoscordum bonariense</t>
  </si>
  <si>
    <t>Notopora.schomburgkii</t>
  </si>
  <si>
    <t>Notopora schomburgkii</t>
  </si>
  <si>
    <t>Nototriche.compacta</t>
  </si>
  <si>
    <t>Nototriche compacta</t>
  </si>
  <si>
    <t>Nymphaea.advena</t>
  </si>
  <si>
    <t>Nuphar advena subsp. advena</t>
  </si>
  <si>
    <t>Nuphar advena</t>
  </si>
  <si>
    <t>Nymphaea.marliacea</t>
  </si>
  <si>
    <t>Nymphaea ×marliacea</t>
  </si>
  <si>
    <t>Ochna.kirkii</t>
  </si>
  <si>
    <t>Ochna kirkii</t>
  </si>
  <si>
    <t>Ochna.mauritiana</t>
  </si>
  <si>
    <t>Ochna mauritiana</t>
  </si>
  <si>
    <t>Ocotea.laevigata</t>
  </si>
  <si>
    <t>Mespilodaphne cupularis</t>
  </si>
  <si>
    <t>Ocotea laevigata</t>
  </si>
  <si>
    <t>Odontonema.nitidum</t>
  </si>
  <si>
    <t>Odontonema nitidum</t>
  </si>
  <si>
    <t>Oenanthe.javanica</t>
  </si>
  <si>
    <t>Oenanthe javanica</t>
  </si>
  <si>
    <t>Oenothera.indecora</t>
  </si>
  <si>
    <t>Oenothera indecora</t>
  </si>
  <si>
    <t>Oenothera.fruticosa</t>
  </si>
  <si>
    <t>Oenothera fruticosa</t>
  </si>
  <si>
    <t>Oenothera.mendocinensis</t>
  </si>
  <si>
    <t>Oenothera mendocinensis</t>
  </si>
  <si>
    <t>Oenothera.acaulis</t>
  </si>
  <si>
    <t>Oenothera acaulis</t>
  </si>
  <si>
    <t>Oenothera.biennis</t>
  </si>
  <si>
    <t>Oenothera biennis</t>
  </si>
  <si>
    <t>Olea.lancea</t>
  </si>
  <si>
    <t>Olea lancea</t>
  </si>
  <si>
    <t>Olearia.virgata</t>
  </si>
  <si>
    <t>Olearia virgata</t>
  </si>
  <si>
    <t>Olearia.phlogopappa</t>
  </si>
  <si>
    <t>Olearia phlogopappa</t>
  </si>
  <si>
    <t>Omphalodes.japonica</t>
  </si>
  <si>
    <t>Nihon japonicum</t>
  </si>
  <si>
    <t>Onagra.biennis</t>
  </si>
  <si>
    <t>Ononis.ornithopioides</t>
  </si>
  <si>
    <t>Ononis ornithopodioides</t>
  </si>
  <si>
    <t>Ophrys.lutea</t>
  </si>
  <si>
    <t>Ophrys lutea</t>
  </si>
  <si>
    <t>Ophrys.sphegodes</t>
  </si>
  <si>
    <t>Ophrys sphegodes</t>
  </si>
  <si>
    <t>Ophrys.tenthredinifera</t>
  </si>
  <si>
    <t>Ophrys tenthredinifera</t>
  </si>
  <si>
    <t>Opulaster.opulifolius</t>
  </si>
  <si>
    <t>Physocarpus opulifolius</t>
  </si>
  <si>
    <t>Opuntia.megasperma</t>
  </si>
  <si>
    <t>Opuntia galapageia</t>
  </si>
  <si>
    <t>Opuntia galapageia var. galapageia</t>
  </si>
  <si>
    <t>Opuntia megasperma</t>
  </si>
  <si>
    <t>Opuntia.echios.gigantea</t>
  </si>
  <si>
    <t>Opuntia galapageia var. gigantea</t>
  </si>
  <si>
    <t>Opuntia echios</t>
  </si>
  <si>
    <t>Opuntia.sp2.M.PL.026</t>
  </si>
  <si>
    <t>Opuntia.helleri</t>
  </si>
  <si>
    <t>Opuntia galapageia var. helleri</t>
  </si>
  <si>
    <t>Opuntia helleri</t>
  </si>
  <si>
    <t>Opuntia.corrugata</t>
  </si>
  <si>
    <t>Airampoa corrugata</t>
  </si>
  <si>
    <t>Opuntia.sp1.M.PL.072</t>
  </si>
  <si>
    <t>Opuntia.echios</t>
  </si>
  <si>
    <t>Opuntia galapageia var. myriacantha</t>
  </si>
  <si>
    <t>Opuntia.stricta</t>
  </si>
  <si>
    <t>Opuntia stricta</t>
  </si>
  <si>
    <t>Opuntia.sp1.M.PL.026</t>
  </si>
  <si>
    <t>Orchis.spectabilis</t>
  </si>
  <si>
    <t>Galearis spectabilis</t>
  </si>
  <si>
    <t>Orchis.morio</t>
  </si>
  <si>
    <t>Orchis morio</t>
  </si>
  <si>
    <t>Anacamptis morio</t>
  </si>
  <si>
    <t>Oreochrysum.parryi</t>
  </si>
  <si>
    <t>Oreochrysum parryi</t>
  </si>
  <si>
    <t>Oreopolus.glacialis</t>
  </si>
  <si>
    <t>Oreopolus glacialis</t>
  </si>
  <si>
    <t>Orites.lancifolia</t>
  </si>
  <si>
    <t>Orites lancifolius</t>
  </si>
  <si>
    <t>Orixa.japonica</t>
  </si>
  <si>
    <t>Orixa japonica</t>
  </si>
  <si>
    <t>Ormocaipum.cochinchinense</t>
  </si>
  <si>
    <t>Ormocarpum cochinchinense</t>
  </si>
  <si>
    <t>Ornithogalum.exscapum</t>
  </si>
  <si>
    <t>Ornithogalum exscapum</t>
  </si>
  <si>
    <t>Orobanche.uniflora</t>
  </si>
  <si>
    <t>Aphyllon uniflorum</t>
  </si>
  <si>
    <t>Orobanche uniflora</t>
  </si>
  <si>
    <t>Osmorrhiza.longistylis</t>
  </si>
  <si>
    <t>Osmorhiza longistylis</t>
  </si>
  <si>
    <t>Osterium.sieboldii</t>
  </si>
  <si>
    <t>Ostericum sieboldii</t>
  </si>
  <si>
    <t>Osyris.quadripartita</t>
  </si>
  <si>
    <t>Osyris quadripartita</t>
  </si>
  <si>
    <t>Osyris lanceolata</t>
  </si>
  <si>
    <t>Osyris.alba</t>
  </si>
  <si>
    <t>Osyris alba</t>
  </si>
  <si>
    <t>Ourisia.caespitosa</t>
  </si>
  <si>
    <t>Ourisia caespitosa</t>
  </si>
  <si>
    <t>Ourisia.macrocarpa</t>
  </si>
  <si>
    <t>Ourisia macrocarpa</t>
  </si>
  <si>
    <t>Ovidia.pillopillo</t>
  </si>
  <si>
    <t>Ovidia pillo-pillo</t>
  </si>
  <si>
    <t>Ovidia andina</t>
  </si>
  <si>
    <t>Oxalis.corniculata</t>
  </si>
  <si>
    <t>Oxalis corniculata</t>
  </si>
  <si>
    <t>Oxalis.compacta</t>
  </si>
  <si>
    <t>Oxalis compacta</t>
  </si>
  <si>
    <t>Oxalis.sp1</t>
  </si>
  <si>
    <t>Oxalis.violacea</t>
  </si>
  <si>
    <t>Oxalis violacea</t>
  </si>
  <si>
    <t>Oxalis.articulata</t>
  </si>
  <si>
    <t>Oxalis articulata</t>
  </si>
  <si>
    <t>Oxalis.montana</t>
  </si>
  <si>
    <t>Oxalis montana</t>
  </si>
  <si>
    <t>Oxalis.sp1.M.PL.023</t>
  </si>
  <si>
    <t>Oxalis.barrelieri</t>
  </si>
  <si>
    <t>Oxalis barrelieri</t>
  </si>
  <si>
    <t>Oxalis.geminata</t>
  </si>
  <si>
    <t>Oxalis squamata</t>
  </si>
  <si>
    <t>Oxalis.stricta</t>
  </si>
  <si>
    <t>Oxalis stricta</t>
  </si>
  <si>
    <t>Oxalis.acetosella</t>
  </si>
  <si>
    <t>Oxalis acetosella</t>
  </si>
  <si>
    <t>Oxalis.corymbosa</t>
  </si>
  <si>
    <t>Oxalis debilis</t>
  </si>
  <si>
    <t>Oxalis.sp2</t>
  </si>
  <si>
    <t>Oxalis.frutescens</t>
  </si>
  <si>
    <t>Oxalis frutescens</t>
  </si>
  <si>
    <t>Oxalis.pes-caprae</t>
  </si>
  <si>
    <t>Oxalis pes-caprae</t>
  </si>
  <si>
    <t>Oxalis.griffithii</t>
  </si>
  <si>
    <t>Oxalis griffithii</t>
  </si>
  <si>
    <t>Oxalis.erythrorhiza</t>
  </si>
  <si>
    <t>Oxalis erythrorhiza</t>
  </si>
  <si>
    <t>Oxalis.cordobensis</t>
  </si>
  <si>
    <t>Oxalis conorrhiza</t>
  </si>
  <si>
    <t>Oxylobium.ellipticum</t>
  </si>
  <si>
    <t>Oxylobium ellipticum</t>
  </si>
  <si>
    <t>Oxypetalum.solanoides</t>
  </si>
  <si>
    <t>Oxypetalum solanoides</t>
  </si>
  <si>
    <t>Oxypolis.rigidior</t>
  </si>
  <si>
    <t>Oxypolis rigidior</t>
  </si>
  <si>
    <t>Oxytropis.arctica.</t>
  </si>
  <si>
    <t>Oxytropis arctica</t>
  </si>
  <si>
    <t>Pachycarpus.natalensis</t>
  </si>
  <si>
    <t>Pachycarpus natalensis</t>
  </si>
  <si>
    <t>Pachylophus.caespitosus</t>
  </si>
  <si>
    <t>Oenothera cespitosa subsp. cespitosa</t>
  </si>
  <si>
    <t>Oenothera cespitosa</t>
  </si>
  <si>
    <t>Paederia.scandens</t>
  </si>
  <si>
    <t>Paederia foetida</t>
  </si>
  <si>
    <t>Paeonia.japonica</t>
  </si>
  <si>
    <t>Paeonia obovata</t>
  </si>
  <si>
    <t>Paeonia obovata subsp. japonica</t>
  </si>
  <si>
    <t>Pagameopsis.garryoides</t>
  </si>
  <si>
    <t>Pagameopsis garryoides</t>
  </si>
  <si>
    <t>Palicourea.crocea.</t>
  </si>
  <si>
    <t>Palicourea crocea</t>
  </si>
  <si>
    <t>Pallenis.spinosa</t>
  </si>
  <si>
    <t>Pallenis spinosa</t>
  </si>
  <si>
    <t>Pandanus.odoratissimus</t>
  </si>
  <si>
    <t>Pandanus odoratissimus</t>
  </si>
  <si>
    <t>Pandanus utilis</t>
  </si>
  <si>
    <t>Pandanus.rigidifolius</t>
  </si>
  <si>
    <t>Pandanus rigidifolius</t>
  </si>
  <si>
    <t>Pandanus.barklyi</t>
  </si>
  <si>
    <t>Pandanus barkleyi</t>
  </si>
  <si>
    <t>Pandanus.wiehii</t>
  </si>
  <si>
    <t>Pandanus wiehei</t>
  </si>
  <si>
    <t>Panicum.virgatum</t>
  </si>
  <si>
    <t>Panicum virgatum</t>
  </si>
  <si>
    <t>Papaver.radicatum</t>
  </si>
  <si>
    <t>Papaver radicatum</t>
  </si>
  <si>
    <t>Oreomecon radicata</t>
  </si>
  <si>
    <t>Papaver.sp1.M.PL.014</t>
  </si>
  <si>
    <t>Papaver.rhoeas</t>
  </si>
  <si>
    <t>Papaver rhoeas</t>
  </si>
  <si>
    <t>Paragenipa.wrightii</t>
  </si>
  <si>
    <t>Paragenipa lancifolia</t>
  </si>
  <si>
    <t>Parahebe.decora</t>
  </si>
  <si>
    <t>Veronica decora</t>
  </si>
  <si>
    <t>Parahebe.lyalii</t>
  </si>
  <si>
    <t>Veronica lyallii</t>
  </si>
  <si>
    <t>Paraserianthes.falcataria</t>
  </si>
  <si>
    <t>Falcataria falcata</t>
  </si>
  <si>
    <t>Parkinsonia.aculeata</t>
  </si>
  <si>
    <t>Parkinsonia aculeata</t>
  </si>
  <si>
    <t>Parnassia.palustris</t>
  </si>
  <si>
    <t>Parnassia palustris</t>
  </si>
  <si>
    <t>Parolinea.intermedia</t>
  </si>
  <si>
    <t>Parolinia intermedia</t>
  </si>
  <si>
    <t>Parthenium.integrifolium</t>
  </si>
  <si>
    <t>Parthenium integrifolium</t>
  </si>
  <si>
    <t>Passiflora.sp1.M.PL.040</t>
  </si>
  <si>
    <t>Passiflora.caerulea</t>
  </si>
  <si>
    <t>Passiflora caerulea</t>
  </si>
  <si>
    <t>Passiflora.foetida</t>
  </si>
  <si>
    <t>Passiflora foetida</t>
  </si>
  <si>
    <t>Passiflora.suberosa</t>
  </si>
  <si>
    <t>Passiflora suberosa</t>
  </si>
  <si>
    <t>Passiflora.lutea</t>
  </si>
  <si>
    <t>Passiflora lutea</t>
  </si>
  <si>
    <t>Pastinaca.sativa</t>
  </si>
  <si>
    <t>Pastinaca sativa</t>
  </si>
  <si>
    <t>Patrinia.triloba.palmata</t>
  </si>
  <si>
    <t>Patrinia triloba var. palmata</t>
  </si>
  <si>
    <t>Patrinia triloba</t>
  </si>
  <si>
    <t>Patrinia.villosa</t>
  </si>
  <si>
    <t>Patrinia villosa</t>
  </si>
  <si>
    <t>Patrinia.scabiosaefolia</t>
  </si>
  <si>
    <t>Patrinia scabiosifolia</t>
  </si>
  <si>
    <t>Pavonia.cymbalaria</t>
  </si>
  <si>
    <t>Pavonia cymbalaria</t>
  </si>
  <si>
    <t>Pectis.tenuifolia</t>
  </si>
  <si>
    <t>Pectis tenuifolia</t>
  </si>
  <si>
    <t>Pedicularis.arctica</t>
  </si>
  <si>
    <t>Pedicularis amoena</t>
  </si>
  <si>
    <t>Pedicularis.hirsuta</t>
  </si>
  <si>
    <t>Pedicularis hirsuta</t>
  </si>
  <si>
    <t>Pedicularis.resupinata.</t>
  </si>
  <si>
    <t>Pedicularis resupinata</t>
  </si>
  <si>
    <t>Pedicularis.sp1.M.PL.014</t>
  </si>
  <si>
    <t>Pedicularis.capitata</t>
  </si>
  <si>
    <t>Pedicularis capitata</t>
  </si>
  <si>
    <t>Pedicularis.parryi</t>
  </si>
  <si>
    <t>Pedicularis parryi</t>
  </si>
  <si>
    <t>Pedicularis.flammea</t>
  </si>
  <si>
    <t>Pedicularis flammea</t>
  </si>
  <si>
    <t>Pedicularis.racemosa</t>
  </si>
  <si>
    <t>Pedicularis racemosa</t>
  </si>
  <si>
    <t>Pemphis.acidula</t>
  </si>
  <si>
    <t>Pemphis acidula</t>
  </si>
  <si>
    <t>Penstemon.hirsutus</t>
  </si>
  <si>
    <t>Penstemon hirsutus</t>
  </si>
  <si>
    <t>Penstemon.secundiflorus</t>
  </si>
  <si>
    <t>Penstemon secundiflorus</t>
  </si>
  <si>
    <t>Penstemon.laevigatus</t>
  </si>
  <si>
    <t>Penstemon laevigatus</t>
  </si>
  <si>
    <t>Penstemon.halli</t>
  </si>
  <si>
    <t>Penstemon hallii</t>
  </si>
  <si>
    <t>Pentachondra.pumila</t>
  </si>
  <si>
    <t>Pentachondra pumila</t>
  </si>
  <si>
    <t>Pentstemon.gracilis</t>
  </si>
  <si>
    <t>Penstemon gracilis</t>
  </si>
  <si>
    <t>Pentstemon.glaucus</t>
  </si>
  <si>
    <t>Pentstemon.glaber</t>
  </si>
  <si>
    <t>Penstemon glaber</t>
  </si>
  <si>
    <t>Perezia.pilifera</t>
  </si>
  <si>
    <t>Perezia pilifera</t>
  </si>
  <si>
    <t>Perezia.carthamoides</t>
  </si>
  <si>
    <t>Perezia carthamoides</t>
  </si>
  <si>
    <t>Periploca.laevigata</t>
  </si>
  <si>
    <t>Periploca laevigata</t>
  </si>
  <si>
    <t>Persea.maericana</t>
  </si>
  <si>
    <t>Persea americana</t>
  </si>
  <si>
    <t>Persicaria.nipponensis</t>
  </si>
  <si>
    <t>Persicaria muricata</t>
  </si>
  <si>
    <t>Polygonum muricatum</t>
  </si>
  <si>
    <t>Persicaria.thunbergii</t>
  </si>
  <si>
    <t>Persicaria thunbergii</t>
  </si>
  <si>
    <t>Polygonum thunbergii</t>
  </si>
  <si>
    <t>Persicaria.senticosa</t>
  </si>
  <si>
    <t>Persicaria senticosa</t>
  </si>
  <si>
    <t>Polygonum senticosum</t>
  </si>
  <si>
    <t>Persicaria.conspicua</t>
  </si>
  <si>
    <t>Persicaria odorata subsp. conspicua</t>
  </si>
  <si>
    <t>Polygonum japonicum var. conspicuum</t>
  </si>
  <si>
    <t>Persicaria.aestiva</t>
  </si>
  <si>
    <t>Persicaria sagittata</t>
  </si>
  <si>
    <t>Persicaria.pubescens</t>
  </si>
  <si>
    <t>Persicaria pubescens</t>
  </si>
  <si>
    <t>Polygonum pubescens</t>
  </si>
  <si>
    <t>Persicaria.yokusaiana</t>
  </si>
  <si>
    <t>Persicaria posumbu subsp. posumbu</t>
  </si>
  <si>
    <t>Polygonum posumbu</t>
  </si>
  <si>
    <t>Persicaria.chinensis</t>
  </si>
  <si>
    <t>Persicaria chinensis</t>
  </si>
  <si>
    <t>Persicaria.sieboldi</t>
  </si>
  <si>
    <t>Petalostemon.purpureus</t>
  </si>
  <si>
    <t>Dalea purpurea</t>
  </si>
  <si>
    <t>Petalostemon.candidus</t>
  </si>
  <si>
    <t>Dalea candida</t>
  </si>
  <si>
    <t>Petalostemum.purpureum</t>
  </si>
  <si>
    <t>Petalostemum.candidum</t>
  </si>
  <si>
    <t>Petasites.frigidus.</t>
  </si>
  <si>
    <t>Petasites frigidus</t>
  </si>
  <si>
    <t>Petasites.japonicus</t>
  </si>
  <si>
    <t>Petasites japonicus</t>
  </si>
  <si>
    <t>Petiveria.sp1.M.PL.040</t>
  </si>
  <si>
    <t>Petrorhagia.velutina</t>
  </si>
  <si>
    <t>Petrorhagia dubia</t>
  </si>
  <si>
    <t>Petunia.axillaris</t>
  </si>
  <si>
    <t>Petunia axillaris</t>
  </si>
  <si>
    <t>Peucedanum.joponicum</t>
  </si>
  <si>
    <t>Peucedanum japonicum</t>
  </si>
  <si>
    <t>Phacelia.secunda</t>
  </si>
  <si>
    <t>Phacelia secunda</t>
  </si>
  <si>
    <t>Phacelia.heterophylla</t>
  </si>
  <si>
    <t>Phacelia heterophylla</t>
  </si>
  <si>
    <t>Phagnalon.graecum</t>
  </si>
  <si>
    <t>Phagnalon graecum</t>
  </si>
  <si>
    <t>Phagnalon rupestre subsp. graecum</t>
  </si>
  <si>
    <t>Phebalium.ovatifolium</t>
  </si>
  <si>
    <t>Nematolepis ovatifolia</t>
  </si>
  <si>
    <t>Phellodendron.amurense</t>
  </si>
  <si>
    <t>Phellodendron amurense</t>
  </si>
  <si>
    <t>Philadelphus.coronarius</t>
  </si>
  <si>
    <t>Philadelphus coronarius</t>
  </si>
  <si>
    <t>Philadelphus.satsumi</t>
  </si>
  <si>
    <t>Philadelphus satsumi</t>
  </si>
  <si>
    <t>Philadelphus.grandiflorus</t>
  </si>
  <si>
    <t>Phillyrea.angustifolia</t>
  </si>
  <si>
    <t>Phillyrea angustifolia</t>
  </si>
  <si>
    <t>Philodendron.ptarianum</t>
  </si>
  <si>
    <t>Philodendron callosum subsp. ptarianum</t>
  </si>
  <si>
    <t>Philoxerus.vermicularis</t>
  </si>
  <si>
    <t>Gomphrena vermicularis</t>
  </si>
  <si>
    <t>Blutaparon vermiculare</t>
  </si>
  <si>
    <t>Phlomis.fructicosa</t>
  </si>
  <si>
    <t>Phlomis fruticosa</t>
  </si>
  <si>
    <t>Phlox.subulata</t>
  </si>
  <si>
    <t>Phlox subulata</t>
  </si>
  <si>
    <t>Phlox.pilosa</t>
  </si>
  <si>
    <t>Phlox pilosa</t>
  </si>
  <si>
    <t>Phlox.glaberrima</t>
  </si>
  <si>
    <t>Phlox glaberrima</t>
  </si>
  <si>
    <t>Phlox.divaricata</t>
  </si>
  <si>
    <t>Phlox divaricata</t>
  </si>
  <si>
    <t>Phoenicophorium.borsigianum</t>
  </si>
  <si>
    <t>Phoenicophorium borsigianum</t>
  </si>
  <si>
    <t>Photinia.glabra</t>
  </si>
  <si>
    <t>Photinia glabra</t>
  </si>
  <si>
    <t>Phragmites.communis</t>
  </si>
  <si>
    <t>Phragmites australis subsp. australis</t>
  </si>
  <si>
    <t>Phryma.leptostachya</t>
  </si>
  <si>
    <t>Phryma leptostachya</t>
  </si>
  <si>
    <t>Phthirusa.adunca</t>
  </si>
  <si>
    <t>Passovia pedunculata</t>
  </si>
  <si>
    <t>Phyla.sp1.M.PL.026</t>
  </si>
  <si>
    <t>Phyllachne.colensoi</t>
  </si>
  <si>
    <t>Phyllachne colensoi</t>
  </si>
  <si>
    <t>Phyllanthus.phillyreifolius.var.telfairianus</t>
  </si>
  <si>
    <t>Phyllanthus phillyreifolius var. telfairianus</t>
  </si>
  <si>
    <t>Phyllanthus.phillyreifolius</t>
  </si>
  <si>
    <t>Phyllanthus phillyreifolius</t>
  </si>
  <si>
    <t>Physalis.angulata</t>
  </si>
  <si>
    <t>Physalis angulata</t>
  </si>
  <si>
    <t>Physalis.virginiana</t>
  </si>
  <si>
    <t>Physalis virginiana</t>
  </si>
  <si>
    <t>Physalis.lanceolata</t>
  </si>
  <si>
    <t>Physalis lanceolata</t>
  </si>
  <si>
    <t>Physalis.subglabrata</t>
  </si>
  <si>
    <t>Physalis longifolia var. subglabrata</t>
  </si>
  <si>
    <t>Physalis.pubescens</t>
  </si>
  <si>
    <t>Physalis pubescens</t>
  </si>
  <si>
    <t>Physaria.didymocarpa</t>
  </si>
  <si>
    <t>Physaria didymocarpa</t>
  </si>
  <si>
    <t>Physostegia.virginiana</t>
  </si>
  <si>
    <t>Physostegia virginiana</t>
  </si>
  <si>
    <t>Phytolacca.decandra</t>
  </si>
  <si>
    <t>Phytolacca americana var. americana</t>
  </si>
  <si>
    <t>Phytolacca americana</t>
  </si>
  <si>
    <t>Phytolacca.americana</t>
  </si>
  <si>
    <t>Picconia.excelsa</t>
  </si>
  <si>
    <t>Picconia excelsa</t>
  </si>
  <si>
    <t>Picris.hieracioides.japonica</t>
  </si>
  <si>
    <t>Picris japonica subsp. japonica</t>
  </si>
  <si>
    <t>Picris japonica</t>
  </si>
  <si>
    <t>Picris hieracioides</t>
  </si>
  <si>
    <t>Picris.echioides</t>
  </si>
  <si>
    <t>Helminthotheca echioides</t>
  </si>
  <si>
    <t>Pieris.japonica</t>
  </si>
  <si>
    <t>Pieris japonica</t>
  </si>
  <si>
    <t>Pilea.sp2.M.PL.040</t>
  </si>
  <si>
    <t>Pilea.sp1.M.PL.040</t>
  </si>
  <si>
    <t>Pimelea.sericeo-villosa</t>
  </si>
  <si>
    <t>Pimelea sericeovillosa</t>
  </si>
  <si>
    <t>Pimelea.traversii</t>
  </si>
  <si>
    <t>Pimelea traversii</t>
  </si>
  <si>
    <t>Pimelea.ligustrina</t>
  </si>
  <si>
    <t>Pimelea ligustrina</t>
  </si>
  <si>
    <t>Pimpinella.cumbrae</t>
  </si>
  <si>
    <t>Pimpinella cumbrae</t>
  </si>
  <si>
    <t>Pimpinella.major</t>
  </si>
  <si>
    <t>Pimpinella major</t>
  </si>
  <si>
    <t>Pinguicula.alpina</t>
  </si>
  <si>
    <t>Pinguicula alpina</t>
  </si>
  <si>
    <t>Pinus.luchuensis</t>
  </si>
  <si>
    <t>Pinus luchuensis</t>
  </si>
  <si>
    <t>Piper.kadzura</t>
  </si>
  <si>
    <t>Piper kadsura</t>
  </si>
  <si>
    <t>Piscidia.carthagenesis</t>
  </si>
  <si>
    <t>Piscidia carthagenensis</t>
  </si>
  <si>
    <t>Piscidia.piscipula</t>
  </si>
  <si>
    <t>Piscidia piscipula</t>
  </si>
  <si>
    <t>PittosPorum.tobira</t>
  </si>
  <si>
    <t>Pittosporum tobira</t>
  </si>
  <si>
    <t>Pittosporum.senacia</t>
  </si>
  <si>
    <t>Pittosporum senacia</t>
  </si>
  <si>
    <t>Plantago.major</t>
  </si>
  <si>
    <t>Plantago major</t>
  </si>
  <si>
    <t>Plantago.lanceolata</t>
  </si>
  <si>
    <t>Plantago lanceolata</t>
  </si>
  <si>
    <t>Plantago.asiatica</t>
  </si>
  <si>
    <t>Plantago asiatica</t>
  </si>
  <si>
    <t>Plantago.lagopus</t>
  </si>
  <si>
    <t>Plantago lagopus</t>
  </si>
  <si>
    <t>Pleurostylia.leucocarpa.</t>
  </si>
  <si>
    <t>Pleurostylia leucocarpa</t>
  </si>
  <si>
    <t>Plocama.pendula</t>
  </si>
  <si>
    <t>Plocama pendula</t>
  </si>
  <si>
    <t>Plumbago.scandens</t>
  </si>
  <si>
    <t>Plumbago zeylanica</t>
  </si>
  <si>
    <t>Poa.pratensis</t>
  </si>
  <si>
    <t>Poa pratensis</t>
  </si>
  <si>
    <t>Podophyllum.peltatum</t>
  </si>
  <si>
    <t>Podophyllum peltatum</t>
  </si>
  <si>
    <t>Poecilandra.retusa</t>
  </si>
  <si>
    <t>Poecilandra retusa</t>
  </si>
  <si>
    <t>Pogonia.stricta</t>
  </si>
  <si>
    <t>Cleistes stricta</t>
  </si>
  <si>
    <t>Polemonium.caeruleum.yezoense</t>
  </si>
  <si>
    <t>Polemonium caeruleum subsp. yezoense</t>
  </si>
  <si>
    <t>Polemonium caeruleum</t>
  </si>
  <si>
    <t>Polemonium.reptans</t>
  </si>
  <si>
    <t>Polemonium reptans</t>
  </si>
  <si>
    <t>Pollia.japonica</t>
  </si>
  <si>
    <t>Pollia japonica</t>
  </si>
  <si>
    <t>Polygala.japonica</t>
  </si>
  <si>
    <t>Polygala japonica</t>
  </si>
  <si>
    <t>Polygala.sanguinea</t>
  </si>
  <si>
    <t>Polygala sanguinea</t>
  </si>
  <si>
    <t>Polygala.stenophylla</t>
  </si>
  <si>
    <t>Polygala stenophylla</t>
  </si>
  <si>
    <t>Polygonatum.macranthum</t>
  </si>
  <si>
    <t>Polygonatum macranthum</t>
  </si>
  <si>
    <t>Polygonatum.commutatum</t>
  </si>
  <si>
    <t>Polygonatum biflorum</t>
  </si>
  <si>
    <t>Polygonatum.lasianthum</t>
  </si>
  <si>
    <t>Polygonatum lasianthum</t>
  </si>
  <si>
    <t>Polygonum.persicaria</t>
  </si>
  <si>
    <t>Polygonum persicaria</t>
  </si>
  <si>
    <t>Persicaria maculosa</t>
  </si>
  <si>
    <t>Polygonum.opelousanum</t>
  </si>
  <si>
    <t>Persicaria hydropiperoides</t>
  </si>
  <si>
    <t>Polygonum opelousanum</t>
  </si>
  <si>
    <t>Polygonum.scandens</t>
  </si>
  <si>
    <t>Fallopia scandens</t>
  </si>
  <si>
    <t>Polygonum.lapathifolium</t>
  </si>
  <si>
    <t>Persicaria lapathifolia</t>
  </si>
  <si>
    <t>Polygonum.pennsylvanicum</t>
  </si>
  <si>
    <t>Polygonum pensylvanicum</t>
  </si>
  <si>
    <t>Persicaria pensylvanica</t>
  </si>
  <si>
    <t>Polygonum.hydropiper</t>
  </si>
  <si>
    <t>Persicaria hydropiper</t>
  </si>
  <si>
    <t>Polygonum.aubertii</t>
  </si>
  <si>
    <t>Fallopia baldschuanica</t>
  </si>
  <si>
    <t>Fallopia aubertii</t>
  </si>
  <si>
    <t>Polygonum.bistorta</t>
  </si>
  <si>
    <t>Polygonum bistorta</t>
  </si>
  <si>
    <t>Bistorta officinalis</t>
  </si>
  <si>
    <t>Persicaria bistorta</t>
  </si>
  <si>
    <t>Polygonum.amphibium</t>
  </si>
  <si>
    <t>Persicaria amphibia</t>
  </si>
  <si>
    <t>Polygonum.hydropiperoides</t>
  </si>
  <si>
    <t>Polygonum hydropiperoides</t>
  </si>
  <si>
    <t>Polygonum.cuspidatum</t>
  </si>
  <si>
    <t>Reynoutria japonica</t>
  </si>
  <si>
    <t>Polygonum.viviparum</t>
  </si>
  <si>
    <t>Bistorta vivipara</t>
  </si>
  <si>
    <t>Persicaria vivipara</t>
  </si>
  <si>
    <t>Polygonum.acre</t>
  </si>
  <si>
    <t>Persicaria punctata</t>
  </si>
  <si>
    <t>Polymnia.uvedalia</t>
  </si>
  <si>
    <t>Smallanthus uvedalia</t>
  </si>
  <si>
    <t>Polyscias.mauritiana</t>
  </si>
  <si>
    <t>Polyscias mauritiana</t>
  </si>
  <si>
    <t>Polytaenia.nuttallii</t>
  </si>
  <si>
    <t>Polytaenia nuttallii</t>
  </si>
  <si>
    <t>Pontederia.cordata</t>
  </si>
  <si>
    <t>Pontederia cordata</t>
  </si>
  <si>
    <t>Populus.deltoides</t>
  </si>
  <si>
    <t>Populus deltoides</t>
  </si>
  <si>
    <t>Populus.tremuloides</t>
  </si>
  <si>
    <t>Populus tremuloides</t>
  </si>
  <si>
    <t>Portlandia.grandiflora</t>
  </si>
  <si>
    <t>Portlandia grandiflora</t>
  </si>
  <si>
    <t>Portulaca.oleracea</t>
  </si>
  <si>
    <t>Portulaca oleracea</t>
  </si>
  <si>
    <t>Potentilla.erecta</t>
  </si>
  <si>
    <t>Potentilla erecta</t>
  </si>
  <si>
    <t>Potentilla.freyniana</t>
  </si>
  <si>
    <t>Potentilla freyniana</t>
  </si>
  <si>
    <t>Potentilla.gracilis</t>
  </si>
  <si>
    <t>Potentilla gracilis</t>
  </si>
  <si>
    <t>Potentilla.crantzii</t>
  </si>
  <si>
    <t>Potentilla crantzii</t>
  </si>
  <si>
    <t>Potentilla.egedei</t>
  </si>
  <si>
    <t>Argentina anserina subsp. groenlandica</t>
  </si>
  <si>
    <t>Potentilla.monspeliensis.norvegica</t>
  </si>
  <si>
    <t>Potentilla norvegica</t>
  </si>
  <si>
    <t>Potentilla.pulcherrima</t>
  </si>
  <si>
    <t>Potentilla pulcherrima</t>
  </si>
  <si>
    <t>Potentilla.nivea</t>
  </si>
  <si>
    <t>Potentilla nivea</t>
  </si>
  <si>
    <t>Potentilla.canadensis</t>
  </si>
  <si>
    <t>Potentilla canadensis</t>
  </si>
  <si>
    <t>Potentilla.arguta</t>
  </si>
  <si>
    <t>Drymocallis arguta</t>
  </si>
  <si>
    <t>Potentilla.hyparctica</t>
  </si>
  <si>
    <t>Potentilla hyparctica</t>
  </si>
  <si>
    <t>Potentilla.anserina</t>
  </si>
  <si>
    <t>Argentina anserina subsp. anserina</t>
  </si>
  <si>
    <t>Argentina anserina</t>
  </si>
  <si>
    <t>Potentilla.sp1.M.PL.014</t>
  </si>
  <si>
    <t>Potentilla.sundaica</t>
  </si>
  <si>
    <t>Potentilla sundaica</t>
  </si>
  <si>
    <t>Potentilla.vahliana.</t>
  </si>
  <si>
    <t>Potentilla vahliana</t>
  </si>
  <si>
    <t>Potentilla.rubricaulis</t>
  </si>
  <si>
    <t>Potentilla rubricaulis</t>
  </si>
  <si>
    <t>Pozoa.coriacea</t>
  </si>
  <si>
    <t>Pozoa coriacea</t>
  </si>
  <si>
    <t>Prasium.majus</t>
  </si>
  <si>
    <t>Prasium majus</t>
  </si>
  <si>
    <t>Prasophyllum.alpinum</t>
  </si>
  <si>
    <t>Prasophyllum alpinum</t>
  </si>
  <si>
    <t>Pratia.angulata</t>
  </si>
  <si>
    <t>Lobelia angulata</t>
  </si>
  <si>
    <t>Pratia.macrodon</t>
  </si>
  <si>
    <t>Lobelia macrodon</t>
  </si>
  <si>
    <t>Premna.serratifolia</t>
  </si>
  <si>
    <t>Premna serratifolia</t>
  </si>
  <si>
    <t>Premna.microphylla</t>
  </si>
  <si>
    <t>Premna microphylla</t>
  </si>
  <si>
    <t>Premna.corymbosa</t>
  </si>
  <si>
    <t>Premna corymbosa</t>
  </si>
  <si>
    <t>Prenanthes.aspera</t>
  </si>
  <si>
    <t>Chondrilla aspera</t>
  </si>
  <si>
    <t>Prenanthes.crepidinea</t>
  </si>
  <si>
    <t>Nabalus crepidineus</t>
  </si>
  <si>
    <t>Prenanthes.tanakae</t>
  </si>
  <si>
    <t>Nabalus ochroleucus</t>
  </si>
  <si>
    <t>Prenanthes tanakae</t>
  </si>
  <si>
    <t>Primula.veris</t>
  </si>
  <si>
    <t>Primula veris</t>
  </si>
  <si>
    <t>Prosopis.juliflora</t>
  </si>
  <si>
    <t>Prosopis juliflora</t>
  </si>
  <si>
    <t>Neltuma juliflora</t>
  </si>
  <si>
    <t>Prostanthera.cuneata</t>
  </si>
  <si>
    <t>Prostanthera cuneata</t>
  </si>
  <si>
    <t>Prunella.vulgaris</t>
  </si>
  <si>
    <t>Prunella vulgaris</t>
  </si>
  <si>
    <t>Prunus.americana</t>
  </si>
  <si>
    <t>Prunus americana</t>
  </si>
  <si>
    <t>Prunus.virginiana</t>
  </si>
  <si>
    <t>Prunus virginiana</t>
  </si>
  <si>
    <t>Prunus.jamasakura</t>
  </si>
  <si>
    <t>Prunus jamasakura</t>
  </si>
  <si>
    <t>Prunus.serotina</t>
  </si>
  <si>
    <t>Prunus serotina</t>
  </si>
  <si>
    <t>Prunus.nipponica</t>
  </si>
  <si>
    <t>Prunus nipponica</t>
  </si>
  <si>
    <t>Prunus.sp1.M.PL.054</t>
  </si>
  <si>
    <t>Prunus.salicina</t>
  </si>
  <si>
    <t>Prunus salicina</t>
  </si>
  <si>
    <t>Prunus.tomentosa</t>
  </si>
  <si>
    <t>Prunus tomentosa</t>
  </si>
  <si>
    <t>Prunus.demissa</t>
  </si>
  <si>
    <t>Prunus virginiana var. demissa</t>
  </si>
  <si>
    <t>Prunus.incisa</t>
  </si>
  <si>
    <t>Prunus incisa</t>
  </si>
  <si>
    <t>Prunus.pennsylvanica</t>
  </si>
  <si>
    <t>Prunus pensylvanica</t>
  </si>
  <si>
    <t>Prunus.maximowiczii</t>
  </si>
  <si>
    <t>Prunus maximowiczii</t>
  </si>
  <si>
    <t>Prunus.Grayana</t>
  </si>
  <si>
    <t>Prunus grayana</t>
  </si>
  <si>
    <t>Psathura.terniflora</t>
  </si>
  <si>
    <t>Psychotria terniflora</t>
  </si>
  <si>
    <t>Psedera.quinquefolia</t>
  </si>
  <si>
    <t>Parthenocissus quinquefolia</t>
  </si>
  <si>
    <t>Pseudostellaria.heterantha</t>
  </si>
  <si>
    <t>Pseudostellaria heterantha</t>
  </si>
  <si>
    <t>Psiadia.terebinthina</t>
  </si>
  <si>
    <t>Psiadia terebinthina</t>
  </si>
  <si>
    <t>Psidium.montanum</t>
  </si>
  <si>
    <t>Psidium montanum</t>
  </si>
  <si>
    <t>Psidium.guajava</t>
  </si>
  <si>
    <t>Psidium guajava</t>
  </si>
  <si>
    <t>Psidium.cattleianum</t>
  </si>
  <si>
    <t>Psidium cattleianum</t>
  </si>
  <si>
    <t>Psidium cattleyanum</t>
  </si>
  <si>
    <t>Psoralea.onobrychis</t>
  </si>
  <si>
    <t>Orbexilum onobrychis</t>
  </si>
  <si>
    <t>Psychotria.pervillei</t>
  </si>
  <si>
    <t>Psychotria pervillei</t>
  </si>
  <si>
    <t>Psychotria.rufipes</t>
  </si>
  <si>
    <t>Psychotria rufipes</t>
  </si>
  <si>
    <t>Psychotria.sepens</t>
  </si>
  <si>
    <t>Psychotria serpens</t>
  </si>
  <si>
    <t>Psychotria.homalosperma</t>
  </si>
  <si>
    <t>Psychotria homalosperma</t>
  </si>
  <si>
    <t>Ptelea.trifoliata</t>
  </si>
  <si>
    <t>Ptelea trifoliata</t>
  </si>
  <si>
    <t>Pterocephalus.papposus</t>
  </si>
  <si>
    <t>Pterocephalus plumosus</t>
  </si>
  <si>
    <t>Pterocephalus.lasiospermus</t>
  </si>
  <si>
    <t>Pterocephalus lasiospermus</t>
  </si>
  <si>
    <t>Pterolepis.glomerata</t>
  </si>
  <si>
    <t>Pterolepis glomerata</t>
  </si>
  <si>
    <t>Pycnanthemum.virginianum</t>
  </si>
  <si>
    <t>Pycnanthemum virginianum</t>
  </si>
  <si>
    <t>Pycnanthemum.pilosum</t>
  </si>
  <si>
    <t>Pycnanthemum verticillatum var. pilosum</t>
  </si>
  <si>
    <t>Pycnanthemum.flexuosum</t>
  </si>
  <si>
    <t>Pycnanthemum flexuosum</t>
  </si>
  <si>
    <t>Pyracantha.crenulata</t>
  </si>
  <si>
    <t>Pyracantha crenulata</t>
  </si>
  <si>
    <t>Pyracantha.angustifolia</t>
  </si>
  <si>
    <t>Pyracantha angustifolia</t>
  </si>
  <si>
    <t>Pyrola.secunda</t>
  </si>
  <si>
    <t>Orthilia secunda</t>
  </si>
  <si>
    <t>Pyrola.alpina</t>
  </si>
  <si>
    <t>Pyrola alpina</t>
  </si>
  <si>
    <t>Pyrola.incarnata</t>
  </si>
  <si>
    <t>Pyrola incarnata</t>
  </si>
  <si>
    <t>Pyrola asarifolia subsp. asarifolia</t>
  </si>
  <si>
    <t>Pyrola asarifolia</t>
  </si>
  <si>
    <t>Pyrostria.fasciculata</t>
  </si>
  <si>
    <t>Pyrostria fasciculata</t>
  </si>
  <si>
    <t>Pyrrhocactus.strausianum</t>
  </si>
  <si>
    <t>Eriosyce strausiana subsp. strausiana</t>
  </si>
  <si>
    <t>Eriosyce strausiana</t>
  </si>
  <si>
    <t>Pyrus.coronaria</t>
  </si>
  <si>
    <t>Malus coronaria</t>
  </si>
  <si>
    <t>Quercus.dentata</t>
  </si>
  <si>
    <t>Quercus dentata</t>
  </si>
  <si>
    <t>Quesnelia.strobilispica</t>
  </si>
  <si>
    <t>Quesnelia strobilispica</t>
  </si>
  <si>
    <t>Quesnelia blanda</t>
  </si>
  <si>
    <t>Quinchamalium.chilensis</t>
  </si>
  <si>
    <t>Quinchamalium chilense</t>
  </si>
  <si>
    <t>Rabdosia.trichocarpa</t>
  </si>
  <si>
    <t>Isodon trichocarpus</t>
  </si>
  <si>
    <t>Rabdosia.longituba</t>
  </si>
  <si>
    <t>Isodon longitubus</t>
  </si>
  <si>
    <t>Radicula.palustris</t>
  </si>
  <si>
    <t>Rorippa palustris</t>
  </si>
  <si>
    <t>Rorippa palustris subsp. palustris</t>
  </si>
  <si>
    <t>Radicula.obtusa</t>
  </si>
  <si>
    <t>Rorippa teres</t>
  </si>
  <si>
    <t>Ranunculus.lyalii</t>
  </si>
  <si>
    <t>Ranunculus lyallii</t>
  </si>
  <si>
    <t>Ranunculus.sp1.M.PL.046</t>
  </si>
  <si>
    <t>Ranunculus.repens</t>
  </si>
  <si>
    <t>Ranunculus repens</t>
  </si>
  <si>
    <t>Ranunculus.spruneranus</t>
  </si>
  <si>
    <t>Ranunculus sprunerianus</t>
  </si>
  <si>
    <t>Ranunculus.silerifolius</t>
  </si>
  <si>
    <t>Ranunculus silerifolius</t>
  </si>
  <si>
    <t>Ranunculus.sieboldii</t>
  </si>
  <si>
    <t>Ranunculus sieboldii</t>
  </si>
  <si>
    <t>Ranunculus.cortusaefolius</t>
  </si>
  <si>
    <t>Ranunculus cortusifolius</t>
  </si>
  <si>
    <t>Ranunculus.fascicularis</t>
  </si>
  <si>
    <t>Ranunculus fascicularis</t>
  </si>
  <si>
    <t>Ranunculus.flammula</t>
  </si>
  <si>
    <t>Ranunculus flammula</t>
  </si>
  <si>
    <t>Ranunculus.abortivus</t>
  </si>
  <si>
    <t>Ranunculus abortivus</t>
  </si>
  <si>
    <t>Ranunculus.septentrionalis</t>
  </si>
  <si>
    <t>Ranunculus septentrionalis</t>
  </si>
  <si>
    <t>Ranunculus carolinianus</t>
  </si>
  <si>
    <t>Ranunculus.japonicus</t>
  </si>
  <si>
    <t>Ranunculus japonicus</t>
  </si>
  <si>
    <t>Ranunculus.acris</t>
  </si>
  <si>
    <t>Ranunculus acris</t>
  </si>
  <si>
    <t>Ranunculus.sulphureus</t>
  </si>
  <si>
    <t>Ranunculus sulphureus</t>
  </si>
  <si>
    <t>Ranunculus.enysii</t>
  </si>
  <si>
    <t>Ranunculus enysii</t>
  </si>
  <si>
    <t>Ranunculus.peduncularis</t>
  </si>
  <si>
    <t>Ranunculus peduncularis</t>
  </si>
  <si>
    <t>Ranunculus.recurvatus</t>
  </si>
  <si>
    <t>Ranunculus recurvatus</t>
  </si>
  <si>
    <t>Raoulia.lutescens</t>
  </si>
  <si>
    <t>Raoulia australis</t>
  </si>
  <si>
    <t>Raoulia.subsericea</t>
  </si>
  <si>
    <t>Raoulia subsericea</t>
  </si>
  <si>
    <t>Raoulia.mammilaris</t>
  </si>
  <si>
    <t>Raoulia mammillaris</t>
  </si>
  <si>
    <t>Raoulia.grandiflora</t>
  </si>
  <si>
    <t>Raoulia grandiflora</t>
  </si>
  <si>
    <t>Raphanus.raphanistrum</t>
  </si>
  <si>
    <t>Raphanus raphanistrum</t>
  </si>
  <si>
    <t>Rapistrum.rugosum</t>
  </si>
  <si>
    <t>Rapistrum rugosum</t>
  </si>
  <si>
    <t>Reichardia.picroides</t>
  </si>
  <si>
    <t>Reichardia picroides</t>
  </si>
  <si>
    <t>Remijia.densiflora</t>
  </si>
  <si>
    <t>Remijia densiflora</t>
  </si>
  <si>
    <t>Reseda.luteola</t>
  </si>
  <si>
    <t>Reseda luteola</t>
  </si>
  <si>
    <t>Reseda.alba</t>
  </si>
  <si>
    <t>Reseda alba</t>
  </si>
  <si>
    <t>Reynoutria.japonica</t>
  </si>
  <si>
    <t>Rhabdadenia.biflora</t>
  </si>
  <si>
    <t>Rhabdadenia biflora</t>
  </si>
  <si>
    <t>Rhamnella.franguloides</t>
  </si>
  <si>
    <t>Rhamnella franguloides</t>
  </si>
  <si>
    <t>Rhamnus.lanceolata</t>
  </si>
  <si>
    <t>Endotropis lanceolata subsp. lanceolata</t>
  </si>
  <si>
    <t>Rhamnus lanceolata</t>
  </si>
  <si>
    <t>Rhamnus.glandulosa</t>
  </si>
  <si>
    <t>Rhamnus glandulosa</t>
  </si>
  <si>
    <t>Rhaphiolepis.indica</t>
  </si>
  <si>
    <t>Rhaphiolepis indica</t>
  </si>
  <si>
    <t>Rhaphithamnus.spinosus</t>
  </si>
  <si>
    <t>Rhaphithamnus spinosus</t>
  </si>
  <si>
    <t>Rhodiola.rosea</t>
  </si>
  <si>
    <t>Rhodiola rosea</t>
  </si>
  <si>
    <t>Rhododendron.kiusuanum</t>
  </si>
  <si>
    <t>Rhododendron × kisoanum</t>
  </si>
  <si>
    <t>Rhododendron kiusianum</t>
  </si>
  <si>
    <t>Rhododendron.macrosepalum</t>
  </si>
  <si>
    <t>Rhododendron stenopetalum</t>
  </si>
  <si>
    <t>Rhododendron.lapponicum</t>
  </si>
  <si>
    <t>Rhododendron lapponicum</t>
  </si>
  <si>
    <t>Rhododendron.mucronata</t>
  </si>
  <si>
    <t>Rhododendron mucronatum</t>
  </si>
  <si>
    <t>Rhododendron.kaempferi</t>
  </si>
  <si>
    <t>Rhododendron kaempferi</t>
  </si>
  <si>
    <t>Rhododendron.reticulatum</t>
  </si>
  <si>
    <t>Rhododendron reticulatum</t>
  </si>
  <si>
    <t>Rhododendron.degronianum</t>
  </si>
  <si>
    <t>Rhododendron degronianum</t>
  </si>
  <si>
    <t>Rhododendron.tashiroi</t>
  </si>
  <si>
    <t>Rhododendron tashiroi</t>
  </si>
  <si>
    <t>Rhododendron.oomurasalei</t>
  </si>
  <si>
    <t>Rhododendron womersleyi</t>
  </si>
  <si>
    <t>Rhododendron × pulchrum</t>
  </si>
  <si>
    <t>Rhododendron.wadanum</t>
  </si>
  <si>
    <t>Rhododendron wadanum</t>
  </si>
  <si>
    <t>Rhodophiala.montana</t>
  </si>
  <si>
    <t>Zephyranthes montana</t>
  </si>
  <si>
    <t>Rhodophiala montana</t>
  </si>
  <si>
    <t>Rhus.glabra</t>
  </si>
  <si>
    <t>Rhus glabra</t>
  </si>
  <si>
    <t>Rhus.javanica</t>
  </si>
  <si>
    <t>Brucea javanica</t>
  </si>
  <si>
    <t>Rhus.trichocarpa</t>
  </si>
  <si>
    <t>Toxicodendron trichocarpum</t>
  </si>
  <si>
    <t>Rhus.sylvestris</t>
  </si>
  <si>
    <t>Toxicodendron sylvestre</t>
  </si>
  <si>
    <t>Toxicodendron silvestre</t>
  </si>
  <si>
    <t>Rhus.canadensis</t>
  </si>
  <si>
    <t>Rhus typhina</t>
  </si>
  <si>
    <t>Rhus.copallina</t>
  </si>
  <si>
    <t>Rhus copallina</t>
  </si>
  <si>
    <t>Rhus copallinum</t>
  </si>
  <si>
    <t>Rhus.toxicodendron</t>
  </si>
  <si>
    <t>Toxicodendron pubescens</t>
  </si>
  <si>
    <t>Rhynchanthera.serrulata</t>
  </si>
  <si>
    <t>Rhynchanthera serrulata</t>
  </si>
  <si>
    <t>Rhynchosia.minima</t>
  </si>
  <si>
    <t>Rhynchosia minima</t>
  </si>
  <si>
    <t>Rhynchotechum.discolor</t>
  </si>
  <si>
    <t>Rhynchotechum discolor</t>
  </si>
  <si>
    <t>Ribes.maximowiczianum</t>
  </si>
  <si>
    <t>Ribes maximowiczianum</t>
  </si>
  <si>
    <t>Ribes maximoviczianum</t>
  </si>
  <si>
    <t>Ribes.magellanicum</t>
  </si>
  <si>
    <t>Ribes magellanicum</t>
  </si>
  <si>
    <t>Ribes.gracile</t>
  </si>
  <si>
    <t>Ribes cynosbati</t>
  </si>
  <si>
    <t>Richea.continentis</t>
  </si>
  <si>
    <t>Dracophyllum continentis</t>
  </si>
  <si>
    <t>Richea continentis</t>
  </si>
  <si>
    <t>Robinia.pseudacacia</t>
  </si>
  <si>
    <t>Robinia pseudoacacia</t>
  </si>
  <si>
    <t>Rodgersia.podophylla</t>
  </si>
  <si>
    <t>Rodgersia podophylla</t>
  </si>
  <si>
    <t>Rodophiala.bifida</t>
  </si>
  <si>
    <t>Zephyranthes bifida</t>
  </si>
  <si>
    <t>Rhodophiala bifida</t>
  </si>
  <si>
    <t>Rorippa.indica</t>
  </si>
  <si>
    <t>Rorippa indica</t>
  </si>
  <si>
    <t>Rosa.eglanteria</t>
  </si>
  <si>
    <t>Rosa rubiginosa</t>
  </si>
  <si>
    <t>Rosa.rubiginosa</t>
  </si>
  <si>
    <t>Rosa.multiflora</t>
  </si>
  <si>
    <t>Rosa multiflora</t>
  </si>
  <si>
    <t>Rosa.setigera</t>
  </si>
  <si>
    <t>Rosa setigera</t>
  </si>
  <si>
    <t>Rosa.borboniana</t>
  </si>
  <si>
    <t>Rosa.acicularis</t>
  </si>
  <si>
    <t>Rosa acicularis</t>
  </si>
  <si>
    <t>Rosa.multtlflora</t>
  </si>
  <si>
    <t>Rosa.humilis</t>
  </si>
  <si>
    <t>Rosa gallica</t>
  </si>
  <si>
    <t>Roscheria.melanochaetes</t>
  </si>
  <si>
    <t>Roscheria melanochaetes</t>
  </si>
  <si>
    <t>Rosmarinus.officinalis</t>
  </si>
  <si>
    <t>Salvia rosmarinus</t>
  </si>
  <si>
    <t>Roussea.simplex.</t>
  </si>
  <si>
    <t>Roussea simplex</t>
  </si>
  <si>
    <t>Rubus.ulmifolius</t>
  </si>
  <si>
    <t>Rubus ulmifolius</t>
  </si>
  <si>
    <t>Rubus.idaeus</t>
  </si>
  <si>
    <t>Rubus idaeus</t>
  </si>
  <si>
    <t>Rubus.occidentalis</t>
  </si>
  <si>
    <t>Rubus occidentalis</t>
  </si>
  <si>
    <t>Rubus.palmatus</t>
  </si>
  <si>
    <t>Rubus palmatus</t>
  </si>
  <si>
    <t>Rubus.alcefolius</t>
  </si>
  <si>
    <t>Rubus alceifolius</t>
  </si>
  <si>
    <t>Rubus.microphyllus</t>
  </si>
  <si>
    <t>Rubus microphyllus</t>
  </si>
  <si>
    <t>Rubus.deliciosus</t>
  </si>
  <si>
    <t>Rubus deliciosus</t>
  </si>
  <si>
    <t>Rubus.buergeri</t>
  </si>
  <si>
    <t>Rubus buergeri</t>
  </si>
  <si>
    <t>Rubus.parvifolius</t>
  </si>
  <si>
    <t>Rubus parvifolius</t>
  </si>
  <si>
    <t>Rubus.grayanus</t>
  </si>
  <si>
    <t>Rubus grayanus</t>
  </si>
  <si>
    <t>Rubus.crataegifolius</t>
  </si>
  <si>
    <t>Rubus crataegifolius</t>
  </si>
  <si>
    <t>Rubus.villosus</t>
  </si>
  <si>
    <t>Rubus.fruticosus</t>
  </si>
  <si>
    <t>Rubus fruticosus</t>
  </si>
  <si>
    <t>Rubus.sieboldii</t>
  </si>
  <si>
    <t>Rubus sieboldii</t>
  </si>
  <si>
    <t>Rubus.pungens.</t>
  </si>
  <si>
    <t>Rubus pungens</t>
  </si>
  <si>
    <t>Rubus.phoenicolasius</t>
  </si>
  <si>
    <t>Rubus phoenicolasius</t>
  </si>
  <si>
    <t>Rubus.illecebrosus</t>
  </si>
  <si>
    <t>Rubus illecebrosus</t>
  </si>
  <si>
    <t>Rubus.croceacanthus</t>
  </si>
  <si>
    <t>Rubus croceacanthus</t>
  </si>
  <si>
    <t>Rubus.strigosus</t>
  </si>
  <si>
    <t>Rubus idaeus subsp. strigosus</t>
  </si>
  <si>
    <t>Rubus.canadensis</t>
  </si>
  <si>
    <t>Rubus canadensis</t>
  </si>
  <si>
    <t>Rudbeckia.subtomentosa</t>
  </si>
  <si>
    <t>Rudbeckia subtomentosa</t>
  </si>
  <si>
    <t>Rudbeckia.laciniata</t>
  </si>
  <si>
    <t>Rudbeckia laciniata</t>
  </si>
  <si>
    <t>Rudbeckia.triloba</t>
  </si>
  <si>
    <t>Rudbeckia triloba</t>
  </si>
  <si>
    <t>Rudbeckia.hirta</t>
  </si>
  <si>
    <t>Rudbeckia hirta</t>
  </si>
  <si>
    <t>Ruellia.ciliosa</t>
  </si>
  <si>
    <t>Ruellia caroliniensis subsp. ciliosa</t>
  </si>
  <si>
    <t>Ruellia.strepens</t>
  </si>
  <si>
    <t>Ruellia strepens</t>
  </si>
  <si>
    <t>Ruta.chalepensis</t>
  </si>
  <si>
    <t>Ruta chalepensis</t>
  </si>
  <si>
    <t>Ruta.graveolens</t>
  </si>
  <si>
    <t>Ruta graveolens</t>
  </si>
  <si>
    <t>Rydbergia.grandilfora</t>
  </si>
  <si>
    <t>Hymenoxys grandiflora</t>
  </si>
  <si>
    <t>Saggitaria.quyanensis</t>
  </si>
  <si>
    <t>Sagittaria guayanensis subsp. guayanensis</t>
  </si>
  <si>
    <t>Sagittaria.latifolia</t>
  </si>
  <si>
    <t>Sagittaria latifolia</t>
  </si>
  <si>
    <t>Sagittaria.trifolia</t>
  </si>
  <si>
    <t>Sagittaria trifolia</t>
  </si>
  <si>
    <t>Salix.repens</t>
  </si>
  <si>
    <t>Salix repens</t>
  </si>
  <si>
    <t>Salix.humilis</t>
  </si>
  <si>
    <t>Salix humilis</t>
  </si>
  <si>
    <t>Salix.aurita</t>
  </si>
  <si>
    <t>Salix aurita</t>
  </si>
  <si>
    <t>Salix.amygdaloides</t>
  </si>
  <si>
    <t>Salix amygdaloides</t>
  </si>
  <si>
    <t>Salix.sieboldiana</t>
  </si>
  <si>
    <t>Salix sieboldiana</t>
  </si>
  <si>
    <t>Salix.cordata</t>
  </si>
  <si>
    <t>Salix cordata</t>
  </si>
  <si>
    <t>Salix.reticulata</t>
  </si>
  <si>
    <t>Salix reticulata</t>
  </si>
  <si>
    <t>Salix.gracilistyla</t>
  </si>
  <si>
    <t>Salix gracilistyla</t>
  </si>
  <si>
    <t>Salix.vulpina</t>
  </si>
  <si>
    <t>Salix vulpina</t>
  </si>
  <si>
    <t>Salix.nigra</t>
  </si>
  <si>
    <t>Salix nigra</t>
  </si>
  <si>
    <t>Salix.arctica</t>
  </si>
  <si>
    <t>Salix arctica</t>
  </si>
  <si>
    <t>Salix.polaris</t>
  </si>
  <si>
    <t>Salix polaris</t>
  </si>
  <si>
    <t>Salix.longifolia</t>
  </si>
  <si>
    <t>Salix viminalis</t>
  </si>
  <si>
    <t>Salix.fragilis</t>
  </si>
  <si>
    <t>Salix fragilis</t>
  </si>
  <si>
    <t>Salix × fragilis</t>
  </si>
  <si>
    <t>Salix.sp1.M.PL.014</t>
  </si>
  <si>
    <t>Salix.lanata</t>
  </si>
  <si>
    <t>Salix lanata</t>
  </si>
  <si>
    <t>Salpiglossus.sp</t>
  </si>
  <si>
    <t>Salsola.komarovii</t>
  </si>
  <si>
    <t>Salsola komarovii</t>
  </si>
  <si>
    <t>Salvia.japonica</t>
  </si>
  <si>
    <t>Salvia japonica</t>
  </si>
  <si>
    <t>Salvia.glabrescens</t>
  </si>
  <si>
    <t>Salvia glabrescens</t>
  </si>
  <si>
    <t>Salvia.triloba</t>
  </si>
  <si>
    <t>Salvia fruticosa</t>
  </si>
  <si>
    <t>Salvia.verbenaca</t>
  </si>
  <si>
    <t>Salvia verbenaca</t>
  </si>
  <si>
    <t>Sambucus.canadensis</t>
  </si>
  <si>
    <t>Sambucus canadensis</t>
  </si>
  <si>
    <t>Sambucus.racemosa</t>
  </si>
  <si>
    <t>Sambucus racemosa</t>
  </si>
  <si>
    <t>Samolus.floribundus</t>
  </si>
  <si>
    <t>Samolus parviflorus</t>
  </si>
  <si>
    <t>Sanguinaria.canadensis</t>
  </si>
  <si>
    <t>Sanguinaria canadensis</t>
  </si>
  <si>
    <t>Sanguisorba.officinalis</t>
  </si>
  <si>
    <t>Sanguisorba officinalis</t>
  </si>
  <si>
    <t>Sanicula.marilandica</t>
  </si>
  <si>
    <t>Sanicula marilandica</t>
  </si>
  <si>
    <t>Sanicula.canadensis</t>
  </si>
  <si>
    <t>Sanicula canadensis</t>
  </si>
  <si>
    <t>Sanicula.graveolens</t>
  </si>
  <si>
    <t>Sanicula graveolens</t>
  </si>
  <si>
    <t>Saponaria.officinalis</t>
  </si>
  <si>
    <t>Saponaria officinalis</t>
  </si>
  <si>
    <t>Sarcopoterium.spinosum</t>
  </si>
  <si>
    <t>Sarcopoterium spinosum</t>
  </si>
  <si>
    <t>Sarcostemma.clausum</t>
  </si>
  <si>
    <t>Funastrum clausum</t>
  </si>
  <si>
    <t>Sassafras.variifolium</t>
  </si>
  <si>
    <t>Sassafras albidum</t>
  </si>
  <si>
    <t>Satchys.tenuifolia</t>
  </si>
  <si>
    <t>Stachys tenuifolia</t>
  </si>
  <si>
    <t>Satureja.thymbra</t>
  </si>
  <si>
    <t>Satureja thymbra</t>
  </si>
  <si>
    <t>Saussurea.yanagisawae</t>
  </si>
  <si>
    <t>Saussurea yanagisawae</t>
  </si>
  <si>
    <t>Saussurea.gracilis</t>
  </si>
  <si>
    <t>Saussurea gracilis</t>
  </si>
  <si>
    <t>Sauvagesia.rubiginosa</t>
  </si>
  <si>
    <t>Sauvagesia rubiginosa</t>
  </si>
  <si>
    <t>Sauvagesia.angustifolia</t>
  </si>
  <si>
    <t>Sauvagesia angustifolia</t>
  </si>
  <si>
    <t>Saxifraga.caespitosa</t>
  </si>
  <si>
    <t>Saxifraga paniculata</t>
  </si>
  <si>
    <t>Saxifraga.flagellaris</t>
  </si>
  <si>
    <t>Saxifraga flagellaris</t>
  </si>
  <si>
    <t>Saxifraga.cernua</t>
  </si>
  <si>
    <t>Saxifraga cernua</t>
  </si>
  <si>
    <t>Saxifraga.nivalis</t>
  </si>
  <si>
    <t>Micranthes nivalis</t>
  </si>
  <si>
    <t>Saxifraga.oppositifolia</t>
  </si>
  <si>
    <t>Saxifraga oppositifolia</t>
  </si>
  <si>
    <t>Saxifraga.sp1.M.PL.014</t>
  </si>
  <si>
    <t>Saxifraga.hirculus</t>
  </si>
  <si>
    <t>Saxifraga hirculus</t>
  </si>
  <si>
    <t>Saxifraga.tricuspidata</t>
  </si>
  <si>
    <t>Saxifraga tricuspidata</t>
  </si>
  <si>
    <t>Saxifraga.aizoides</t>
  </si>
  <si>
    <t>Saxifraga aizoides</t>
  </si>
  <si>
    <t>Scabiosa.stellata</t>
  </si>
  <si>
    <t>Lomelosia stellata</t>
  </si>
  <si>
    <t>Scabiosa.atropurpurea</t>
  </si>
  <si>
    <t>Sixalix atropurpurea subsp. atropurpurea</t>
  </si>
  <si>
    <t>Scabiosa atropurpurea</t>
  </si>
  <si>
    <t>Scabiosa.japonica</t>
  </si>
  <si>
    <t>Scabiosa japonica</t>
  </si>
  <si>
    <t>Scaevola.frutescens</t>
  </si>
  <si>
    <t>Scaevola taccada</t>
  </si>
  <si>
    <t>Scaevola.sericea</t>
  </si>
  <si>
    <t>Scalesia.beurii</t>
  </si>
  <si>
    <t>Scalesia baurii</t>
  </si>
  <si>
    <t>Scalesia.sp1.M.PL.026</t>
  </si>
  <si>
    <t>Scalesia.helleri</t>
  </si>
  <si>
    <t>Scalesia helleri</t>
  </si>
  <si>
    <t>Scalesia.pedunculata</t>
  </si>
  <si>
    <t>Scalesia pedunculata</t>
  </si>
  <si>
    <t>Scalesia.affinis</t>
  </si>
  <si>
    <t>Scalesia affinis</t>
  </si>
  <si>
    <t>Scaligeria.cretica</t>
  </si>
  <si>
    <t>Scaligeria napiformis</t>
  </si>
  <si>
    <t>Scandix.pecten-veneris</t>
  </si>
  <si>
    <t>Scandix pecten-veneris</t>
  </si>
  <si>
    <t>Scandix.australis</t>
  </si>
  <si>
    <t>Scandix australis</t>
  </si>
  <si>
    <t>Scaveola.plumieri</t>
  </si>
  <si>
    <t>Scaevola plumieri</t>
  </si>
  <si>
    <t>Schefflera.octophylla</t>
  </si>
  <si>
    <t>Heptapleurum heptaphyllum</t>
  </si>
  <si>
    <t>Schima.wallichii</t>
  </si>
  <si>
    <t>Schima wallichii</t>
  </si>
  <si>
    <t>Schinus.patagonicus</t>
  </si>
  <si>
    <t>Schinus patagonicus</t>
  </si>
  <si>
    <t>Schinus patagonica</t>
  </si>
  <si>
    <t>Schizanthus.hookeri</t>
  </si>
  <si>
    <t>Schizanthus hookeri</t>
  </si>
  <si>
    <t>Schizanthus.garhamii</t>
  </si>
  <si>
    <t>Schizanthus grahamii</t>
  </si>
  <si>
    <t>Schizophragma.hydrangeoides</t>
  </si>
  <si>
    <t>Hydrangea hydrangeoides</t>
  </si>
  <si>
    <t>Scilla.autumnalis</t>
  </si>
  <si>
    <t>Scilla autumnalis</t>
  </si>
  <si>
    <t>Prospero autumnale</t>
  </si>
  <si>
    <t>Scirpus.triqueter</t>
  </si>
  <si>
    <t>Scirpus triqueter</t>
  </si>
  <si>
    <t>Schoenoplectus americanus</t>
  </si>
  <si>
    <t>Scleria.terrestris</t>
  </si>
  <si>
    <t>Scleria terrestris</t>
  </si>
  <si>
    <t>Scolymus.hispanicus</t>
  </si>
  <si>
    <t>Scolymus hispanicus</t>
  </si>
  <si>
    <t>Scorzonea.humilis</t>
  </si>
  <si>
    <t>Scorzonera humilis</t>
  </si>
  <si>
    <t>Scorzonera.lanata</t>
  </si>
  <si>
    <t>Scorzonera.cana</t>
  </si>
  <si>
    <t>Scorzonera cana</t>
  </si>
  <si>
    <t>Scrophularia.marilandica</t>
  </si>
  <si>
    <t>Scrophularia marilandica</t>
  </si>
  <si>
    <t>Scrophularia.glabrata</t>
  </si>
  <si>
    <t>Scrophularia glabrata</t>
  </si>
  <si>
    <t>Scutellaria.canescans</t>
  </si>
  <si>
    <t>Scutellaria incana var. incana</t>
  </si>
  <si>
    <t>Scutellaria.parvula</t>
  </si>
  <si>
    <t>Scutellaria parvula</t>
  </si>
  <si>
    <t>Scutellaria.lateriflora</t>
  </si>
  <si>
    <t>Scutellaria lateriflora</t>
  </si>
  <si>
    <t>Scutellaria.resinosa</t>
  </si>
  <si>
    <t>Scutellaria resinosa</t>
  </si>
  <si>
    <t>Scutellaria.versicolor</t>
  </si>
  <si>
    <t>Scutellaria ovata subsp. ovata</t>
  </si>
  <si>
    <t>Scypanthus.elegans</t>
  </si>
  <si>
    <t>Scyphanthus elegans</t>
  </si>
  <si>
    <t>Sebatia.angularis</t>
  </si>
  <si>
    <t>Sabatia angularis</t>
  </si>
  <si>
    <t>Securinega.suffruticosa</t>
  </si>
  <si>
    <t>Flueggea suffruticosa</t>
  </si>
  <si>
    <t>Sedum.formosanum</t>
  </si>
  <si>
    <t>Sedum formosanum</t>
  </si>
  <si>
    <t>Sedum.sediforme</t>
  </si>
  <si>
    <t>Petrosedum sediforme</t>
  </si>
  <si>
    <t>Sedum.stenopetalum</t>
  </si>
  <si>
    <t>Sedum stenopetalum</t>
  </si>
  <si>
    <t>Sedum.aizoon</t>
  </si>
  <si>
    <t>Sedum aizoon</t>
  </si>
  <si>
    <t>Phedimus aizoon</t>
  </si>
  <si>
    <t>Senecio.madagascariensis</t>
  </si>
  <si>
    <t>Senecio madagascariensis</t>
  </si>
  <si>
    <t>Senecio.bustillosianus</t>
  </si>
  <si>
    <t>Senecio bustillosianus</t>
  </si>
  <si>
    <t>Senecio.subulatus</t>
  </si>
  <si>
    <t>Senecio subulatus</t>
  </si>
  <si>
    <t>Senecio.bidwilli</t>
  </si>
  <si>
    <t>Brachyglottis bidwillii</t>
  </si>
  <si>
    <t>Senecio.steetzii</t>
  </si>
  <si>
    <t>Pericallis steetzii</t>
  </si>
  <si>
    <t>Senecio.nemorensis</t>
  </si>
  <si>
    <t>Senecio nemorensis</t>
  </si>
  <si>
    <t>Senecio.sp</t>
  </si>
  <si>
    <t>Senecio rosmarinifolius</t>
  </si>
  <si>
    <t>Senecio.pierotii</t>
  </si>
  <si>
    <t>Tephroseris pierotii</t>
  </si>
  <si>
    <t>Senecio pierotii</t>
  </si>
  <si>
    <t>Senecio.selloi</t>
  </si>
  <si>
    <t>Senecio selloi</t>
  </si>
  <si>
    <t>Senecio.pectinatus</t>
  </si>
  <si>
    <t>Senecio pectinatus</t>
  </si>
  <si>
    <t>Senecio flaccidus var. monoensis</t>
  </si>
  <si>
    <t>Senecio.filaginoides</t>
  </si>
  <si>
    <t>Senecio filaginoides</t>
  </si>
  <si>
    <t>Senecio.aureus</t>
  </si>
  <si>
    <t>Senecio aureus</t>
  </si>
  <si>
    <t>Senecio.scorzoneroides</t>
  </si>
  <si>
    <t>Dolichoglottis scorzoneroides</t>
  </si>
  <si>
    <t>Senecio.crithmoides</t>
  </si>
  <si>
    <t>Senecio crithmoides</t>
  </si>
  <si>
    <t>Senecio.jacobea</t>
  </si>
  <si>
    <t>Jacobaea vulgaris</t>
  </si>
  <si>
    <t>Senecio.tricephalus.</t>
  </si>
  <si>
    <t>Senecio tricephalus</t>
  </si>
  <si>
    <t>Senecio.bravensis</t>
  </si>
  <si>
    <t>Senecio bravensis</t>
  </si>
  <si>
    <t>Senecio.lithostaurus</t>
  </si>
  <si>
    <t>Senecio lithostaurus</t>
  </si>
  <si>
    <t>Senecio.pulcher</t>
  </si>
  <si>
    <t>Senecio pulcher</t>
  </si>
  <si>
    <t>Senecio.arechavaletae</t>
  </si>
  <si>
    <t>Senecio arechavaletae</t>
  </si>
  <si>
    <t>Senecio.francisci</t>
  </si>
  <si>
    <t>Senecio francisci</t>
  </si>
  <si>
    <t>Senecio.looseri.</t>
  </si>
  <si>
    <t>Senecio looseri</t>
  </si>
  <si>
    <t>Senecio micropifolius</t>
  </si>
  <si>
    <t>Senecio.bellidioides</t>
  </si>
  <si>
    <t>Brachyglottis bellidioides</t>
  </si>
  <si>
    <t>Brachyglottis lagopus</t>
  </si>
  <si>
    <t>Senecio.vulgaris</t>
  </si>
  <si>
    <t>Senecio vulgaris</t>
  </si>
  <si>
    <t>Senecio.gunnii</t>
  </si>
  <si>
    <t>Senecio gunnii</t>
  </si>
  <si>
    <t>Senecio.nikoensis</t>
  </si>
  <si>
    <t>Nemosenecio nikoensis</t>
  </si>
  <si>
    <t>Senecio nikoensis</t>
  </si>
  <si>
    <t>Senecio.lautus</t>
  </si>
  <si>
    <t>Senecio lautus</t>
  </si>
  <si>
    <t>Senecio.erucaeformis</t>
  </si>
  <si>
    <t>Senecio eruciformis</t>
  </si>
  <si>
    <t>Senecio.grisebachii</t>
  </si>
  <si>
    <t>Senecio grisebachii</t>
  </si>
  <si>
    <t>Senecio.cannabifolius</t>
  </si>
  <si>
    <t>Jacobaea cannabifolia</t>
  </si>
  <si>
    <t>Serissa.japonica</t>
  </si>
  <si>
    <t>Buchozia japonica</t>
  </si>
  <si>
    <t>Serissa japonica</t>
  </si>
  <si>
    <t>Serratula.coronata.insularis</t>
  </si>
  <si>
    <t>Serratula coronata subsp. insularis</t>
  </si>
  <si>
    <t>Serratula coronata</t>
  </si>
  <si>
    <t>Sesuvium.portulacastrum</t>
  </si>
  <si>
    <t>Sesuvium portulacastrum</t>
  </si>
  <si>
    <t>Setaria.geniculta</t>
  </si>
  <si>
    <t>Setaria parviflora</t>
  </si>
  <si>
    <t>Seymeria.macrophylla</t>
  </si>
  <si>
    <t>Dasistoma macrophyllum</t>
  </si>
  <si>
    <t>Dasistoma macrophylla</t>
  </si>
  <si>
    <t>Sherardia.arvensis</t>
  </si>
  <si>
    <t>Sherardia arvensis</t>
  </si>
  <si>
    <t>Shultesia.brachyptera</t>
  </si>
  <si>
    <t>Schultesia brachyptera</t>
  </si>
  <si>
    <t>Sicyos.angulatus</t>
  </si>
  <si>
    <t>Sicyos angulatus</t>
  </si>
  <si>
    <t>Sida.flavescens</t>
  </si>
  <si>
    <t>Krapovickasia flavescens</t>
  </si>
  <si>
    <t>Sida.acuta</t>
  </si>
  <si>
    <t>Sida acuta</t>
  </si>
  <si>
    <t>Sida.spinosa</t>
  </si>
  <si>
    <t>Sida spinosa</t>
  </si>
  <si>
    <t>Sida.rhombifolia</t>
  </si>
  <si>
    <t>Sida rhombifolia</t>
  </si>
  <si>
    <t>Sida.paniculata</t>
  </si>
  <si>
    <t>Sidastrum paniculatum</t>
  </si>
  <si>
    <t>Sideritis.nervosa</t>
  </si>
  <si>
    <t>Sideritis nervosa</t>
  </si>
  <si>
    <t>Sideritis.argosphacelus</t>
  </si>
  <si>
    <t>Sideritis cretica subsp. cretica</t>
  </si>
  <si>
    <t>Sideroxylon.puberulum</t>
  </si>
  <si>
    <t>Sideroxylon puberulum</t>
  </si>
  <si>
    <t>Sideroxylon.cinereum</t>
  </si>
  <si>
    <t>Sideroxylon cinereum</t>
  </si>
  <si>
    <t>Siegesbeckia.orientalis</t>
  </si>
  <si>
    <t>Sigesbeckia orientalis</t>
  </si>
  <si>
    <t>Sieversia.turbinata</t>
  </si>
  <si>
    <t>Geum rossii var. turbinatum</t>
  </si>
  <si>
    <t>Sieversia.ciliata</t>
  </si>
  <si>
    <t>Geum triflorum var. ciliatum</t>
  </si>
  <si>
    <t>Silene.colorata</t>
  </si>
  <si>
    <t>Silene colorata</t>
  </si>
  <si>
    <t>Silene.acaulis</t>
  </si>
  <si>
    <t>Silene acaulis</t>
  </si>
  <si>
    <t>Silene.sp1.M.PL.014</t>
  </si>
  <si>
    <t>Silene.gallica</t>
  </si>
  <si>
    <t>Silene gallica</t>
  </si>
  <si>
    <t>Silene.stellata</t>
  </si>
  <si>
    <t>Silene stellata</t>
  </si>
  <si>
    <t>Silene.vulgaris</t>
  </si>
  <si>
    <t>Silene vulgaris</t>
  </si>
  <si>
    <t>Silene.nivea</t>
  </si>
  <si>
    <t>Silene nivea</t>
  </si>
  <si>
    <t>Silene.dioica</t>
  </si>
  <si>
    <t>Silene dioica</t>
  </si>
  <si>
    <t>Silene.halli</t>
  </si>
  <si>
    <t>Silene scouleri subsp. hallii</t>
  </si>
  <si>
    <t>Silphium.terebinthinaceum</t>
  </si>
  <si>
    <t>Silphium terebinthinaceum</t>
  </si>
  <si>
    <t>Silphium.integrifolium</t>
  </si>
  <si>
    <t>Silphium integrifolium</t>
  </si>
  <si>
    <t>Silphium.laciniatum</t>
  </si>
  <si>
    <t>Silphium laciniatum</t>
  </si>
  <si>
    <t>Silphium.perfoliatum</t>
  </si>
  <si>
    <t>Silphium perfoliatum</t>
  </si>
  <si>
    <t>Sinningia.sp1.M.PL.030</t>
  </si>
  <si>
    <t>Sipanea.galioides</t>
  </si>
  <si>
    <t>Sipanea galioides</t>
  </si>
  <si>
    <t>Siphanthera.cordifolia</t>
  </si>
  <si>
    <t>Siphanthera cordifolia</t>
  </si>
  <si>
    <t>Sisymbrium.orientale</t>
  </si>
  <si>
    <t>Sisymbrium orientale</t>
  </si>
  <si>
    <t>Sisymbrium.canescens</t>
  </si>
  <si>
    <t>Sisymbrium canescens</t>
  </si>
  <si>
    <t>Descurainia erodiifolia</t>
  </si>
  <si>
    <t>Sisyranthus.trichostomus</t>
  </si>
  <si>
    <t>Sisyranthus trichostomus</t>
  </si>
  <si>
    <t>Sisyrinchium.gramineum</t>
  </si>
  <si>
    <t>Sisyrinchium angustifolium</t>
  </si>
  <si>
    <t>Sisyrinchium.philippii</t>
  </si>
  <si>
    <t>Olsynium philippii</t>
  </si>
  <si>
    <t>Sisyrinchium.arenarium</t>
  </si>
  <si>
    <t>Sisyrinchium arenarium</t>
  </si>
  <si>
    <t>Sisyrinchium.iridifolium</t>
  </si>
  <si>
    <t>Sisyrinchium micranthum</t>
  </si>
  <si>
    <t>Sisyrinchium.angustifolium</t>
  </si>
  <si>
    <t>Sisyrinchium.junceum</t>
  </si>
  <si>
    <t>Olsynium junceum</t>
  </si>
  <si>
    <t>Sium.cicutaefolium</t>
  </si>
  <si>
    <t>Sium suave</t>
  </si>
  <si>
    <t>Smilacina.racemosa</t>
  </si>
  <si>
    <t>Maianthemum racemosum</t>
  </si>
  <si>
    <t>Smilacina.stellata</t>
  </si>
  <si>
    <t>Maianthemum stellatum</t>
  </si>
  <si>
    <t>Smilacina.trifolia</t>
  </si>
  <si>
    <t>Maianthemum trifolium</t>
  </si>
  <si>
    <t>Smilax.anceps</t>
  </si>
  <si>
    <t>Smilax anceps</t>
  </si>
  <si>
    <t>Smilax.herbacea</t>
  </si>
  <si>
    <t>Smilax herbacea</t>
  </si>
  <si>
    <t>Smilax.aspera</t>
  </si>
  <si>
    <t>Smilax aspera</t>
  </si>
  <si>
    <t>Smilax.hispida</t>
  </si>
  <si>
    <t>Smilax hispida</t>
  </si>
  <si>
    <t>Smilax tamnoides</t>
  </si>
  <si>
    <t>Sobralia.liliastrum</t>
  </si>
  <si>
    <t>Sobralia liliastrum</t>
  </si>
  <si>
    <t>Solanum.carolinense</t>
  </si>
  <si>
    <t>Solanum carolinense</t>
  </si>
  <si>
    <t>Solanum.melongena</t>
  </si>
  <si>
    <t>Solanum melongena</t>
  </si>
  <si>
    <t>Solanum.chacoense</t>
  </si>
  <si>
    <t>Solanum chacoense</t>
  </si>
  <si>
    <t>Solanum.tomatillo</t>
  </si>
  <si>
    <t>Solanum crispum</t>
  </si>
  <si>
    <t>Solanum.nigrum</t>
  </si>
  <si>
    <t>Solanum nigrum</t>
  </si>
  <si>
    <t>Solanum.rostratum</t>
  </si>
  <si>
    <t>Solanum angustifolium</t>
  </si>
  <si>
    <t>Solanum rostratum</t>
  </si>
  <si>
    <t>Solanum.torvum</t>
  </si>
  <si>
    <t>Solanum torvum</t>
  </si>
  <si>
    <t>Solanum.americanum</t>
  </si>
  <si>
    <t>Solanum americanum</t>
  </si>
  <si>
    <t>Solanum.havanense</t>
  </si>
  <si>
    <t>Solanum havanense</t>
  </si>
  <si>
    <t>Solanum.erianthum</t>
  </si>
  <si>
    <t>Solanum erianthum</t>
  </si>
  <si>
    <t>Solenomelus.sisyrinchium</t>
  </si>
  <si>
    <t>Solenomelus segethi</t>
  </si>
  <si>
    <t>Solidago.virg-aurea</t>
  </si>
  <si>
    <t>Solidago virgaurea</t>
  </si>
  <si>
    <t>Solidago.canadensis</t>
  </si>
  <si>
    <t>Solidago canadensis</t>
  </si>
  <si>
    <t>Solidago.sp1M.PL.073</t>
  </si>
  <si>
    <t>Solidago.rigida</t>
  </si>
  <si>
    <t>Solidago rigida</t>
  </si>
  <si>
    <t>Solidago.virgaurea</t>
  </si>
  <si>
    <t>Solidago.ulmifolia</t>
  </si>
  <si>
    <t>Solidago ulmifolia</t>
  </si>
  <si>
    <t>Solidago.missouriensis</t>
  </si>
  <si>
    <t>Solidago missouriensis</t>
  </si>
  <si>
    <t>Solidago.sempervirens</t>
  </si>
  <si>
    <t>Solidago sempervirens</t>
  </si>
  <si>
    <t>Solidago.speciosa</t>
  </si>
  <si>
    <t>Solidago speciosa</t>
  </si>
  <si>
    <t>Solidago.nemoralis</t>
  </si>
  <si>
    <t>Solidago nemoralis</t>
  </si>
  <si>
    <t>Solidago.virgaurea.asiatica</t>
  </si>
  <si>
    <t>Solidago virgaurea subsp. asiatica</t>
  </si>
  <si>
    <t>Solidago decurrens var. decurrens</t>
  </si>
  <si>
    <t>Solidago.serotina</t>
  </si>
  <si>
    <t>Solidago serotina</t>
  </si>
  <si>
    <t>Solidago.graminifolia</t>
  </si>
  <si>
    <t>Euthamia graminifolia</t>
  </si>
  <si>
    <t>Solidago.sempervivens</t>
  </si>
  <si>
    <t>Solidago.chilensis</t>
  </si>
  <si>
    <t>Solidago chilensis</t>
  </si>
  <si>
    <t>Sommerfeltia.spinulosa</t>
  </si>
  <si>
    <t>Sommerfeltia spinulosa</t>
  </si>
  <si>
    <t>Sonchus.cf..ortunoi</t>
  </si>
  <si>
    <t>Sonchus ortunoi</t>
  </si>
  <si>
    <t>Sonchus.tenerrinus</t>
  </si>
  <si>
    <t>Sonchus tenerrimus</t>
  </si>
  <si>
    <t>Sonchus.oleraceus</t>
  </si>
  <si>
    <t>Sonchus oleraceus</t>
  </si>
  <si>
    <t>Sonchus.arvensis</t>
  </si>
  <si>
    <t>Sonchus arvensis</t>
  </si>
  <si>
    <t>Sonchus.palustris</t>
  </si>
  <si>
    <t>Sonchus palustris</t>
  </si>
  <si>
    <t>Sophora.flavescens</t>
  </si>
  <si>
    <t>Sophora flavescens</t>
  </si>
  <si>
    <t>Sorbus.commixta</t>
  </si>
  <si>
    <t>Sorbus commixta</t>
  </si>
  <si>
    <t>Soulamea.terminaloides</t>
  </si>
  <si>
    <t>Soulamea terminalioides</t>
  </si>
  <si>
    <t>Spartium.junceum</t>
  </si>
  <si>
    <t>Spartium junceum</t>
  </si>
  <si>
    <t>Spartocytisus.supranubius</t>
  </si>
  <si>
    <t>Cytisus supranubius</t>
  </si>
  <si>
    <t>Specularia.perfoliata</t>
  </si>
  <si>
    <t>Triodanis perfoliata</t>
  </si>
  <si>
    <t>Spermacoce.assurgens</t>
  </si>
  <si>
    <t>Spermacoce remota</t>
  </si>
  <si>
    <t>Spilanthes.urens</t>
  </si>
  <si>
    <t>Spilanthes urens</t>
  </si>
  <si>
    <t>Spilanthes.stolonifera</t>
  </si>
  <si>
    <t>Acmella decumbens</t>
  </si>
  <si>
    <t>Acmella decumbens var. decumbens</t>
  </si>
  <si>
    <t>Spiraea.alba</t>
  </si>
  <si>
    <t>Spiraea alba</t>
  </si>
  <si>
    <t>Spiraea.tossensis</t>
  </si>
  <si>
    <t>Spiraea nipponica var. tosaensis</t>
  </si>
  <si>
    <t>Spiraea.cantoniensis</t>
  </si>
  <si>
    <t>Spiraea cantoniensis</t>
  </si>
  <si>
    <t>Spiraea.blumei</t>
  </si>
  <si>
    <t>Spiraea blumei</t>
  </si>
  <si>
    <t>Spiraea.japonica</t>
  </si>
  <si>
    <t>Spiraea japonica</t>
  </si>
  <si>
    <t>Spiraea.thunbergii</t>
  </si>
  <si>
    <t>Spiraea thunbergii</t>
  </si>
  <si>
    <t>Spiranthes.gracilis</t>
  </si>
  <si>
    <t>Spiranthes lacera var. gracilis</t>
  </si>
  <si>
    <t>Spiranthes.sinensis</t>
  </si>
  <si>
    <t>Spiranthes sinensis</t>
  </si>
  <si>
    <t>Spuriopimpinella.nikoensis</t>
  </si>
  <si>
    <t>Spuriopimpinella brachycarpa</t>
  </si>
  <si>
    <t>Stachtarpheta.cayanensis</t>
  </si>
  <si>
    <t>Stachytarpheta cayennensis</t>
  </si>
  <si>
    <t>Stachys.cretica</t>
  </si>
  <si>
    <t>Stachys cretica</t>
  </si>
  <si>
    <t>Stachys.sylvatica</t>
  </si>
  <si>
    <t>Stachys sylvatica</t>
  </si>
  <si>
    <t>Stachys.albicaulis</t>
  </si>
  <si>
    <t>Stachys albicaulis</t>
  </si>
  <si>
    <t>Stachys.palustris</t>
  </si>
  <si>
    <t>Stachys palustris</t>
  </si>
  <si>
    <t>Stachytarpheta.jamaicensis</t>
  </si>
  <si>
    <t>Stachytarpheta jamaicensis</t>
  </si>
  <si>
    <t>Stachyurus.praecox</t>
  </si>
  <si>
    <t>Stachyurus praecox</t>
  </si>
  <si>
    <t>Stackhousia.pulvinaris</t>
  </si>
  <si>
    <t>Stackhousia pulvinaris</t>
  </si>
  <si>
    <t>Stanleya.pinnatifida</t>
  </si>
  <si>
    <t>Stanleya pinnata var. pinnata</t>
  </si>
  <si>
    <t>Staphylea.trifolia</t>
  </si>
  <si>
    <t>Staphylea trifolia</t>
  </si>
  <si>
    <t>Staphylea.bumalda</t>
  </si>
  <si>
    <t>Staphylea bumalda</t>
  </si>
  <si>
    <t>Stauntonia.hexaPhylla</t>
  </si>
  <si>
    <t>Stauntonia hexaphylla</t>
  </si>
  <si>
    <t>Stauracanthus.genistoides</t>
  </si>
  <si>
    <t>Stauracanthus genistoides</t>
  </si>
  <si>
    <t>Stegolepsis.angustata</t>
  </si>
  <si>
    <t>Stegolepis angustata</t>
  </si>
  <si>
    <t>Steironema.quadriflorum</t>
  </si>
  <si>
    <t>Lysimachia quadriflora</t>
  </si>
  <si>
    <t>Steironema.lanceolatum</t>
  </si>
  <si>
    <t>Lysimachia lanceolata</t>
  </si>
  <si>
    <t>Steironema.ciliatum</t>
  </si>
  <si>
    <t>Lysimachia ciliata</t>
  </si>
  <si>
    <t>Stellaria.longipes</t>
  </si>
  <si>
    <t>Stellaria longipes</t>
  </si>
  <si>
    <t>Stellaria.sp1.M.PL.014</t>
  </si>
  <si>
    <t>Stellaria.pubera</t>
  </si>
  <si>
    <t>Stellaria pubera</t>
  </si>
  <si>
    <t>Stellaria.media</t>
  </si>
  <si>
    <t>Stellaria media</t>
  </si>
  <si>
    <t>Stellaria.palustris</t>
  </si>
  <si>
    <t>Stellaria palustris</t>
  </si>
  <si>
    <t>Stellaria.graminea</t>
  </si>
  <si>
    <t>Stellaria graminea</t>
  </si>
  <si>
    <t>Stellaria.uchiyamana</t>
  </si>
  <si>
    <t>Stellaria uchiyamana</t>
  </si>
  <si>
    <t>Stellaria.alsine</t>
  </si>
  <si>
    <t>Stellaria alsine</t>
  </si>
  <si>
    <t>Stellaria uliginosa</t>
  </si>
  <si>
    <t>Stellaria.longifolia</t>
  </si>
  <si>
    <t>Stellaria longifolia</t>
  </si>
  <si>
    <t>Stenactis.annuus</t>
  </si>
  <si>
    <t>Stenanthium.angustifolium</t>
  </si>
  <si>
    <t>Stenanthium gramineum</t>
  </si>
  <si>
    <t>Stenodraba.stenophylla</t>
  </si>
  <si>
    <t>Stenodraba stenophylla</t>
  </si>
  <si>
    <t>Stephanandra.incisa</t>
  </si>
  <si>
    <t>Neillia incisa</t>
  </si>
  <si>
    <t>Sternbergia.lutea</t>
  </si>
  <si>
    <t>Sternbergia lutea</t>
  </si>
  <si>
    <t>Stevia.satureiifolia</t>
  </si>
  <si>
    <t>Stevia satureifolia</t>
  </si>
  <si>
    <t>Stevia satureiifolium</t>
  </si>
  <si>
    <t>Stewartia.monadelpha</t>
  </si>
  <si>
    <t>Stewartia monadelpha</t>
  </si>
  <si>
    <t>Stigmaphyllon.paralias</t>
  </si>
  <si>
    <t>Stigmaphyllon paralias</t>
  </si>
  <si>
    <t>Stigmaphyllon.diversifolium</t>
  </si>
  <si>
    <t>Stigmaphyllon diversifolium</t>
  </si>
  <si>
    <t>Stigmaphyllon.auriculatum</t>
  </si>
  <si>
    <t>Stigmaphyllon auriculatum</t>
  </si>
  <si>
    <t>Stigmaphyllon.ciliatum</t>
  </si>
  <si>
    <t>Stigmaphyllon ciliatum</t>
  </si>
  <si>
    <t>Stillingia.lineata</t>
  </si>
  <si>
    <t>Stillingia lineata</t>
  </si>
  <si>
    <t>Stillingia.lineata.ssp.lineata</t>
  </si>
  <si>
    <t>Stillingia lineata subsp. lineata</t>
  </si>
  <si>
    <t>Strophostyles.helvola</t>
  </si>
  <si>
    <t>Strophostyles helvola</t>
  </si>
  <si>
    <t>Strophostyles helvula</t>
  </si>
  <si>
    <t>Strophostyles.pauciflora</t>
  </si>
  <si>
    <t>Strophostyles leiosperma</t>
  </si>
  <si>
    <t>Stylidium.graminifolium</t>
  </si>
  <si>
    <t>Stylidium graminifolium</t>
  </si>
  <si>
    <t>Stylosanthes.hamata</t>
  </si>
  <si>
    <t>Stylosanthes hamata</t>
  </si>
  <si>
    <t>Stylosanthes.biflora</t>
  </si>
  <si>
    <t>Stylosanthes biflora</t>
  </si>
  <si>
    <t>Styrax.japonica</t>
  </si>
  <si>
    <t>Styrax japonicus</t>
  </si>
  <si>
    <t>Suriana.maritima</t>
  </si>
  <si>
    <t>Suriana maritima</t>
  </si>
  <si>
    <t>Swertia.bimaculata</t>
  </si>
  <si>
    <t>Swertia bimaculata</t>
  </si>
  <si>
    <t>Swertia.japonica</t>
  </si>
  <si>
    <t>Swertia japonica</t>
  </si>
  <si>
    <t>Swida.controversa</t>
  </si>
  <si>
    <t>Cornus controversa</t>
  </si>
  <si>
    <t>Swida.macrophylla</t>
  </si>
  <si>
    <t>Cornus macrophylla</t>
  </si>
  <si>
    <t>Swida.stlonifera</t>
  </si>
  <si>
    <t>Cornus sericea</t>
  </si>
  <si>
    <t>Symphiotrichum.lanceolatum</t>
  </si>
  <si>
    <t>Symphyotrichum lanceolatum</t>
  </si>
  <si>
    <t>Symphoricarpos.orbicularis</t>
  </si>
  <si>
    <t>Symphoricarpos orbicularis</t>
  </si>
  <si>
    <t>Symphoricarpos orbiculatus</t>
  </si>
  <si>
    <t>Symplocos.chinensis</t>
  </si>
  <si>
    <t>Symplocos paniculata</t>
  </si>
  <si>
    <t>Symplocos.microcalyx</t>
  </si>
  <si>
    <t>Symplocos microcalyx</t>
  </si>
  <si>
    <t>Synqonanthus.caulescens</t>
  </si>
  <si>
    <t>Syngonanthus caulescens</t>
  </si>
  <si>
    <t>Synurus.excelsus</t>
  </si>
  <si>
    <t>Synurus excelsus</t>
  </si>
  <si>
    <t>Synurus.pungens</t>
  </si>
  <si>
    <t>Synurus pungens</t>
  </si>
  <si>
    <t>Syringa.vulgaris</t>
  </si>
  <si>
    <t>Syringa vulgaris</t>
  </si>
  <si>
    <t>Syzygium.venosum</t>
  </si>
  <si>
    <t>Syzygium venosum</t>
  </si>
  <si>
    <t>Syzygium.petrinese</t>
  </si>
  <si>
    <t>Syzygium petrinense</t>
  </si>
  <si>
    <t>Syzygium.coriaceum</t>
  </si>
  <si>
    <t>Syzygium coriaceum</t>
  </si>
  <si>
    <t>Syzygium.glomeratum</t>
  </si>
  <si>
    <t>Syzygium glomeratum</t>
  </si>
  <si>
    <t>Syzygium.commersonii</t>
  </si>
  <si>
    <t>Syzygium commersonii</t>
  </si>
  <si>
    <t>Syzygium.wrightii</t>
  </si>
  <si>
    <t>Syzygium wrightii</t>
  </si>
  <si>
    <t>Syzygium.mauritianum</t>
  </si>
  <si>
    <t>Syzygium mauritianum</t>
  </si>
  <si>
    <t>Tabernaemontana.persicarifolia</t>
  </si>
  <si>
    <t>Tabernaemontana persicariifolia</t>
  </si>
  <si>
    <t>Taenidia.integerrima</t>
  </si>
  <si>
    <t>Taenidia integerrima</t>
  </si>
  <si>
    <t>Tanacetum.vulgare</t>
  </si>
  <si>
    <t>Tanacetum vulgare</t>
  </si>
  <si>
    <t>Tarasa.humilis.</t>
  </si>
  <si>
    <t>Tarasa humilis</t>
  </si>
  <si>
    <t>Taraxacum.japonicum</t>
  </si>
  <si>
    <t>Taraxacum japonicum</t>
  </si>
  <si>
    <t>Taraxacum.sp1.M.PL.014</t>
  </si>
  <si>
    <t>Taraxacum.sp1.M.PL.024</t>
  </si>
  <si>
    <t>Taraxacum.phymatocarpum</t>
  </si>
  <si>
    <t>Taraxacum phymatocarpum</t>
  </si>
  <si>
    <t>Taraxacum.hondoense</t>
  </si>
  <si>
    <t>Taraxacum platycarpum subsp. hondoense</t>
  </si>
  <si>
    <t>Taraxacum.officinale</t>
  </si>
  <si>
    <t>Taraxacum officinale</t>
  </si>
  <si>
    <t>Taraxacum sect. Taraxacum</t>
  </si>
  <si>
    <t>Taraxacum.arctogenum</t>
  </si>
  <si>
    <t>Taraxacum ceratophorum</t>
  </si>
  <si>
    <t>Taraxacum arctogenum</t>
  </si>
  <si>
    <t>Tecoma.radicans</t>
  </si>
  <si>
    <t>Tephrosia.virginiana</t>
  </si>
  <si>
    <t>Tephrosia virginiana</t>
  </si>
  <si>
    <t>Tepualia.stipularis</t>
  </si>
  <si>
    <t>Tepualia stipularis</t>
  </si>
  <si>
    <t>Metrosideros stipularis</t>
  </si>
  <si>
    <t>Ternstroemia.crassifolia</t>
  </si>
  <si>
    <t>Ternstroemia crassifolia</t>
  </si>
  <si>
    <t>Tetraglochin.alatum</t>
  </si>
  <si>
    <t>Margyricarpus alatus</t>
  </si>
  <si>
    <t>Tetraglochin alata</t>
  </si>
  <si>
    <t>Tetramerium.nervosum</t>
  </si>
  <si>
    <t>Tetramerium nervosum</t>
  </si>
  <si>
    <t>Tetrazygia.angustifolia</t>
  </si>
  <si>
    <t>Miconia angustifolia</t>
  </si>
  <si>
    <t>Teucrium.polium</t>
  </si>
  <si>
    <t>Teucrium polium</t>
  </si>
  <si>
    <t>Teucrium.canadense</t>
  </si>
  <si>
    <t>Teucrium canadense</t>
  </si>
  <si>
    <t>Thalia.geniculata</t>
  </si>
  <si>
    <t>Thalia geniculata</t>
  </si>
  <si>
    <t>Thalictrum.filamentosum.tenerum</t>
  </si>
  <si>
    <t>Thalictrum tuberiferum</t>
  </si>
  <si>
    <t>Thalictrum tuberiferum var. tuberiferum</t>
  </si>
  <si>
    <t>Thalictrum filamentosum</t>
  </si>
  <si>
    <t>Thalictrum.fendleri</t>
  </si>
  <si>
    <t>Thalictrum fendleri</t>
  </si>
  <si>
    <t>Thalictrum.thalictroides</t>
  </si>
  <si>
    <t>Thalictrum.dasycarpum</t>
  </si>
  <si>
    <t>Thalictrum dasycarpum</t>
  </si>
  <si>
    <t>Thapsia.garganica</t>
  </si>
  <si>
    <t>Thapsia garganica</t>
  </si>
  <si>
    <t>Thaspium.aureum.trifoliatum</t>
  </si>
  <si>
    <t>Thaspium trifoliatum</t>
  </si>
  <si>
    <t>Zizia aurea</t>
  </si>
  <si>
    <t>Thaspium.aureum.atropurpurem</t>
  </si>
  <si>
    <t>Thaspium trifoliatum var. trifoliatum</t>
  </si>
  <si>
    <t>Thelesperma.megapotamicum</t>
  </si>
  <si>
    <t>Thelesperma megapotamicum</t>
  </si>
  <si>
    <t>Thermopsis.montana</t>
  </si>
  <si>
    <t>Thermopsis montana</t>
  </si>
  <si>
    <t>Thespesia.populnea</t>
  </si>
  <si>
    <t>Thespesia populnea</t>
  </si>
  <si>
    <t>Thunbergia.fragrans</t>
  </si>
  <si>
    <t>Thunbergia fragrans</t>
  </si>
  <si>
    <t>Thymelaea.hirsuta</t>
  </si>
  <si>
    <t>Thymelaea hirsuta</t>
  </si>
  <si>
    <t>Thymelaea.tartonraira</t>
  </si>
  <si>
    <t>Thymelaea tartonraira</t>
  </si>
  <si>
    <t>Thymelaea tarton-raira</t>
  </si>
  <si>
    <t>Thymus.mastichina</t>
  </si>
  <si>
    <t>Thymus mastichina</t>
  </si>
  <si>
    <t>Thymus.capitatus</t>
  </si>
  <si>
    <t>Thymbra capitata</t>
  </si>
  <si>
    <t>Tiarella.cordifolia.collina</t>
  </si>
  <si>
    <t>Tiarella cordifolia</t>
  </si>
  <si>
    <t>Tibouchina.fraterna</t>
  </si>
  <si>
    <t>Tibouchina fraterna</t>
  </si>
  <si>
    <t>Tilia.japonica</t>
  </si>
  <si>
    <t>Tilia japonica</t>
  </si>
  <si>
    <t>Tilia.miqueliana</t>
  </si>
  <si>
    <t>Tilia miqueliana</t>
  </si>
  <si>
    <t>Tilia.americana</t>
  </si>
  <si>
    <t>Tilia americana</t>
  </si>
  <si>
    <t>Tillandsia.tenuifolia</t>
  </si>
  <si>
    <t>Tillandsia tenuifolia</t>
  </si>
  <si>
    <t>Tillandsia.geminifolia</t>
  </si>
  <si>
    <t>Lemeltonia monadelpha</t>
  </si>
  <si>
    <t>Timonius.sechellensis</t>
  </si>
  <si>
    <t>Timonius flavescens</t>
  </si>
  <si>
    <t>Tococa.nitens</t>
  </si>
  <si>
    <t>Miconia nitens</t>
  </si>
  <si>
    <t>Toddalia.asiatica</t>
  </si>
  <si>
    <t>Zanthoxylum asiaticum</t>
  </si>
  <si>
    <t>Tolpis.webbii</t>
  </si>
  <si>
    <t>Tolpis webbii</t>
  </si>
  <si>
    <t>Tordylium.apulum</t>
  </si>
  <si>
    <t>Tordylium apulum</t>
  </si>
  <si>
    <t>Torilis.japonica</t>
  </si>
  <si>
    <t>Torilis japonica</t>
  </si>
  <si>
    <t>Tournefortia.psilostachya</t>
  </si>
  <si>
    <t>Myriopus psilostachya</t>
  </si>
  <si>
    <t>Tournefortia.rufo-sericea</t>
  </si>
  <si>
    <t>Tournefortia rufosericea</t>
  </si>
  <si>
    <t>Tournefortia rufo-sericea</t>
  </si>
  <si>
    <t>Tradescantia.brevicaulis</t>
  </si>
  <si>
    <t>Tradescantia virginiana</t>
  </si>
  <si>
    <t>Tradescantia.zebrina</t>
  </si>
  <si>
    <t>Tradescantia zebrina</t>
  </si>
  <si>
    <t>Tradescantia.ohiensis</t>
  </si>
  <si>
    <t>Tradescantia ohiensis</t>
  </si>
  <si>
    <t>Tradescantia.virginiana</t>
  </si>
  <si>
    <t>Tradescantia.pilosa</t>
  </si>
  <si>
    <t>Tradescantia pilosa</t>
  </si>
  <si>
    <t>Cyanotis pilosa</t>
  </si>
  <si>
    <t>Tragopogon.porrifolius</t>
  </si>
  <si>
    <t>Tragopogon porrifolius</t>
  </si>
  <si>
    <t>Trema.orientalis</t>
  </si>
  <si>
    <t>Trema orientale</t>
  </si>
  <si>
    <t>Tremastelma.palestinum</t>
  </si>
  <si>
    <t>Lomelosia palaestina</t>
  </si>
  <si>
    <t>Lomelosia palestina</t>
  </si>
  <si>
    <t>Trfolium.sp1.M.PL.046</t>
  </si>
  <si>
    <t>Tribulus.cistoides</t>
  </si>
  <si>
    <t>Tribulus cistoides</t>
  </si>
  <si>
    <t>Trichocereus.chiloensis</t>
  </si>
  <si>
    <t>Leucostele chiloensis subsp. chiloensis</t>
  </si>
  <si>
    <t>Leucostele chiloensis</t>
  </si>
  <si>
    <t>Tricyrtis.hirta</t>
  </si>
  <si>
    <t>Tricyrtis hirta</t>
  </si>
  <si>
    <t>Trientalis.europaea</t>
  </si>
  <si>
    <t>Lysimachia europaea</t>
  </si>
  <si>
    <t>Trientalis.borealis</t>
  </si>
  <si>
    <t>Lysimachia borealis</t>
  </si>
  <si>
    <t>Trifolium.dubium</t>
  </si>
  <si>
    <t>Trifolium dubium</t>
  </si>
  <si>
    <t>Trifolium.dasyphyllum</t>
  </si>
  <si>
    <t>Trifolium dasyphyllum</t>
  </si>
  <si>
    <t>Trifolium.repens</t>
  </si>
  <si>
    <t>Trifolium repens</t>
  </si>
  <si>
    <t>Trifolium.hybridum</t>
  </si>
  <si>
    <t>Trifolium hybridum</t>
  </si>
  <si>
    <t>Trifolium.stellatum</t>
  </si>
  <si>
    <t>Trifolium stellatum</t>
  </si>
  <si>
    <t>Trifolium.campestre</t>
  </si>
  <si>
    <t>Trifolium campestre</t>
  </si>
  <si>
    <t>Trifolium.pratense</t>
  </si>
  <si>
    <t>Trifolium pratense</t>
  </si>
  <si>
    <t>Trifolium.arvense</t>
  </si>
  <si>
    <t>Trifolium arvense</t>
  </si>
  <si>
    <t>Trifolium.reflexum</t>
  </si>
  <si>
    <t>Trifolium reflexum</t>
  </si>
  <si>
    <t>Trigonotis.brevipes</t>
  </si>
  <si>
    <t>Trigonotis brevipes</t>
  </si>
  <si>
    <t>Trillium.sessile</t>
  </si>
  <si>
    <t>Trillium sessile</t>
  </si>
  <si>
    <t>Trillium.catesbei</t>
  </si>
  <si>
    <t>Trillium catesbaei</t>
  </si>
  <si>
    <t>Trillium.undulatum</t>
  </si>
  <si>
    <t>Trillium undulatum</t>
  </si>
  <si>
    <t>Triosteum.perfoliatum</t>
  </si>
  <si>
    <t>Triosteum perfoliatum</t>
  </si>
  <si>
    <t>Tripleurospermum.inodorum</t>
  </si>
  <si>
    <t>Tripleurospermum inodorum</t>
  </si>
  <si>
    <t>Tripterospermum.japonicum</t>
  </si>
  <si>
    <t>Tripterospermum trinervium</t>
  </si>
  <si>
    <t>Tristagama.sessile</t>
  </si>
  <si>
    <t>Tristagma sessile</t>
  </si>
  <si>
    <t>Ipheion sessile</t>
  </si>
  <si>
    <t>Tristagama.bivalve</t>
  </si>
  <si>
    <t>Tristagma bivalve</t>
  </si>
  <si>
    <t>Tristagama.nivale</t>
  </si>
  <si>
    <t>Tristagma nivale</t>
  </si>
  <si>
    <t>Tristerix.corymbosus</t>
  </si>
  <si>
    <t>Tristerix corymbosus</t>
  </si>
  <si>
    <t>Tristhema.mauritiana</t>
  </si>
  <si>
    <t>Tristemma mauritianum</t>
  </si>
  <si>
    <t>Trixis.stricta</t>
  </si>
  <si>
    <t>Criscia stricta</t>
  </si>
  <si>
    <t>Trochetia.blackburniana</t>
  </si>
  <si>
    <t>Ruizia blackburniana</t>
  </si>
  <si>
    <t>Trollius.europaeus</t>
  </si>
  <si>
    <t>Trollius europaeus</t>
  </si>
  <si>
    <t>Trollius.hondoensis</t>
  </si>
  <si>
    <t>Trollius hondoensis</t>
  </si>
  <si>
    <t>Tropaeolum.polyphyllum</t>
  </si>
  <si>
    <t>Tropaeolum polyphyllum</t>
  </si>
  <si>
    <t>Tropaeolum.sessilifolium</t>
  </si>
  <si>
    <t>Tropaeolum sessilifolium</t>
  </si>
  <si>
    <t>Tropaeolum.tricolor</t>
  </si>
  <si>
    <t>Tropaeolum tricolor</t>
  </si>
  <si>
    <t>Turnera.pinnatifida</t>
  </si>
  <si>
    <t>Turnera sidoides subsp. pinnatifida</t>
  </si>
  <si>
    <t>Turnera.angustifolia</t>
  </si>
  <si>
    <t>Turnera ulmifolia</t>
  </si>
  <si>
    <t>Turnera ulmifolia var. angustifolia</t>
  </si>
  <si>
    <t>Turnera.ulmifolia</t>
  </si>
  <si>
    <t>Turraea.rigida</t>
  </si>
  <si>
    <t>Turraea rigida</t>
  </si>
  <si>
    <t>Typha.angustifolia</t>
  </si>
  <si>
    <t>Typha angustifolia</t>
  </si>
  <si>
    <t>Tyttnera.scabra</t>
  </si>
  <si>
    <t>Ayenia scabra</t>
  </si>
  <si>
    <t>Ugni.candollei</t>
  </si>
  <si>
    <t>Ugni candollei</t>
  </si>
  <si>
    <t>Ugni.molinae</t>
  </si>
  <si>
    <t>Ugni molinae</t>
  </si>
  <si>
    <t>Ulex.parviflorus</t>
  </si>
  <si>
    <t>Ulex parviflorus</t>
  </si>
  <si>
    <t>Ulex.minor</t>
  </si>
  <si>
    <t>Ulex minor</t>
  </si>
  <si>
    <t>Ulmus.davidiana</t>
  </si>
  <si>
    <t>Ulmus davidiana</t>
  </si>
  <si>
    <t>Ulmus.fulva</t>
  </si>
  <si>
    <t>Ulmus rubra</t>
  </si>
  <si>
    <t>Ulmus.americana</t>
  </si>
  <si>
    <t>Ulmus americana</t>
  </si>
  <si>
    <t>Urechites.lutea</t>
  </si>
  <si>
    <t>Pentalinon luteum</t>
  </si>
  <si>
    <t>Urginea.maritima</t>
  </si>
  <si>
    <t>Drimia maritima</t>
  </si>
  <si>
    <t>Squilla maritima</t>
  </si>
  <si>
    <t>Urospermum.picrioides</t>
  </si>
  <si>
    <t>Urospermum picroides</t>
  </si>
  <si>
    <t>Uvularia.sessilifolia</t>
  </si>
  <si>
    <t>Uvularia sessilifolia</t>
  </si>
  <si>
    <t>Uvularia.grandiflora</t>
  </si>
  <si>
    <t>Uvularia grandiflora</t>
  </si>
  <si>
    <t>Vaccinium.myrtilloides</t>
  </si>
  <si>
    <t>Vaccinium myrtilloides</t>
  </si>
  <si>
    <t>Vaccinium.wrightii</t>
  </si>
  <si>
    <t>Vaccinium wrightii</t>
  </si>
  <si>
    <t>Vaccinium.vitis-idaea</t>
  </si>
  <si>
    <t>Vaccinium vitis-idaea</t>
  </si>
  <si>
    <t>Vaccinium.uliginosum</t>
  </si>
  <si>
    <t>Vaccinium uliginosum</t>
  </si>
  <si>
    <t>Vaccinium.puberulum</t>
  </si>
  <si>
    <t>Vaccinium puberulum</t>
  </si>
  <si>
    <t>Vaccinium.euryanthum</t>
  </si>
  <si>
    <t>Vaccinium euryanthum</t>
  </si>
  <si>
    <t>Vaccinium.myrtillus</t>
  </si>
  <si>
    <t>Vaccinium myrtillus</t>
  </si>
  <si>
    <t>Vaccinium.oldhami</t>
  </si>
  <si>
    <t>Vaccinium oldhamii</t>
  </si>
  <si>
    <t>Valeriana.polystachya</t>
  </si>
  <si>
    <t>Valeriana polystachya</t>
  </si>
  <si>
    <t>Valeriana.edulis</t>
  </si>
  <si>
    <t>Valeriana edulis</t>
  </si>
  <si>
    <t>Valeriana.radicalis</t>
  </si>
  <si>
    <t>Valeriana radicalis</t>
  </si>
  <si>
    <t>Valeriana.flaccidissima</t>
  </si>
  <si>
    <t>Valeriana flaccidissima</t>
  </si>
  <si>
    <t>Valeriana.fauriei</t>
  </si>
  <si>
    <t>Valeriana fauriei</t>
  </si>
  <si>
    <t>Valeriana.officinalis</t>
  </si>
  <si>
    <t>Valeriana officinalis</t>
  </si>
  <si>
    <t>Valeriana.gracileps</t>
  </si>
  <si>
    <t>Valeriana gracilipes</t>
  </si>
  <si>
    <t>Valerianella.radiata</t>
  </si>
  <si>
    <t>Valerianella radiata</t>
  </si>
  <si>
    <t>Valeriana woodsiana</t>
  </si>
  <si>
    <t>Vallesia.glabra</t>
  </si>
  <si>
    <t>Vallesia glabra</t>
  </si>
  <si>
    <t>Veratrum.album.oxysepalum</t>
  </si>
  <si>
    <t>Veratrum oxysepalum</t>
  </si>
  <si>
    <t>Veratrum album</t>
  </si>
  <si>
    <t>Veratrum.maackii</t>
  </si>
  <si>
    <t>Veratrum maackii</t>
  </si>
  <si>
    <t>Verbascum.thapsis</t>
  </si>
  <si>
    <t>Verbascum thapsus</t>
  </si>
  <si>
    <t>Verbascum.undulatum</t>
  </si>
  <si>
    <t>Verbascum undulatum</t>
  </si>
  <si>
    <t>Verbascum.thapsus</t>
  </si>
  <si>
    <t>Verbena.angustifolia</t>
  </si>
  <si>
    <t>Stachytarpheta indica</t>
  </si>
  <si>
    <t>Verbena.scoparia</t>
  </si>
  <si>
    <t>Verbena stricta</t>
  </si>
  <si>
    <t>Verbena.intermedia</t>
  </si>
  <si>
    <t>Verbena intermedia</t>
  </si>
  <si>
    <t>Verbena.bracteosa</t>
  </si>
  <si>
    <t>Verbena bracteata</t>
  </si>
  <si>
    <t>Verbena.urticifolia</t>
  </si>
  <si>
    <t>Verbena urticifolia</t>
  </si>
  <si>
    <t>Verbena.hastata</t>
  </si>
  <si>
    <t>Verbena hastata</t>
  </si>
  <si>
    <t>Verbena.stricta</t>
  </si>
  <si>
    <t>Verbesina.alternifolia</t>
  </si>
  <si>
    <t>Verbesina.helianthoides</t>
  </si>
  <si>
    <t>Verbesina helianthoides</t>
  </si>
  <si>
    <t>Vernonia.bolivariensis</t>
  </si>
  <si>
    <t>Lepidaploa bolivarensis</t>
  </si>
  <si>
    <t>Vernonia.echioides</t>
  </si>
  <si>
    <t>Vernonia echioides</t>
  </si>
  <si>
    <t>Vernonia.sp1.M.PL.041</t>
  </si>
  <si>
    <t>Vernonia.fasciculata</t>
  </si>
  <si>
    <t>Vernonia fasciculata</t>
  </si>
  <si>
    <t>Vernonia.cinerea</t>
  </si>
  <si>
    <t>Cyanthillium cinereum</t>
  </si>
  <si>
    <t>Veronica.persica</t>
  </si>
  <si>
    <t>Veronica persica</t>
  </si>
  <si>
    <t>Veronica.agrestis</t>
  </si>
  <si>
    <t>Veronica agrestis</t>
  </si>
  <si>
    <t>Veronica.chamaedrys</t>
  </si>
  <si>
    <t>Veronica chamaedrys</t>
  </si>
  <si>
    <t>Veronica.rotunda</t>
  </si>
  <si>
    <t>Veronica rotunda</t>
  </si>
  <si>
    <t>Veronica.peregrina</t>
  </si>
  <si>
    <t>Veronica peregrina</t>
  </si>
  <si>
    <t>Veronica.virginica</t>
  </si>
  <si>
    <t>Veronicastrum virginicum</t>
  </si>
  <si>
    <t>Veronica.beccabunga</t>
  </si>
  <si>
    <t>Veronica beccabunga</t>
  </si>
  <si>
    <t>Veronica.arvensis</t>
  </si>
  <si>
    <t>Veronica arvensis</t>
  </si>
  <si>
    <t>Veronica.serpyllifolia</t>
  </si>
  <si>
    <t>Veronica serpyllifolia</t>
  </si>
  <si>
    <t>Veronicastrum.sibiricum</t>
  </si>
  <si>
    <t>Veronicastrum sibiricum</t>
  </si>
  <si>
    <t>Veronicastrum.sibiricum.japonicum</t>
  </si>
  <si>
    <t>Veronicastrum japonicum</t>
  </si>
  <si>
    <t>Veronicastrum sibiricum f. glabratum</t>
  </si>
  <si>
    <t>Viburnum.suspensum</t>
  </si>
  <si>
    <t>Viburnum suspensum</t>
  </si>
  <si>
    <t>Viburnum.furcatum</t>
  </si>
  <si>
    <t>Viburnum furcatum</t>
  </si>
  <si>
    <t>Viburnum.prunifolium</t>
  </si>
  <si>
    <t>Viburnum prunifolium</t>
  </si>
  <si>
    <t>Viburnum.dilatatum</t>
  </si>
  <si>
    <t>Viburnum dilatatum</t>
  </si>
  <si>
    <t>Viburnum.phlebotricum</t>
  </si>
  <si>
    <t>Viburnum phlebotrichum</t>
  </si>
  <si>
    <t>Viburnum.erosum</t>
  </si>
  <si>
    <t>Viburnum erosum</t>
  </si>
  <si>
    <t>Viburnum.opulus.</t>
  </si>
  <si>
    <t>Viburnum opulus</t>
  </si>
  <si>
    <t>Viburnum.plicatum</t>
  </si>
  <si>
    <t>Viburnum plicatum</t>
  </si>
  <si>
    <t>Viburnum.pubescens</t>
  </si>
  <si>
    <t>Viburnum dentatum</t>
  </si>
  <si>
    <t>Vicea.lutea</t>
  </si>
  <si>
    <t>Vicia lutea</t>
  </si>
  <si>
    <t>Vicia.hirsuta</t>
  </si>
  <si>
    <t>Vicia hirsuta</t>
  </si>
  <si>
    <t>Vicia.sepium</t>
  </si>
  <si>
    <t>Vicia sepium</t>
  </si>
  <si>
    <t>Vicia.nigricans</t>
  </si>
  <si>
    <t>Vicia nigricans</t>
  </si>
  <si>
    <t>Vicia.cracca</t>
  </si>
  <si>
    <t>Vicia cracca</t>
  </si>
  <si>
    <t>Vicia.venosa</t>
  </si>
  <si>
    <t>Vicia venosa</t>
  </si>
  <si>
    <t>Vicia.unijuga</t>
  </si>
  <si>
    <t>Vicia unijuga</t>
  </si>
  <si>
    <t>Vicia.sativa</t>
  </si>
  <si>
    <t>Vicia sativa</t>
  </si>
  <si>
    <t>Vigna.luteola</t>
  </si>
  <si>
    <t>Vigna luteola</t>
  </si>
  <si>
    <t>Vigna.marina</t>
  </si>
  <si>
    <t>Vigna marina</t>
  </si>
  <si>
    <t>Viola.riviniana</t>
  </si>
  <si>
    <t>Viola riviniana</t>
  </si>
  <si>
    <t>Viola.pedatifida</t>
  </si>
  <si>
    <t>Viola pedatifida</t>
  </si>
  <si>
    <t>Viola.vaginata</t>
  </si>
  <si>
    <t>Viola vaginata</t>
  </si>
  <si>
    <t>Viola.philippii</t>
  </si>
  <si>
    <t>Viola philippii</t>
  </si>
  <si>
    <t>Viola microphylla</t>
  </si>
  <si>
    <t>Viola.papilionacea</t>
  </si>
  <si>
    <t>Viola sororia</t>
  </si>
  <si>
    <t>Viola affinis</t>
  </si>
  <si>
    <t>Viola.sagittata</t>
  </si>
  <si>
    <t>Viola sagittata</t>
  </si>
  <si>
    <t>Viola.grypoceras</t>
  </si>
  <si>
    <t>Viola grypoceras</t>
  </si>
  <si>
    <t>Viola.pseudo-japonica</t>
  </si>
  <si>
    <t>Viola philippica subsp. malesica</t>
  </si>
  <si>
    <t>Viola philippica var. pseudojaponica</t>
  </si>
  <si>
    <t>Viola.mandshurica</t>
  </si>
  <si>
    <t>Viola mandshurica</t>
  </si>
  <si>
    <t>Viola.hondoensis</t>
  </si>
  <si>
    <t>Viola hondoensis</t>
  </si>
  <si>
    <t>Viola.striata</t>
  </si>
  <si>
    <t>Viola striata</t>
  </si>
  <si>
    <t>Viola.cunninghamii</t>
  </si>
  <si>
    <t>Viola cunninghamii</t>
  </si>
  <si>
    <t>Viola.verecunda</t>
  </si>
  <si>
    <t>Viola hamiltoniana</t>
  </si>
  <si>
    <t>Viola.pubescens</t>
  </si>
  <si>
    <t>Viola pubescens</t>
  </si>
  <si>
    <t>Viola.montagnei</t>
  </si>
  <si>
    <t>Viola montagnei</t>
  </si>
  <si>
    <t>Viola.pedata</t>
  </si>
  <si>
    <t>Viola pedata</t>
  </si>
  <si>
    <t>Viola.kusanoana</t>
  </si>
  <si>
    <t>Viola kusanoana</t>
  </si>
  <si>
    <t>Viola.orientalis</t>
  </si>
  <si>
    <t>Viola orientalis</t>
  </si>
  <si>
    <t>Viola.cucullata</t>
  </si>
  <si>
    <t>Viola cucullata</t>
  </si>
  <si>
    <t>Viola.biflora</t>
  </si>
  <si>
    <t>Viola biflora</t>
  </si>
  <si>
    <t>Viola.atropurpurea</t>
  </si>
  <si>
    <t>Viola atropurpurea</t>
  </si>
  <si>
    <t>Vismia.lauriformis</t>
  </si>
  <si>
    <t>Vismia lauriformis</t>
  </si>
  <si>
    <t>Vitex.rotundifolia</t>
  </si>
  <si>
    <t>Vitex rotundifolia</t>
  </si>
  <si>
    <t>Vitex.cannabifolia</t>
  </si>
  <si>
    <t>Vitex negundo var. negundo</t>
  </si>
  <si>
    <t>Vitis.vulpina</t>
  </si>
  <si>
    <t>Vitis vulpina</t>
  </si>
  <si>
    <t>Vitis.cordifolia</t>
  </si>
  <si>
    <t>Vitis cordifolia</t>
  </si>
  <si>
    <t>Vriesea.psittacina</t>
  </si>
  <si>
    <t>Vriesea psittacina</t>
  </si>
  <si>
    <t>Vriesea.heterostachys</t>
  </si>
  <si>
    <t>Vriesea heterostachys</t>
  </si>
  <si>
    <t>Vriesea.platynema</t>
  </si>
  <si>
    <t>Vriesea platynema</t>
  </si>
  <si>
    <t>Vriesea.gracilior</t>
  </si>
  <si>
    <t>Vriesea gracilior</t>
  </si>
  <si>
    <t>Vriesea.altodaserrae</t>
  </si>
  <si>
    <t>Vriesea altodaserrae</t>
  </si>
  <si>
    <t>Vriesea.guttata</t>
  </si>
  <si>
    <t>Vriesea guttata</t>
  </si>
  <si>
    <t>Vriesea.simplex</t>
  </si>
  <si>
    <t>Vriesea simplex</t>
  </si>
  <si>
    <t>Vriesea.hoehneana</t>
  </si>
  <si>
    <t>Vriesea hoehneana</t>
  </si>
  <si>
    <t>VVedelia.biflora</t>
  </si>
  <si>
    <t>Wollastonia biflora</t>
  </si>
  <si>
    <t>Wahlenbergia.ceracea</t>
  </si>
  <si>
    <t>Wahlenbergia ceracea</t>
  </si>
  <si>
    <t>Wahlenbergia.albomarginata</t>
  </si>
  <si>
    <t>Wahlenbergia albomarginata</t>
  </si>
  <si>
    <t>Wallenia.laurifolia</t>
  </si>
  <si>
    <t>Wallenia laurifolia</t>
  </si>
  <si>
    <t>Waltheria.ovata</t>
  </si>
  <si>
    <t>Waltheria ovata</t>
  </si>
  <si>
    <t>Waltheria.indica</t>
  </si>
  <si>
    <t>Waltheria indica</t>
  </si>
  <si>
    <t>Warneckea.trinervis</t>
  </si>
  <si>
    <t>Warneckea trinervis</t>
  </si>
  <si>
    <t>Wedelia.calycina</t>
  </si>
  <si>
    <t>Wedelia calycina</t>
  </si>
  <si>
    <t>Wedelia.trilobata</t>
  </si>
  <si>
    <t>Wedelia trilobata</t>
  </si>
  <si>
    <t>Sphagneticola trilobata</t>
  </si>
  <si>
    <t>Weigela.decora</t>
  </si>
  <si>
    <t>Weigela decora</t>
  </si>
  <si>
    <t>Weigela.japonica</t>
  </si>
  <si>
    <t>Weigela japonica</t>
  </si>
  <si>
    <t>Weigela.hortensis</t>
  </si>
  <si>
    <t>Weigela hortensis</t>
  </si>
  <si>
    <t>Wendtandia.formosana</t>
  </si>
  <si>
    <t>Wendlandia formosana</t>
  </si>
  <si>
    <t>Werneria.pygmaea</t>
  </si>
  <si>
    <t>Rockhausenia pygmaea</t>
  </si>
  <si>
    <t>Werneria pygmaea</t>
  </si>
  <si>
    <t>Wigginsia.tephracantha</t>
  </si>
  <si>
    <t>Parodia erinacea</t>
  </si>
  <si>
    <t>Parodia erinaceus</t>
  </si>
  <si>
    <t>Wikstroemia.indica</t>
  </si>
  <si>
    <t>Wikstroemia indica</t>
  </si>
  <si>
    <t>Wisteria.floribunda</t>
  </si>
  <si>
    <t>Wisteria floribunda</t>
  </si>
  <si>
    <t>Wittrochia.cyathiformis</t>
  </si>
  <si>
    <t>Wittrockia cyathiformis</t>
  </si>
  <si>
    <t>Xylopia.lamarckii</t>
  </si>
  <si>
    <t>Xylopia lamarckii</t>
  </si>
  <si>
    <t>Xyris.laxifolia</t>
  </si>
  <si>
    <t>Xyris laxifolia</t>
  </si>
  <si>
    <t>Xyris.sp1.M.PL.069</t>
  </si>
  <si>
    <t>Xyris.setigera</t>
  </si>
  <si>
    <t>Xyris setigera</t>
  </si>
  <si>
    <t>Xyris.sp1.M.PL.071</t>
  </si>
  <si>
    <t>Xyris.savanensis</t>
  </si>
  <si>
    <t>Xyris savanensis</t>
  </si>
  <si>
    <t>Xysmalobium.gerrardii</t>
  </si>
  <si>
    <t>Xysmalobium gerrardii</t>
  </si>
  <si>
    <t>Xysmalobium.involucratum</t>
  </si>
  <si>
    <t>Xysmalobium involucratum</t>
  </si>
  <si>
    <t>Youngia.denticulata</t>
  </si>
  <si>
    <t>Youngia denticulata</t>
  </si>
  <si>
    <t>Crepidiastrum denticulatum</t>
  </si>
  <si>
    <t>Youngia.japonica</t>
  </si>
  <si>
    <t>Youngia japonica</t>
  </si>
  <si>
    <t>Zanthoxylum.americanum</t>
  </si>
  <si>
    <t>Zanthoxylum americanum</t>
  </si>
  <si>
    <t>Zea.mays</t>
  </si>
  <si>
    <t>Zea mays</t>
  </si>
  <si>
    <t>Zizia.aurea</t>
  </si>
  <si>
    <t>Fuente</t>
  </si>
  <si>
    <t>rGbif</t>
  </si>
  <si>
    <r>
      <t xml:space="preserve">taxonomic backbone de World Flora Online </t>
    </r>
    <r>
      <rPr>
        <b/>
        <sz val="11"/>
        <color theme="1"/>
        <rFont val="Calibri"/>
        <family val="2"/>
        <scheme val="minor"/>
      </rPr>
      <t>(WFO)</t>
    </r>
    <r>
      <rPr>
        <sz val="11"/>
        <color theme="1"/>
        <rFont val="Calibri"/>
        <family val="2"/>
        <scheme val="minor"/>
      </rPr>
      <t>. WFO se desarrolló a partir de The Plant List</t>
    </r>
  </si>
  <si>
    <r>
      <t xml:space="preserve">World Checklist of Vascular Plants </t>
    </r>
    <r>
      <rPr>
        <b/>
        <sz val="11"/>
        <color theme="1"/>
        <rFont val="Calibri"/>
        <family val="2"/>
        <scheme val="minor"/>
      </rPr>
      <t>(WCVP)</t>
    </r>
    <r>
      <rPr>
        <sz val="11"/>
        <color theme="1"/>
        <rFont val="Calibri"/>
        <family val="2"/>
        <scheme val="minor"/>
      </rPr>
      <t>, base mantenida por Royal Botanic Gardens, Kew.</t>
    </r>
  </si>
  <si>
    <t>Especie actual</t>
  </si>
  <si>
    <t>Abelia × grandiflora</t>
  </si>
  <si>
    <t>Vachellia macracantha </t>
  </si>
  <si>
    <t>Acanthostachys strobilacea</t>
  </si>
  <si>
    <t>Aesculus × carnea</t>
  </si>
  <si>
    <t>Antidesma japonicum </t>
  </si>
  <si>
    <t>Arabidopsis lyrata subsp. kamchatica </t>
  </si>
  <si>
    <t>Achyrocline saturejoides </t>
  </si>
  <si>
    <t>Detalle_comparacion_inicial</t>
  </si>
  <si>
    <t>Acacia insulae-iacobi</t>
  </si>
  <si>
    <t>Aconitum japonicum subsp. japonicum</t>
  </si>
  <si>
    <t>-</t>
  </si>
  <si>
    <t>Adesmia brachysemeon</t>
  </si>
  <si>
    <t>Adesmia hemisphaerica</t>
  </si>
  <si>
    <t>Agastache scrophulariifolia</t>
  </si>
  <si>
    <t> Lobularia maritima subsp. maritima</t>
  </si>
  <si>
    <t>Amphicarpaea bracteata </t>
  </si>
  <si>
    <t>Andromeda polifolia var. latifolia</t>
  </si>
  <si>
    <t>Persicaria filiformis </t>
  </si>
  <si>
    <t>Apollonias barbujana</t>
  </si>
  <si>
    <t>Arabidopsis kamchatica subsp. kamchatica</t>
  </si>
  <si>
    <t>Oxytropis lambertii var. lambertii</t>
  </si>
  <si>
    <t>Aralia elata</t>
  </si>
  <si>
    <t>Arctostaphylos uva-ursi</t>
  </si>
  <si>
    <t>Armeria maritima subsp. sibirica </t>
  </si>
  <si>
    <t>Arnica angustifolia subsp. alpina</t>
  </si>
  <si>
    <t>Asclepias curassavica</t>
  </si>
  <si>
    <t>https://www.nordic-baltic-genebanks.org/gringlobal/taxon/taxonomydetail?id=5654&amp;utm_source=chatgpt.com</t>
  </si>
  <si>
    <t>Symphyotrichum lanceolatum var. lanceolatum</t>
  </si>
  <si>
    <t>S. F. Blake (1930). THE NAMES ASTER ERICOIDES AND A. MULTIFLORUS. Rhodora, 32(379), 136–140. doi:10.2307/23300630 </t>
  </si>
  <si>
    <t>Symphyotrichum ericoides </t>
  </si>
  <si>
    <t>Symphyotrichum ericoides var. ericoides</t>
  </si>
  <si>
    <t>Symphyotrichum boreale</t>
  </si>
  <si>
    <t>Aster microcephalus var. ovatus </t>
  </si>
  <si>
    <t>Aster ovatus</t>
  </si>
  <si>
    <t>Aster ageratoides subsp. amplexifolius</t>
  </si>
  <si>
    <t>Symphyotrichum subulatum</t>
  </si>
  <si>
    <t>https://www.wildflower.org/plants/result.php?id_plant=sysu5</t>
  </si>
  <si>
    <t>Aster ciliosus</t>
  </si>
  <si>
    <t>Astragalus crassicarpus var. berlandieri </t>
  </si>
  <si>
    <t>Astragalus neomexicanus</t>
  </si>
  <si>
    <t>Azorina vidalii </t>
  </si>
  <si>
    <t>Baccharis dracunculifolia subsp. tandilensis</t>
  </si>
  <si>
    <t>Baccharis dracunculifolia </t>
  </si>
  <si>
    <t>Baccharis genistelloides subsp. crispa </t>
  </si>
  <si>
    <t>Bacopa monnieri</t>
  </si>
  <si>
    <t>Baeckea gunniana</t>
  </si>
  <si>
    <t>Baptisia lactea var. lactea</t>
  </si>
  <si>
    <t>Bejaria aestuans </t>
  </si>
  <si>
    <t>Cornus kousa </t>
  </si>
  <si>
    <t>Desmoscelis villosa</t>
  </si>
  <si>
    <t>Brachyscome stolonifera</t>
  </si>
  <si>
    <t>Brachyscome tenuiscapa var. tenuiscapa</t>
  </si>
  <si>
    <t>Brachyscome tenuiscapa</t>
  </si>
  <si>
    <t>Brassica rapa subsp. sylvestris </t>
  </si>
  <si>
    <t>Brassica rapa subsp. oleifera</t>
  </si>
  <si>
    <t>Buddleja davidii</t>
  </si>
  <si>
    <t>Arnoglossum reniforme</t>
  </si>
  <si>
    <t>Adenostyles alpina</t>
  </si>
  <si>
    <t>Arnoglossum plantagineum</t>
  </si>
  <si>
    <t>Parasenecio maximowicziana</t>
  </si>
  <si>
    <t>Parasenecio farfarifolius</t>
  </si>
  <si>
    <t>https://www.compositae.org/gcd/aphia.php?p=sourcedetails&amp;id=307832</t>
  </si>
  <si>
    <t>Montiopsis sericea</t>
  </si>
  <si>
    <t>Montiopsis umbellata </t>
  </si>
  <si>
    <t>https://www.researchgate.net/publication/273074579_Revised_Circumscriptions_and_Subgeneric_Taxonomies_of_Calandrinia_and_Montiopsis_Portulacaceae_with_Notes_on_Phylogeny_of_the_Portulacaceous_Alliance?utm_source=chatgpt.com</t>
  </si>
  <si>
    <t>Calceolaria arachnoidea</t>
  </si>
  <si>
    <t>Camassia quamash subsp. quamash</t>
  </si>
  <si>
    <t>Capparis spinosa var. ovata</t>
  </si>
  <si>
    <t>Cardamine lyrata</t>
  </si>
  <si>
    <t>Macropodium nivale </t>
  </si>
  <si>
    <t>Macropodium nivale</t>
  </si>
  <si>
    <t>carduus acanthoides</t>
  </si>
  <si>
    <t>Chamaecrista</t>
  </si>
  <si>
    <t>Ozothamnus vauvilliersii </t>
  </si>
  <si>
    <t>https://www.treesandshrubsonline.org/articles/ozothamnus/ozothamnus-vauvilliersii/</t>
  </si>
  <si>
    <t>https://www.itis.gov/servlet/SingleRpt/SingleRpt?print_version=SCR&amp;search_topic=TSN&amp;search_value=23669&amp;source=from_print&amp;utm_source=chatgpt.com#null</t>
  </si>
  <si>
    <t>https://www.inaturalist.org/taxa/790339-Cerastium-humifusum#taxonomy-tab</t>
  </si>
  <si>
    <t>Oriastrum chilense</t>
  </si>
  <si>
    <t>https://edoc.ub.uni-muenchen.de/11538/?utm_source=chatgpt.com</t>
  </si>
  <si>
    <t>Oriastrum lycopodioydes</t>
  </si>
  <si>
    <t>Nombre_aceptado_POWO</t>
  </si>
  <si>
    <t>Matricaria chamomilla </t>
  </si>
  <si>
    <t>Chiococca alba</t>
  </si>
  <si>
    <t xml:space="preserve">Leucanthemum </t>
  </si>
  <si>
    <t>Cirsium dissectum</t>
  </si>
  <si>
    <t>Referencia extra</t>
  </si>
  <si>
    <t>Nombre_aceptado_WP (www.worldplants.de)</t>
  </si>
  <si>
    <t>Nombre_aceptado_COL (www.catalogueoflife.org)</t>
  </si>
  <si>
    <t>N° de fuentes que coinciden</t>
  </si>
  <si>
    <t>Symphyotrichum subulatum </t>
  </si>
  <si>
    <t>Symphyotrichum racemosum</t>
  </si>
  <si>
    <t>Symphyotrichum ciliolatum</t>
  </si>
  <si>
    <t>Cleomella serrulata</t>
  </si>
  <si>
    <t xml:space="preserve">Varronia   </t>
  </si>
  <si>
    <t>Varronia oaxacana</t>
  </si>
  <si>
    <t>Anacis palmata</t>
  </si>
  <si>
    <t>Anacis tripteris</t>
  </si>
  <si>
    <t>Cuphea viscosissima </t>
  </si>
  <si>
    <t>Hylodesmum podocarpum</t>
  </si>
  <si>
    <t>Hylodesmum laxum</t>
  </si>
  <si>
    <t>Jacaranda laurifolia</t>
  </si>
  <si>
    <t>Doratoxylon apetalum var. Diphyllum</t>
  </si>
  <si>
    <t>Lotus dorycnium </t>
  </si>
  <si>
    <t>Lothus sessilifolius var. penthaphyllus</t>
  </si>
  <si>
    <t>Lotus dorycnium subsp. dorycnium</t>
  </si>
  <si>
    <t>Echium creticum subsp. granatense</t>
  </si>
  <si>
    <t>Chamaenerion angustifolium subsp. angustifolium</t>
  </si>
  <si>
    <t>Epilobium latifolium </t>
  </si>
  <si>
    <t>DATOS ORIGINALES</t>
  </si>
  <si>
    <t>DATOS NUEVOS</t>
  </si>
  <si>
    <t>Erigeron strigosus</t>
  </si>
  <si>
    <t>Erigeron divaricatus</t>
  </si>
  <si>
    <t>Melicope obtusifolia subsp. gigas</t>
  </si>
  <si>
    <t>Melicope obtusifolia subsp. obtusifolia</t>
  </si>
  <si>
    <t>Melicope obtusifolia </t>
  </si>
  <si>
    <t xml:space="preserve">Eupatorium chinense </t>
  </si>
  <si>
    <t>Eutrochium purpureum</t>
  </si>
  <si>
    <t>Ageratina altissima </t>
  </si>
  <si>
    <t>Ageratina altissima</t>
  </si>
  <si>
    <t>Euphorbia terracina</t>
  </si>
  <si>
    <t>Fagonia scabra </t>
  </si>
  <si>
    <t>Fragaria virginiana subsp. grayana </t>
  </si>
  <si>
    <t>Gaertnera psychotrioides subsp. edentata</t>
  </si>
  <si>
    <t xml:space="preserve">Gaertnera psychotrioides </t>
  </si>
  <si>
    <t>Hydrogalium elongatum</t>
  </si>
  <si>
    <t>Trichogalium boreale</t>
  </si>
  <si>
    <t>Hydrogalium perpusillum</t>
  </si>
  <si>
    <t>Galvezia leucantha subsp. pubescens</t>
  </si>
  <si>
    <t>Galvezia leucantha subsp. Leucantha</t>
  </si>
  <si>
    <t>Gamochaeta stachidifolia </t>
  </si>
  <si>
    <t>Gamochaeta stachydifolia </t>
  </si>
  <si>
    <t>Gentiana pubigera subsp. pubigera</t>
  </si>
  <si>
    <t>Gentianella montana subsp. Montana</t>
  </si>
  <si>
    <t>Pelargonium candicans</t>
  </si>
  <si>
    <t>Geranium lamberti subsp. lamberti</t>
  </si>
  <si>
    <t>Ipomopsis aggregata subsp. aggregata</t>
  </si>
  <si>
    <t>Pseudognaphalium obtusifolium</t>
  </si>
  <si>
    <t> Helichrysum nodiflorum</t>
  </si>
  <si>
    <t>Pseudognaphalium cheiranthifolium</t>
  </si>
  <si>
    <t>Guarea glabra subsp. glabra</t>
  </si>
  <si>
    <t>Guarea glabra </t>
  </si>
  <si>
    <t>Habranthus tubispatha</t>
  </si>
  <si>
    <t>Habranthus gracilifolia</t>
  </si>
  <si>
    <t>Cistus halimifolius subsp. halimifolius</t>
  </si>
  <si>
    <t>Tuberaria guttata subsp. guttata</t>
  </si>
  <si>
    <t>Tuberaria guttata </t>
  </si>
  <si>
    <t>Helianthus × laetiflorus</t>
  </si>
  <si>
    <t>Ozothamnus alpinus</t>
  </si>
  <si>
    <t>Helichrysum serotinum subsp. picardii </t>
  </si>
  <si>
    <t>Helichrysum italicum subsp. picardii </t>
  </si>
  <si>
    <t xml:space="preserve">Leucochrysum albicans </t>
  </si>
  <si>
    <t>Aster hispidus </t>
  </si>
  <si>
    <t>Heuchera americana var. hispida</t>
  </si>
  <si>
    <t>Pilosella piloselloides subsp. praealta</t>
  </si>
  <si>
    <t>Holodiscus australis </t>
  </si>
  <si>
    <t>Hypochaeris lutea </t>
  </si>
  <si>
    <t>Pentanema salicinum</t>
  </si>
  <si>
    <t>Ipomoea violacea </t>
  </si>
  <si>
    <t xml:space="preserve">Ixeridium dentatum </t>
  </si>
  <si>
    <t>REVISIÓN CON CÓDIGO rWCVP</t>
  </si>
  <si>
    <t>Glandularia dissecta</t>
  </si>
  <si>
    <t>Gentiana pubigera </t>
  </si>
  <si>
    <t>Gentiana saponaria</t>
  </si>
  <si>
    <t>https://gd.eppo.int/taxon/IUIPC</t>
  </si>
  <si>
    <t>Rostellulararia procumbens</t>
  </si>
  <si>
    <t>Justicia procumbens</t>
  </si>
  <si>
    <t>Aster pinnatifidus</t>
  </si>
  <si>
    <t>https://plants.ces.ncsu.edu/plants/aster-iinumae/</t>
  </si>
  <si>
    <t>https://gd.eppo.int/taxon/KASYO</t>
  </si>
  <si>
    <t>Kandelia candel</t>
  </si>
  <si>
    <t>https://gd.eppo.int/taxon/KDECA</t>
  </si>
  <si>
    <t>https://gd.eppo.int/search?k=Lantana+involucrata</t>
  </si>
  <si>
    <t>https://gd.eppo.int/search?k=Lathyrus+cicera</t>
  </si>
  <si>
    <t>https://gd.eppo.int/taxon/LTHMO</t>
  </si>
  <si>
    <t>Lathyrus decaphyllus</t>
  </si>
  <si>
    <t>https://apg.pir.sa.gov.au/gringlobal/taxon/taxonomydetail?id=21558</t>
  </si>
  <si>
    <t xml:space="preserve">Lathyrus decaphyllus </t>
  </si>
  <si>
    <t>https://gd.eppo.int/taxon/LERJA</t>
  </si>
  <si>
    <t>Nombre_aceptado_WCVP</t>
  </si>
  <si>
    <t>Nombre_aceptado_WCVP (www.worldfloraonline.org)</t>
  </si>
  <si>
    <t>Nombre_aceptado_POWO (www.powo.science.kew.org)</t>
  </si>
  <si>
    <t>Leontodon saxatilis subsp. saxatilis</t>
  </si>
  <si>
    <t>https://gd.eppo.int/taxon/LEBNT</t>
  </si>
  <si>
    <t>https://gd.eppo.int/taxon/LEBHI</t>
  </si>
  <si>
    <t> Scorzoneroides autumnalis subsp. autumnalis</t>
  </si>
  <si>
    <t>https://gd.eppo.int/taxon/LEBAU</t>
  </si>
  <si>
    <t>Katinas, L., Apodaca, M. J., &amp; Crisci, J. V. (2022). A synopsis of Leucheria (Asteraceae, Nassauvieae), with notes on the morphology.</t>
  </si>
  <si>
    <t>https://gd.eppo.int/taxon/LILSB</t>
  </si>
  <si>
    <t>https://gd.eppo.int/taxon/LIOSE</t>
  </si>
  <si>
    <t>https://gd.eppo.int/search?k=Linaria+vulgaris</t>
  </si>
  <si>
    <t>https://gd.eppo.int/taxon/LITCA</t>
  </si>
  <si>
    <t>https://gd.eppo.int/taxon/LOBSQ</t>
  </si>
  <si>
    <t>https://indiana.plantatlas.usf.edu/Plant.aspx?id=629&amp;utm_source=chatgpt.com</t>
  </si>
  <si>
    <t xml:space="preserve">Lobelia × speciosa </t>
  </si>
  <si>
    <t>https://gd.eppo.int/taxon/LONAL</t>
  </si>
  <si>
    <t>https://gd.eppo.int/taxon/LONPE</t>
  </si>
  <si>
    <t>https://gd.eppo.int/taxon/QDOGL</t>
  </si>
  <si>
    <t>Lotus pedunculatus subsp. pedunculatus</t>
  </si>
  <si>
    <t>Lotus pedunculatus</t>
  </si>
  <si>
    <t>https://gd.eppo.int/taxon/LOTUL</t>
  </si>
  <si>
    <t>Ludwigia alternifolia</t>
  </si>
  <si>
    <t>https://www.frontiersin.org/journals/plant-science/articles/10.3389/fpls.2017.00138/full</t>
  </si>
  <si>
    <t>Solanum galapagense</t>
  </si>
  <si>
    <t>https://www.sciencedirect.com/topics/agricultural-and-biological-sciences/lycopersicon</t>
  </si>
  <si>
    <t>https://gd.eppo.int/taxon/LYSMA</t>
  </si>
  <si>
    <t>https://gd.eppo.int/taxon/LYSVU</t>
  </si>
  <si>
    <t>https://gd.eppo.int/taxon/LYTAL</t>
  </si>
  <si>
    <t>https://gd.eppo.int/taxon/PEBTH</t>
  </si>
  <si>
    <t>https://datazone.darwinfoundation.org/es/checklist/?species=24846</t>
  </si>
  <si>
    <t>https://gd.eppo.int/taxon/MBETE</t>
  </si>
  <si>
    <t>Maesa perlaria var. formosana </t>
  </si>
  <si>
    <t>https://gd.eppo.int/taxon/MAHJA</t>
  </si>
  <si>
    <t>https://gd.eppo.int/taxon/MEUAL</t>
  </si>
  <si>
    <t>https://gd.eppo.int/taxon/MNZAS</t>
  </si>
  <si>
    <t>https://gd.eppo.int/taxon/MRRUM</t>
  </si>
  <si>
    <t>https://plantaedb.com/taxa/phylum/angiosperms/order/cucurbitales/family/cucurbitaceae/genus/zehneria/species/zehneria-liukiuensis?utm_source=chatgpt.com</t>
  </si>
  <si>
    <t>https://gd.eppo.int/taxon/MOLVE</t>
  </si>
  <si>
    <t>https://gd.eppo.int/taxon/MRCAR</t>
  </si>
  <si>
    <t>https://gd.eppo.int/taxon/MOJRO</t>
  </si>
  <si>
    <t>https://gd.eppo.int/taxon/MOMCH</t>
  </si>
  <si>
    <t>https://gd.eppo.int/taxon/MUEAX</t>
  </si>
  <si>
    <t>Mussaenda parviflora</t>
  </si>
  <si>
    <t>https://gd.eppo.int/taxon/MDAPA</t>
  </si>
  <si>
    <t>https://gd.eppo.int/taxon/MYOPA</t>
  </si>
  <si>
    <t>https://gd.eppo.int/taxon/MYSMI</t>
  </si>
  <si>
    <t>https://gd.eppo.int/taxon/MYVCO</t>
  </si>
  <si>
    <t>Nassauvia looseri</t>
  </si>
  <si>
    <t>https://gd.eppo.int/taxon/NCTCO</t>
  </si>
  <si>
    <t>https://gd.eppo.int/taxon/NIGAR</t>
  </si>
  <si>
    <t>Nuphar advena subsp. advena</t>
  </si>
  <si>
    <t>Nymphaea x marliacea</t>
  </si>
  <si>
    <t>https://gd.eppo.int/taxon/ONOOR</t>
  </si>
  <si>
    <t>Opuntia galapageia var. gigantea</t>
  </si>
  <si>
    <t>Opuntia galapageia var. helleri</t>
  </si>
  <si>
    <t>https://gd.eppo.int/taxon/OPUHE</t>
  </si>
  <si>
    <t>Opuntia galapageia var. myriacantha</t>
  </si>
  <si>
    <t>https://gd.eppo.int/taxon/OPUEC</t>
  </si>
  <si>
    <t>https://gd.eppo.int/taxon/ORSMO</t>
  </si>
  <si>
    <t>https://gd.eppo.int/taxon/OMRLO</t>
  </si>
  <si>
    <t>https://gd.eppo.int/taxon/OQTSI</t>
  </si>
  <si>
    <t>https://gd.eppo.int/taxon/OXABA</t>
  </si>
  <si>
    <t>Oenothera cespitosa subsp. cespitosa</t>
  </si>
  <si>
    <t>https://gd.eppo.int/taxon/OXAFR</t>
  </si>
  <si>
    <t>Pandanus odorifer</t>
  </si>
  <si>
    <t>https://gd.eppo.int/taxon/PADOD</t>
  </si>
  <si>
    <t>https://gd.eppo.int/taxon/PANVI</t>
  </si>
  <si>
    <t>Oreomecon radicata subsp. radicata</t>
  </si>
  <si>
    <t>https://gd.eppo.int/taxon/PAQLU</t>
  </si>
  <si>
    <t>https://gd.eppo.int/taxon/PBISC</t>
  </si>
  <si>
    <t>Pedicularis langsdorffii subsp. arctica</t>
  </si>
  <si>
    <t>https://gd.eppo.int/taxon/PEAFL</t>
  </si>
  <si>
    <t>https://gd.eppo.int/taxon/PEEGR</t>
  </si>
  <si>
    <t>https://gd.eppo.int/taxon/PEEGL</t>
  </si>
  <si>
    <t>https://gd.eppo.int/taxon/PEBAM</t>
  </si>
  <si>
    <t>Persicaria muricata </t>
  </si>
  <si>
    <t>https://gd.eppo.int/taxon/PRATH</t>
  </si>
  <si>
    <t>Persicaria odorata subsp. conspicua </t>
  </si>
  <si>
    <t>https://gd.eppo.int/taxon/POLSA</t>
  </si>
  <si>
    <t>https://gd.eppo.int/search?k=Persicaria+pubescens</t>
  </si>
  <si>
    <t>Persicaria posumbu subsp. posumbu</t>
  </si>
  <si>
    <t>https://gd.eppo.int/taxon/POLYA</t>
  </si>
  <si>
    <t>https://gd.eppo.int/taxon/PGAGR</t>
  </si>
  <si>
    <t>Philadelphus inodorus</t>
  </si>
  <si>
    <t>https://gd.eppo.int/taxon/PLMFR</t>
  </si>
  <si>
    <t>https://gd.eppo.int/taxon/PHYPU</t>
  </si>
  <si>
    <t>https://gd.eppo.int/taxon/PHTAM</t>
  </si>
  <si>
    <t>Picris japonica subsp. japonica</t>
  </si>
  <si>
    <t>https://gd.eppo.int/taxon/PIPKA</t>
  </si>
  <si>
    <t>Senega sanguinea</t>
  </si>
  <si>
    <t>Senega stenophylla </t>
  </si>
  <si>
    <t>https://gd.eppo.int/taxon/POLPE</t>
  </si>
  <si>
    <t>https://gd.eppo.int/taxon/POLHP</t>
  </si>
  <si>
    <t>https://gd.eppo.int/taxon/POLLA</t>
  </si>
  <si>
    <t>https://gd.eppo.int/taxon/POLPY</t>
  </si>
  <si>
    <t>https://gd.eppo.int/taxon/POLHY</t>
  </si>
  <si>
    <t>Bistorta officinalis subsp. Officinalis</t>
  </si>
  <si>
    <t>Bistorta officinalis subsp. officinalis</t>
  </si>
  <si>
    <t>https://gd.eppo.int/taxon/POLBI</t>
  </si>
  <si>
    <t>https://gd.eppo.int/taxon/POLCU</t>
  </si>
  <si>
    <t>https://gd.eppo.int/taxon/POLVP</t>
  </si>
  <si>
    <t>https://gd.eppo.int/taxon/POLPT</t>
  </si>
  <si>
    <t>https://gd.eppo.int/taxon/POFCO</t>
  </si>
  <si>
    <t>https://gd.eppo.int/taxon/PTLER</t>
  </si>
  <si>
    <t>https://gd.eppo.int/taxon/PTLAR</t>
  </si>
  <si>
    <t>https://gd.eppo.int/taxon/PTLAN</t>
  </si>
  <si>
    <t>Nabalus asper</t>
  </si>
  <si>
    <t>https://gd.eppo.int/taxon/PRCJU</t>
  </si>
  <si>
    <t>https://gd.eppo.int/taxon/PRNSO</t>
  </si>
  <si>
    <t>https://gd.eppo.int/taxon/PRNGN</t>
  </si>
  <si>
    <t>https://gd.eppo.int/taxon/PSYSE</t>
  </si>
  <si>
    <t>Pyrola asarifolia subsp. incarnata</t>
  </si>
  <si>
    <t>https://gd.eppo.int/taxon/PYWIN</t>
  </si>
  <si>
    <t>https://gd.eppo.int/taxon/MABCO</t>
  </si>
  <si>
    <t>https://gd.eppo.int/taxon/QUEDN</t>
  </si>
  <si>
    <t>https://gd.eppo.int/taxon/RANSQ</t>
  </si>
  <si>
    <t>https://gd.eppo.int/taxon/RANCV</t>
  </si>
  <si>
    <t>https://gd.eppo.int/taxon/RANFS</t>
  </si>
  <si>
    <t>https://gd.eppo.int/taxon/RANRC</t>
  </si>
  <si>
    <t>Endotropis lanceolata subsp. lanceolata</t>
  </si>
  <si>
    <t>https://gd.eppo.int/taxon/RHOKI</t>
  </si>
  <si>
    <t>https://gd.eppo.int/taxon/TOXSY</t>
  </si>
  <si>
    <t>Rhus aromatica</t>
  </si>
  <si>
    <t>Rhus aromatica var. aromatica</t>
  </si>
  <si>
    <t>https://gd.eppo.int/taxon/TOXQU</t>
  </si>
  <si>
    <t>https://gd.eppo.int/taxon/RIBMX</t>
  </si>
  <si>
    <t>Ribes maximowiczii</t>
  </si>
  <si>
    <t>Ribes niveum</t>
  </si>
  <si>
    <t>https://gd.eppo.int/taxon/RDPBI</t>
  </si>
  <si>
    <t>https://gd.eppo.int/taxon/ROSRB</t>
  </si>
  <si>
    <t>https://gd.eppo.int/taxon/ROSMU</t>
  </si>
  <si>
    <t>Rosa borboniana</t>
  </si>
  <si>
    <t>Rosa x burboniana</t>
  </si>
  <si>
    <t>Rosa carolina subsp. carolina</t>
  </si>
  <si>
    <t>https://gd.eppo.int/taxon/RUBOC</t>
  </si>
  <si>
    <t>https://gd.eppo.int/taxon/RUBPM</t>
  </si>
  <si>
    <t>https://gd.eppo.int/taxon/RUBAC</t>
  </si>
  <si>
    <t>https://gd.eppo.int/taxon/RUBPF</t>
  </si>
  <si>
    <t>Rubus villosus</t>
  </si>
  <si>
    <t>Rubus serratus</t>
  </si>
  <si>
    <t>Rubus radula</t>
  </si>
  <si>
    <t>Rubus flagellaris</t>
  </si>
  <si>
    <t>https://gd.eppo.int/taxon/RUBVL</t>
  </si>
  <si>
    <t>https://gd.eppo.int/taxon/RUBCD</t>
  </si>
  <si>
    <t>Hymenoxys grandiflora </t>
  </si>
  <si>
    <t>https://gd.eppo.int/taxon/SAGGU</t>
  </si>
  <si>
    <t>Sagittaria guayanensis</t>
  </si>
  <si>
    <t>https://gd.eppo.int/taxon/SAXHM</t>
  </si>
  <si>
    <t>https://gd.eppo.int/taxon/SAXAU</t>
  </si>
  <si>
    <t>https://gd.eppo.int/taxon/SAXCO</t>
  </si>
  <si>
    <t>Salix interior</t>
  </si>
  <si>
    <t>https://gd.eppo.int/taxon/SAXLN</t>
  </si>
  <si>
    <t>Sambucus peruviana</t>
  </si>
  <si>
    <t>https://gd.eppo.int/taxon/SAMCN</t>
  </si>
  <si>
    <t>Saxifraga caespitosa</t>
  </si>
  <si>
    <t>https://gd.eppo.int/taxon/SXFCE</t>
  </si>
  <si>
    <t>Saxifraga cespitosa</t>
  </si>
  <si>
    <t>https://gd.eppo.int/taxon/SXFNI</t>
  </si>
  <si>
    <t>https://gd.eppo.int/taxon/SCBST</t>
  </si>
  <si>
    <t>Sixalix atropurpurea subsp. atropurpurea</t>
  </si>
  <si>
    <t>https://gd.eppo.int/taxon/SCBAT</t>
  </si>
  <si>
    <t>https://gd.eppo.int/taxon/SWLPL</t>
  </si>
  <si>
    <t>https://gd.eppo.int/taxon/SLLAU</t>
  </si>
  <si>
    <t>Schoenoplectus triqueter</t>
  </si>
  <si>
    <t>https://gd.eppo.int/taxon/SCPTR</t>
  </si>
  <si>
    <t>https://gd.eppo.int/taxon/SCVHU</t>
  </si>
  <si>
    <t>Gelasia lanata</t>
  </si>
  <si>
    <t>https://gd.eppo.int/taxon/SCDIN</t>
  </si>
  <si>
    <t>Scutellaria incana</t>
  </si>
  <si>
    <t>https://gd.eppo.int/taxon/SBQAN</t>
  </si>
  <si>
    <t>https://gd.eppo.int/taxon/SEDSE</t>
  </si>
  <si>
    <t>https://gd.eppo.int/taxon/SEDAI</t>
  </si>
  <si>
    <t>https://gd.eppo.int/taxon/SENMD</t>
  </si>
  <si>
    <t>https://gd.eppo.int/taxon/SENPI</t>
  </si>
  <si>
    <t>Scapisenecio pectinatus</t>
  </si>
  <si>
    <t>Packera aurea</t>
  </si>
  <si>
    <t>https://gd.eppo.int/taxon/SENAU</t>
  </si>
  <si>
    <t>https://gd.eppo.int/taxon/SENJA</t>
  </si>
  <si>
    <t>Jacobaea vulgaris subsp. vulgaris</t>
  </si>
  <si>
    <t>https://gd.eppo.int/taxon/SENNI</t>
  </si>
  <si>
    <t>Serissa foetida</t>
  </si>
  <si>
    <t>https://gd.eppo.int/taxon/SRRCI</t>
  </si>
  <si>
    <t>https://gd.eppo.int/taxon/PESPO</t>
  </si>
  <si>
    <t>https://gd.eppo.int/taxon/SIYAN</t>
  </si>
  <si>
    <t>https://gd.eppo.int/taxon/SIDSP</t>
  </si>
  <si>
    <t>https://gd.eppo.int/taxon/SIDPA</t>
  </si>
  <si>
    <t>https://gd.eppo.int/taxon/SILCO</t>
  </si>
  <si>
    <t>https://gd.eppo.int/taxon/SILST</t>
  </si>
  <si>
    <t>https://gd.eppo.int/taxon/SIPLA</t>
  </si>
  <si>
    <t>Descurainia incisa subsp. incisa</t>
  </si>
  <si>
    <t>https://gd.eppo.int/taxon/SISAN</t>
  </si>
  <si>
    <t>https://gd.eppo.int/taxon/SMIHE</t>
  </si>
  <si>
    <t>https://gd.eppo.int/taxon/SOLME</t>
  </si>
  <si>
    <t>https://gd.eppo.int/taxon/SOLRS</t>
  </si>
  <si>
    <t>https://gd.eppo.int/taxon/SOLTO</t>
  </si>
  <si>
    <t>https://gd.eppo.int/taxon/SOOVI</t>
  </si>
  <si>
    <t>https://gd.eppo.int/taxon/SOOVA</t>
  </si>
  <si>
    <t>Solidago gigantea</t>
  </si>
  <si>
    <t>https://gd.eppo.int/taxon/SOOGI</t>
  </si>
  <si>
    <t>https://gd.eppo.int/taxon/SOOSE</t>
  </si>
  <si>
    <t>https://gd.eppo.int/taxon/SONTE</t>
  </si>
  <si>
    <t>Borreria remota</t>
  </si>
  <si>
    <t>Spiraea nipponica var. tosaensis</t>
  </si>
  <si>
    <t>https://fsus.ncbg.unc.edu/main.php?pg=show-taxon-detail.php&amp;taxonid=3256</t>
  </si>
  <si>
    <t>https://gd.eppo.int/taxon/STCDI</t>
  </si>
  <si>
    <t>https://gd.eppo.int/taxon/SUNHE</t>
  </si>
  <si>
    <t>https://gd.eppo.int/taxon/STEME</t>
  </si>
  <si>
    <t>https://gd.eppo.int/taxon/STEPA</t>
  </si>
  <si>
    <t>https://gd.eppo.int/taxon/STEGR</t>
  </si>
  <si>
    <t>Stevia satureiifolia</t>
  </si>
  <si>
    <t>Stevia satureifolium</t>
  </si>
  <si>
    <t>https://gd.eppo.int/taxon/SRTHE</t>
  </si>
  <si>
    <t>https://gd.eppo.int/taxon/CRWSR</t>
  </si>
  <si>
    <t>https://gd.eppo.int/taxon/ASTLN</t>
  </si>
  <si>
    <t>https://gd.eppo.int/taxon/SYPOR</t>
  </si>
  <si>
    <t>https://gd.eppo.int/taxon/SYZVE</t>
  </si>
  <si>
    <t>Taraxacum platycarpum subsp. hondoense</t>
  </si>
  <si>
    <t>https://gd.eppo.int/taxon/TAROF</t>
  </si>
  <si>
    <t>Taraxacum arctogenum </t>
  </si>
  <si>
    <t>Taraxacum lacerum</t>
  </si>
  <si>
    <t>https://plantaedb.com/taxa/phylum/angiosperms/order/asterales/family/asteraceae/subfamily/cichorioideae/tribe/cichorieae/subtribe/crepidinae/genus/taraxacum/species/taraxacum-arctogenum?utm_source=chatgpt.com</t>
  </si>
  <si>
    <t>Tetraglochin alata var. alata</t>
  </si>
  <si>
    <t>https://herbariodigital.cl/catalog/details/20474/</t>
  </si>
  <si>
    <t>https://gd.eppo.int/taxon/AXLTH</t>
  </si>
  <si>
    <t>Thaspium trifoliatum var. aureum</t>
  </si>
  <si>
    <t>Thaspium trifoliatum var. trifoliatum</t>
  </si>
  <si>
    <t>https://gd.eppo.int/taxon/THBTA</t>
  </si>
  <si>
    <t>https://gd.eppo.int/taxon/THYCA</t>
  </si>
  <si>
    <t>https://gd.eppo.int/taxon/TLDGE</t>
  </si>
  <si>
    <t>Tillandsia geminiflora</t>
  </si>
  <si>
    <t>Tradescantia subaspera var. subaspera</t>
  </si>
  <si>
    <t>Tradescantia subaspera </t>
  </si>
  <si>
    <t>https://gd.eppo.int/taxon/TROPS</t>
  </si>
  <si>
    <t>https://gd.eppo.int/taxon/LKAPA</t>
  </si>
  <si>
    <t>https://gd.eppo.int/taxon/TNTEU</t>
  </si>
  <si>
    <t>https://gd.eppo.int/taxon/TRFCA</t>
  </si>
  <si>
    <t>https://gd.eppo.int/taxon/TRFRF</t>
  </si>
  <si>
    <t>https://gd.eppo.int/taxon/TRIBR</t>
  </si>
  <si>
    <t>https://gd.eppo.int/taxon/TLICA</t>
  </si>
  <si>
    <t>https://gd.eppo.int/taxon/TSMMA</t>
  </si>
  <si>
    <t>http://www.darwin.edu.ar/Proyectos/FloraArgentina/DetalleEspecie.asp?forma=&amp;variedad=&amp;subespecie=&amp;especie=stricta&amp;genero=Criscia&amp;espcod=16450</t>
  </si>
  <si>
    <t>Byttneria scabra</t>
  </si>
  <si>
    <t>https://gd.eppo.int/taxon/URGMA</t>
  </si>
  <si>
    <t>Squilla maritima </t>
  </si>
  <si>
    <t>https://gd.eppo.int/taxon/URPPI</t>
  </si>
  <si>
    <t>https://gd.eppo.int/taxon/VACML</t>
  </si>
  <si>
    <t>https://gd.eppo.int/taxon/VLLRA</t>
  </si>
  <si>
    <t>https://gd.eppo.int/taxon/VEAOX</t>
  </si>
  <si>
    <t>https://gd.eppo.int/taxon/VESTH</t>
  </si>
  <si>
    <t>https://gd.eppo.int/taxon/VESUN</t>
  </si>
  <si>
    <t>Verbena simplex</t>
  </si>
  <si>
    <t>Mulguraea scoparia</t>
  </si>
  <si>
    <t>https://gd.eppo.int/taxon/VEBIN</t>
  </si>
  <si>
    <t>https://gd.eppo.int/taxon/VEEAT</t>
  </si>
  <si>
    <t>https://gd.eppo.int/taxon/VEEHE</t>
  </si>
  <si>
    <t>https://gd.eppo.int/taxon/VENFS</t>
  </si>
  <si>
    <t>https://gd.eppo.int/taxon/VIBPH</t>
  </si>
  <si>
    <t>https://gd.eppo.int/taxon/VICLU</t>
  </si>
  <si>
    <t>Viola microphylla </t>
  </si>
  <si>
    <t>Viola sororia </t>
  </si>
  <si>
    <t>https://gd.eppo.int/taxon/VIOPP</t>
  </si>
  <si>
    <t>Viola philippica subsp. philippica</t>
  </si>
  <si>
    <t>https://gd.eppo.int/taxon/VITVU</t>
  </si>
  <si>
    <t>https://gd.eppo.int/taxon/WEDBI</t>
  </si>
  <si>
    <t>https://gd.eppo.int/taxon/WEDTR</t>
  </si>
  <si>
    <t>https://gd.eppo.int/taxon/WEGHO</t>
  </si>
  <si>
    <t>Werneria pygmaea </t>
  </si>
  <si>
    <t>https://gd.eppo.int/taxon/QNTCY</t>
  </si>
  <si>
    <t>Crepidiastrum denticulatum subsp. denticulatum</t>
  </si>
  <si>
    <t>RESULTADOS COMBINADOS ÚLTIMA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</si>
</sst>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0" fillId="2" borderId="1" xfId="0" applyFill="1" applyBorder="1" applyAlignment="1">
      <alignment wrapText="1"/>
    </xf>
    <xf numFmtId="0" fontId="6" fillId="4" borderId="0" xfId="0" applyFont="1" applyFill="1"/>
    <xf numFmtId="0" fontId="0" fillId="4" borderId="0" xfId="0" applyFill="1"/>
    <xf numFmtId="0" fontId="0" fillId="0" borderId="4" xfId="0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/>
    </xf>
    <xf numFmtId="0" fontId="7" fillId="2" borderId="1" xfId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center"/>
    </xf>
    <xf numFmtId="0" fontId="0" fillId="0" borderId="8" xfId="0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left"/>
    </xf>
    <xf numFmtId="0" fontId="1" fillId="5" borderId="4" xfId="0" applyFont="1" applyFill="1" applyBorder="1" applyAlignment="1">
      <alignment horizontal="left"/>
    </xf>
    <xf numFmtId="0" fontId="1" fillId="5" borderId="0" xfId="0" applyFont="1" applyFill="1" applyAlignment="1">
      <alignment horizontal="left" wrapText="1"/>
    </xf>
    <xf numFmtId="0" fontId="1" fillId="5" borderId="0" xfId="0" applyFont="1" applyFill="1" applyAlignment="1">
      <alignment horizontal="center" wrapText="1"/>
    </xf>
    <xf numFmtId="0" fontId="2" fillId="5" borderId="8" xfId="0" applyFont="1" applyFill="1" applyBorder="1" applyAlignment="1">
      <alignment horizontal="left"/>
    </xf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1">
    <dxf>
      <font>
        <b val="0"/>
        <i/>
        <color rgb="FFC00000"/>
      </font>
      <fill>
        <patternFill>
          <bgColor theme="5" tint="0.59996337778862885"/>
        </patternFill>
      </fill>
    </dxf>
  </dxfs>
  <tableStyles count="1" defaultTableStyle="TableStyleMedium9" defaultPivotStyle="PivotStyleLight16">
    <tableStyle name="Invisible" pivot="0" table="0" count="0" xr9:uid="{54038561-C205-4D78-892F-00EA708A95B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d.eppo.int/taxon/NCTCO" TargetMode="External"/><Relationship Id="rId2" Type="http://schemas.openxmlformats.org/officeDocument/2006/relationships/hyperlink" Target="https://gd.eppo.int/taxon/PTLAN" TargetMode="External"/><Relationship Id="rId1" Type="http://schemas.openxmlformats.org/officeDocument/2006/relationships/hyperlink" Target="https://gd.eppo.int/taxon/PADO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14"/>
  <sheetViews>
    <sheetView workbookViewId="0">
      <selection activeCell="E15" sqref="E15"/>
    </sheetView>
  </sheetViews>
  <sheetFormatPr baseColWidth="10" defaultColWidth="9.109375" defaultRowHeight="14.4" x14ac:dyDescent="0.3"/>
  <cols>
    <col min="1" max="1" width="27.109375" customWidth="1"/>
    <col min="2" max="2" width="38.109375" customWidth="1"/>
    <col min="3" max="3" width="27.5546875" customWidth="1"/>
    <col min="4" max="4" width="26.44140625" customWidth="1"/>
    <col min="5" max="5" width="30.88671875" customWidth="1"/>
    <col min="6" max="6" width="47" customWidth="1"/>
    <col min="7" max="7" width="21.109375" customWidth="1"/>
    <col min="8" max="8" width="38.109375" style="4" customWidth="1"/>
    <col min="9" max="9" width="27.5546875" style="4" customWidth="1"/>
    <col min="10" max="12" width="26.44140625" style="4" customWidth="1"/>
    <col min="13" max="13" width="12.88671875" style="18" customWidth="1"/>
    <col min="14" max="14" width="42" style="19" bestFit="1" customWidth="1"/>
  </cols>
  <sheetData>
    <row r="1" spans="1:14" x14ac:dyDescent="0.3">
      <c r="A1" s="39" t="s">
        <v>5117</v>
      </c>
      <c r="B1" s="39"/>
      <c r="C1" s="39"/>
      <c r="D1" s="39"/>
      <c r="E1" s="39"/>
      <c r="F1" s="39"/>
      <c r="G1" s="39"/>
      <c r="H1" s="40" t="s">
        <v>5406</v>
      </c>
      <c r="I1" s="41"/>
      <c r="J1" s="41"/>
      <c r="K1" s="41"/>
      <c r="L1" s="41"/>
      <c r="M1" s="41"/>
      <c r="N1" s="42"/>
    </row>
    <row r="2" spans="1:14" s="1" customFormat="1" ht="29.4" customHeight="1" x14ac:dyDescent="0.3">
      <c r="A2" s="38" t="s">
        <v>0</v>
      </c>
      <c r="B2" s="38" t="s">
        <v>1</v>
      </c>
      <c r="C2" s="38" t="s">
        <v>5136</v>
      </c>
      <c r="D2" s="38" t="s">
        <v>3</v>
      </c>
      <c r="E2" s="38" t="s">
        <v>4</v>
      </c>
      <c r="F2" s="38" t="s">
        <v>5</v>
      </c>
      <c r="G2" s="38" t="s">
        <v>4953</v>
      </c>
      <c r="H2" s="34" t="s">
        <v>1</v>
      </c>
      <c r="I2" s="35" t="s">
        <v>5137</v>
      </c>
      <c r="J2" s="35" t="s">
        <v>5138</v>
      </c>
      <c r="K2" s="35" t="s">
        <v>5045</v>
      </c>
      <c r="L2" s="35" t="s">
        <v>5044</v>
      </c>
      <c r="M2" s="36" t="s">
        <v>5046</v>
      </c>
      <c r="N2" s="37" t="s">
        <v>4957</v>
      </c>
    </row>
    <row r="3" spans="1:14" x14ac:dyDescent="0.3">
      <c r="A3" t="s">
        <v>6</v>
      </c>
      <c r="B3" t="s">
        <v>7</v>
      </c>
      <c r="E3" t="s">
        <v>8</v>
      </c>
      <c r="F3" t="s">
        <v>9</v>
      </c>
      <c r="G3" t="s">
        <v>4956</v>
      </c>
      <c r="H3" s="23" t="str">
        <f>VLOOKUP(A3,Revisión!$A$2:$L$703,6,FALSE)</f>
        <v>Abelia × grandiflora</v>
      </c>
      <c r="I3" s="4" t="str">
        <f>VLOOKUP(A3,Revisión!$A$2:$L$703,7,FALSE)</f>
        <v>Abelia × grandiflora</v>
      </c>
      <c r="J3" s="4" t="str">
        <f>VLOOKUP(A3,Revisión!$A$2:$L$703,8,FALSE)</f>
        <v>Abelia × grandiflora</v>
      </c>
      <c r="K3" s="4" t="str">
        <f>VLOOKUP(A3,Revisión!$A$2:$L$703,9,FALSE)</f>
        <v>-</v>
      </c>
      <c r="L3" s="4" t="str">
        <f>VLOOKUP(A3,Revisión!$A$2:$L$703,10,FALSE)</f>
        <v>-</v>
      </c>
      <c r="M3" s="18">
        <f>VLOOKUP(A3,Revisión!$A$2:$L$703,11,FALSE)</f>
        <v>3</v>
      </c>
      <c r="N3" s="30" t="str">
        <f>IF(E3="Coinciden",D3,IF(E3="Revisar",VLOOKUP(A3,Revisión!$A$2:$L$703,12,FALSE),""))</f>
        <v>Abelia × grandiflora</v>
      </c>
    </row>
    <row r="4" spans="1:14" x14ac:dyDescent="0.3">
      <c r="A4" t="s">
        <v>10</v>
      </c>
      <c r="E4" t="s">
        <v>8</v>
      </c>
      <c r="F4" t="s">
        <v>11</v>
      </c>
      <c r="G4" s="2" t="s">
        <v>4954</v>
      </c>
      <c r="H4" s="23" t="e">
        <f>VLOOKUP(A4,Revisión!$A$2:$L$703,6,FALSE)</f>
        <v>#N/A</v>
      </c>
      <c r="I4" s="4" t="e">
        <f>VLOOKUP(A4,Revisión!$A$2:$L$703,7,FALSE)</f>
        <v>#N/A</v>
      </c>
      <c r="J4" s="4" t="e">
        <f>VLOOKUP(A4,Revisión!$A$2:$L$703,8,FALSE)</f>
        <v>#N/A</v>
      </c>
      <c r="K4" s="4" t="e">
        <f>VLOOKUP(A4,Revisión!$A$2:$L$703,9,FALSE)</f>
        <v>#N/A</v>
      </c>
      <c r="L4" s="4" t="e">
        <f>VLOOKUP(A4,Revisión!$A$2:$L$703,10,FALSE)</f>
        <v>#N/A</v>
      </c>
      <c r="M4" s="18" t="e">
        <f>VLOOKUP(A4,Revisión!$A$2:$L$703,11,FALSE)</f>
        <v>#N/A</v>
      </c>
      <c r="N4" s="30" t="e">
        <f>IF(E4="Coinciden",D4,IF(E4="Revisar",VLOOKUP(A4,Revisión!$A$2:$L$703,12,FALSE),""))</f>
        <v>#N/A</v>
      </c>
    </row>
    <row r="5" spans="1:14" x14ac:dyDescent="0.3">
      <c r="A5" t="s">
        <v>12</v>
      </c>
      <c r="B5" t="s">
        <v>13</v>
      </c>
      <c r="C5" t="s">
        <v>13</v>
      </c>
      <c r="D5" t="s">
        <v>14</v>
      </c>
      <c r="E5" t="s">
        <v>8</v>
      </c>
      <c r="F5" t="s">
        <v>15</v>
      </c>
      <c r="G5" t="s">
        <v>4955</v>
      </c>
      <c r="H5" s="23" t="str">
        <f>VLOOKUP(A5,Revisión!$A$2:$L$703,6,FALSE)</f>
        <v>Diabelia serrata</v>
      </c>
      <c r="I5" s="4" t="str">
        <f>VLOOKUP(A5,Revisión!$A$2:$L$703,7,FALSE)</f>
        <v>Diabelia serrata</v>
      </c>
      <c r="J5" s="4" t="str">
        <f>VLOOKUP(A5,Revisión!$A$2:$L$703,8,FALSE)</f>
        <v>Diabelia serrata</v>
      </c>
      <c r="K5" s="4" t="str">
        <f>VLOOKUP(A5,Revisión!$A$2:$L$703,9,FALSE)</f>
        <v>-</v>
      </c>
      <c r="L5" s="4" t="str">
        <f>VLOOKUP(A5,Revisión!$A$2:$L$703,10,FALSE)</f>
        <v>-</v>
      </c>
      <c r="M5" s="18">
        <f>VLOOKUP(A5,Revisión!$A$2:$L$703,11,FALSE)</f>
        <v>3</v>
      </c>
      <c r="N5" s="30" t="str">
        <f>IF(E5="Coinciden",D5,IF(E5="Revisar",VLOOKUP(A5,Revisión!$A$2:$L$703,12,FALSE),""))</f>
        <v>Diabelia serrata</v>
      </c>
    </row>
    <row r="6" spans="1:14" x14ac:dyDescent="0.3">
      <c r="A6" t="s">
        <v>16</v>
      </c>
      <c r="B6" t="s">
        <v>17</v>
      </c>
      <c r="C6" t="s">
        <v>17</v>
      </c>
      <c r="D6" t="s">
        <v>17</v>
      </c>
      <c r="E6" t="s">
        <v>18</v>
      </c>
      <c r="F6" t="s">
        <v>19</v>
      </c>
      <c r="H6" s="23" t="e">
        <f>VLOOKUP(A6,Revisión!$A$2:$L$703,6,FALSE)</f>
        <v>#N/A</v>
      </c>
      <c r="I6" s="4" t="e">
        <f>VLOOKUP(A6,Revisión!$A$2:$L$703,7,FALSE)</f>
        <v>#N/A</v>
      </c>
      <c r="J6" s="4" t="e">
        <f>VLOOKUP(A6,Revisión!$A$2:$L$703,8,FALSE)</f>
        <v>#N/A</v>
      </c>
      <c r="K6" s="4" t="e">
        <f>VLOOKUP(A6,Revisión!$A$2:$L$703,9,FALSE)</f>
        <v>#N/A</v>
      </c>
      <c r="L6" s="4" t="e">
        <f>VLOOKUP(A6,Revisión!$A$2:$L$703,10,FALSE)</f>
        <v>#N/A</v>
      </c>
      <c r="M6" s="18" t="e">
        <f>VLOOKUP(A6,Revisión!$A$2:$L$703,11,FALSE)</f>
        <v>#N/A</v>
      </c>
      <c r="N6" s="30" t="str">
        <f>IF(E6="Coinciden",D6,IF(E6="Revisar",VLOOKUP(A6,Revisión!$A$2:$L$703,12,FALSE),""))</f>
        <v>Abelmoschus manihot</v>
      </c>
    </row>
    <row r="7" spans="1:14" x14ac:dyDescent="0.3">
      <c r="A7" t="s">
        <v>20</v>
      </c>
      <c r="B7" t="s">
        <v>21</v>
      </c>
      <c r="C7" t="s">
        <v>22</v>
      </c>
      <c r="D7" t="s">
        <v>22</v>
      </c>
      <c r="E7" t="s">
        <v>8</v>
      </c>
      <c r="F7" t="s">
        <v>23</v>
      </c>
      <c r="H7" s="23" t="str">
        <f>VLOOKUP(A7,Revisión!$A$2:$L$703,6,FALSE)</f>
        <v>Pseudabutilon depauperatum</v>
      </c>
      <c r="I7" s="4" t="str">
        <f>VLOOKUP(A7,Revisión!$A$2:$L$703,7,FALSE)</f>
        <v>Pseudabutilon depauperatum</v>
      </c>
      <c r="J7" s="4" t="str">
        <f>VLOOKUP(A7,Revisión!$A$2:$L$703,8,FALSE)</f>
        <v>Pseudabutilon depauperatum</v>
      </c>
      <c r="K7" s="4" t="str">
        <f>VLOOKUP(A7,Revisión!$A$2:$L$703,9,FALSE)</f>
        <v>-</v>
      </c>
      <c r="L7" s="4" t="str">
        <f>VLOOKUP(A7,Revisión!$A$2:$L$703,10,FALSE)</f>
        <v>-</v>
      </c>
      <c r="M7" s="18">
        <f>VLOOKUP(A7,Revisión!$A$2:$L$703,11,FALSE)</f>
        <v>3</v>
      </c>
      <c r="N7" s="30" t="str">
        <f>IF(E7="Coinciden",D7,IF(E7="Revisar",VLOOKUP(A7,Revisión!$A$2:$L$703,12,FALSE),""))</f>
        <v>Pseudabutilon depauperatum</v>
      </c>
    </row>
    <row r="8" spans="1:14" x14ac:dyDescent="0.3">
      <c r="A8" t="s">
        <v>24</v>
      </c>
      <c r="B8" t="s">
        <v>25</v>
      </c>
      <c r="C8" t="s">
        <v>25</v>
      </c>
      <c r="D8" t="s">
        <v>25</v>
      </c>
      <c r="E8" t="s">
        <v>18</v>
      </c>
      <c r="F8" t="s">
        <v>19</v>
      </c>
      <c r="H8" s="23" t="e">
        <f>VLOOKUP(A8,Revisión!$A$2:$L$703,6,FALSE)</f>
        <v>#N/A</v>
      </c>
      <c r="I8" s="4" t="e">
        <f>VLOOKUP(A8,Revisión!$A$2:$L$703,7,FALSE)</f>
        <v>#N/A</v>
      </c>
      <c r="J8" s="4" t="e">
        <f>VLOOKUP(A8,Revisión!$A$2:$L$703,8,FALSE)</f>
        <v>#N/A</v>
      </c>
      <c r="K8" s="4" t="e">
        <f>VLOOKUP(A8,Revisión!$A$2:$L$703,9,FALSE)</f>
        <v>#N/A</v>
      </c>
      <c r="L8" s="4" t="e">
        <f>VLOOKUP(A8,Revisión!$A$2:$L$703,10,FALSE)</f>
        <v>#N/A</v>
      </c>
      <c r="M8" s="18" t="e">
        <f>VLOOKUP(A8,Revisión!$A$2:$L$703,11,FALSE)</f>
        <v>#N/A</v>
      </c>
      <c r="N8" s="30" t="str">
        <f>IF(E8="Coinciden",D8,IF(E8="Revisar",VLOOKUP(A8,Revisión!$A$2:$L$703,12,FALSE),""))</f>
        <v>Abutilon terminale</v>
      </c>
    </row>
    <row r="9" spans="1:14" x14ac:dyDescent="0.3">
      <c r="A9" t="s">
        <v>26</v>
      </c>
      <c r="B9" t="s">
        <v>27</v>
      </c>
      <c r="C9" t="s">
        <v>27</v>
      </c>
      <c r="D9" t="s">
        <v>27</v>
      </c>
      <c r="E9" t="s">
        <v>18</v>
      </c>
      <c r="F9" t="s">
        <v>19</v>
      </c>
      <c r="H9" s="23" t="e">
        <f>VLOOKUP(A9,Revisión!$A$2:$L$703,6,FALSE)</f>
        <v>#N/A</v>
      </c>
      <c r="I9" s="4" t="e">
        <f>VLOOKUP(A9,Revisión!$A$2:$L$703,7,FALSE)</f>
        <v>#N/A</v>
      </c>
      <c r="J9" s="4" t="e">
        <f>VLOOKUP(A9,Revisión!$A$2:$L$703,8,FALSE)</f>
        <v>#N/A</v>
      </c>
      <c r="K9" s="4" t="e">
        <f>VLOOKUP(A9,Revisión!$A$2:$L$703,9,FALSE)</f>
        <v>#N/A</v>
      </c>
      <c r="L9" s="4" t="e">
        <f>VLOOKUP(A9,Revisión!$A$2:$L$703,10,FALSE)</f>
        <v>#N/A</v>
      </c>
      <c r="M9" s="18" t="e">
        <f>VLOOKUP(A9,Revisión!$A$2:$L$703,11,FALSE)</f>
        <v>#N/A</v>
      </c>
      <c r="N9" s="30" t="str">
        <f>IF(E9="Coinciden",D9,IF(E9="Revisar",VLOOKUP(A9,Revisión!$A$2:$L$703,12,FALSE),""))</f>
        <v>Abutilon theophrasti</v>
      </c>
    </row>
    <row r="10" spans="1:14" x14ac:dyDescent="0.3">
      <c r="A10" t="s">
        <v>28</v>
      </c>
      <c r="B10" t="s">
        <v>29</v>
      </c>
      <c r="C10" t="s">
        <v>29</v>
      </c>
      <c r="D10" t="s">
        <v>29</v>
      </c>
      <c r="E10" t="s">
        <v>18</v>
      </c>
      <c r="F10" t="s">
        <v>19</v>
      </c>
      <c r="H10" s="23" t="e">
        <f>VLOOKUP(A10,Revisión!$A$2:$L$703,6,FALSE)</f>
        <v>#N/A</v>
      </c>
      <c r="I10" s="4" t="e">
        <f>VLOOKUP(A10,Revisión!$A$2:$L$703,7,FALSE)</f>
        <v>#N/A</v>
      </c>
      <c r="J10" s="4" t="e">
        <f>VLOOKUP(A10,Revisión!$A$2:$L$703,8,FALSE)</f>
        <v>#N/A</v>
      </c>
      <c r="K10" s="4" t="e">
        <f>VLOOKUP(A10,Revisión!$A$2:$L$703,9,FALSE)</f>
        <v>#N/A</v>
      </c>
      <c r="L10" s="4" t="e">
        <f>VLOOKUP(A10,Revisión!$A$2:$L$703,10,FALSE)</f>
        <v>#N/A</v>
      </c>
      <c r="M10" s="18" t="e">
        <f>VLOOKUP(A10,Revisión!$A$2:$L$703,11,FALSE)</f>
        <v>#N/A</v>
      </c>
      <c r="N10" s="30" t="str">
        <f>IF(E10="Coinciden",D10,IF(E10="Revisar",VLOOKUP(A10,Revisión!$A$2:$L$703,12,FALSE),""))</f>
        <v>Vachellia insulae-iacobi</v>
      </c>
    </row>
    <row r="11" spans="1:14" x14ac:dyDescent="0.3">
      <c r="A11" t="s">
        <v>30</v>
      </c>
      <c r="B11" t="s">
        <v>31</v>
      </c>
      <c r="C11" t="s">
        <v>31</v>
      </c>
      <c r="D11" t="s">
        <v>31</v>
      </c>
      <c r="E11" t="s">
        <v>18</v>
      </c>
      <c r="F11" t="s">
        <v>19</v>
      </c>
      <c r="H11" s="23" t="str">
        <f>VLOOKUP(A11,Revisión!$A$2:$L$703,6,FALSE)</f>
        <v>Vachellia macracantha </v>
      </c>
      <c r="I11" s="4" t="str">
        <f>VLOOKUP(A11,Revisión!$A$2:$L$703,7,FALSE)</f>
        <v>Vachellia macracantha </v>
      </c>
      <c r="J11" s="4" t="str">
        <f>VLOOKUP(A11,Revisión!$A$2:$L$703,8,FALSE)</f>
        <v>Vachellia macracantha </v>
      </c>
      <c r="K11" s="4" t="str">
        <f>VLOOKUP(A11,Revisión!$A$2:$L$703,9,FALSE)</f>
        <v>-</v>
      </c>
      <c r="L11" s="4" t="str">
        <f>VLOOKUP(A11,Revisión!$A$2:$L$703,10,FALSE)</f>
        <v>-</v>
      </c>
      <c r="M11" s="18">
        <f>VLOOKUP(A11,Revisión!$A$2:$L$703,11,FALSE)</f>
        <v>3</v>
      </c>
      <c r="N11" s="30" t="str">
        <f>IF(E11="Coinciden",D11,IF(E11="Revisar",VLOOKUP(A11,Revisión!$A$2:$L$703,12,FALSE),""))</f>
        <v>Vachellia macracantha</v>
      </c>
    </row>
    <row r="12" spans="1:14" x14ac:dyDescent="0.3">
      <c r="A12" t="s">
        <v>32</v>
      </c>
      <c r="B12" t="s">
        <v>33</v>
      </c>
      <c r="D12" t="s">
        <v>33</v>
      </c>
      <c r="E12" t="s">
        <v>8</v>
      </c>
      <c r="F12" t="s">
        <v>34</v>
      </c>
      <c r="H12" s="23" t="str">
        <f>VLOOKUP(A12,Revisión!$A$2:$L$703,6,FALSE)</f>
        <v>Acaena pinnatifida</v>
      </c>
      <c r="I12" s="4" t="str">
        <f>VLOOKUP(A12,Revisión!$A$2:$L$703,7,FALSE)</f>
        <v>Acaena pinnatifida</v>
      </c>
      <c r="J12" s="4" t="str">
        <f>VLOOKUP(A12,Revisión!$A$2:$L$703,8,FALSE)</f>
        <v>Acaena pinnatifida</v>
      </c>
      <c r="K12" s="4" t="str">
        <f>VLOOKUP(A12,Revisión!$A$2:$L$703,9,FALSE)</f>
        <v>-</v>
      </c>
      <c r="L12" s="4" t="str">
        <f>VLOOKUP(A12,Revisión!$A$2:$L$703,10,FALSE)</f>
        <v>-</v>
      </c>
      <c r="M12" s="18">
        <f>VLOOKUP(A12,Revisión!$A$2:$L$703,11,FALSE)</f>
        <v>3</v>
      </c>
      <c r="N12" s="30" t="str">
        <f>IF(E12="Coinciden",D12,IF(E12="Revisar",VLOOKUP(A12,Revisión!$A$2:$L$703,12,FALSE),""))</f>
        <v>Acaena pinnatifida</v>
      </c>
    </row>
    <row r="13" spans="1:14" x14ac:dyDescent="0.3">
      <c r="A13" t="s">
        <v>35</v>
      </c>
      <c r="B13" t="s">
        <v>36</v>
      </c>
      <c r="C13" t="s">
        <v>36</v>
      </c>
      <c r="D13" t="s">
        <v>36</v>
      </c>
      <c r="E13" t="s">
        <v>18</v>
      </c>
      <c r="F13" t="s">
        <v>19</v>
      </c>
      <c r="H13" s="23" t="str">
        <f>VLOOKUP(A13,Revisión!$A$2:$L$703,6,FALSE)</f>
        <v>Acanthostachys strobilacea</v>
      </c>
      <c r="I13" s="4" t="str">
        <f>VLOOKUP(A13,Revisión!$A$2:$L$703,7,FALSE)</f>
        <v>Acanthostachys strobilacea</v>
      </c>
      <c r="J13" s="4" t="str">
        <f>VLOOKUP(A13,Revisión!$A$2:$L$703,8,FALSE)</f>
        <v>Acanthostachys strobilacea</v>
      </c>
      <c r="K13" s="4" t="str">
        <f>VLOOKUP(A13,Revisión!$A$2:$L$703,9,FALSE)</f>
        <v>-</v>
      </c>
      <c r="L13" s="4" t="str">
        <f>VLOOKUP(A13,Revisión!$A$2:$L$703,10,FALSE)</f>
        <v>-</v>
      </c>
      <c r="M13" s="18">
        <f>VLOOKUP(A13,Revisión!$A$2:$L$703,11,FALSE)</f>
        <v>3</v>
      </c>
      <c r="N13" s="30" t="str">
        <f>IF(E13="Coinciden",D13,IF(E13="Revisar",VLOOKUP(A13,Revisión!$A$2:$L$703,12,FALSE),""))</f>
        <v>Acanthostachys strobilacea</v>
      </c>
    </row>
    <row r="14" spans="1:14" x14ac:dyDescent="0.3">
      <c r="A14" t="s">
        <v>37</v>
      </c>
      <c r="B14" t="s">
        <v>38</v>
      </c>
      <c r="C14" t="s">
        <v>38</v>
      </c>
      <c r="D14" t="s">
        <v>38</v>
      </c>
      <c r="E14" t="s">
        <v>18</v>
      </c>
      <c r="F14" t="s">
        <v>19</v>
      </c>
      <c r="H14" s="23" t="e">
        <f>VLOOKUP(A14,Revisión!$A$2:$L$703,6,FALSE)</f>
        <v>#N/A</v>
      </c>
      <c r="I14" s="4" t="e">
        <f>VLOOKUP(A14,Revisión!$A$2:$L$703,7,FALSE)</f>
        <v>#N/A</v>
      </c>
      <c r="J14" s="4" t="e">
        <f>VLOOKUP(A14,Revisión!$A$2:$L$703,8,FALSE)</f>
        <v>#N/A</v>
      </c>
      <c r="K14" s="4" t="e">
        <f>VLOOKUP(A14,Revisión!$A$2:$L$703,9,FALSE)</f>
        <v>#N/A</v>
      </c>
      <c r="L14" s="4" t="e">
        <f>VLOOKUP(A14,Revisión!$A$2:$L$703,10,FALSE)</f>
        <v>#N/A</v>
      </c>
      <c r="M14" s="18" t="e">
        <f>VLOOKUP(A14,Revisión!$A$2:$L$703,11,FALSE)</f>
        <v>#N/A</v>
      </c>
      <c r="N14" s="30" t="str">
        <f>IF(E14="Coinciden",D14,IF(E14="Revisar",VLOOKUP(A14,Revisión!$A$2:$L$703,12,FALSE),""))</f>
        <v>Acanthus spinosus</v>
      </c>
    </row>
    <row r="15" spans="1:14" x14ac:dyDescent="0.3">
      <c r="A15" t="s">
        <v>39</v>
      </c>
      <c r="B15" t="s">
        <v>40</v>
      </c>
      <c r="C15" t="s">
        <v>40</v>
      </c>
      <c r="D15" t="s">
        <v>40</v>
      </c>
      <c r="E15" t="s">
        <v>18</v>
      </c>
      <c r="F15" t="s">
        <v>19</v>
      </c>
      <c r="H15" s="23" t="e">
        <f>VLOOKUP(A15,Revisión!$A$2:$L$703,6,FALSE)</f>
        <v>#N/A</v>
      </c>
      <c r="I15" s="4" t="e">
        <f>VLOOKUP(A15,Revisión!$A$2:$L$703,7,FALSE)</f>
        <v>#N/A</v>
      </c>
      <c r="J15" s="4" t="e">
        <f>VLOOKUP(A15,Revisión!$A$2:$L$703,8,FALSE)</f>
        <v>#N/A</v>
      </c>
      <c r="K15" s="4" t="e">
        <f>VLOOKUP(A15,Revisión!$A$2:$L$703,9,FALSE)</f>
        <v>#N/A</v>
      </c>
      <c r="L15" s="4" t="e">
        <f>VLOOKUP(A15,Revisión!$A$2:$L$703,10,FALSE)</f>
        <v>#N/A</v>
      </c>
      <c r="M15" s="18" t="e">
        <f>VLOOKUP(A15,Revisión!$A$2:$L$703,11,FALSE)</f>
        <v>#N/A</v>
      </c>
      <c r="N15" s="30" t="str">
        <f>IF(E15="Coinciden",D15,IF(E15="Revisar",VLOOKUP(A15,Revisión!$A$2:$L$703,12,FALSE),""))</f>
        <v>Acer ukurunduense</v>
      </c>
    </row>
    <row r="16" spans="1:14" x14ac:dyDescent="0.3">
      <c r="A16" t="s">
        <v>41</v>
      </c>
      <c r="B16" t="s">
        <v>42</v>
      </c>
      <c r="C16" t="s">
        <v>42</v>
      </c>
      <c r="D16" t="s">
        <v>42</v>
      </c>
      <c r="E16" t="s">
        <v>18</v>
      </c>
      <c r="F16" t="s">
        <v>19</v>
      </c>
      <c r="H16" s="23" t="e">
        <f>VLOOKUP(A16,Revisión!$A$2:$L$703,6,FALSE)</f>
        <v>#N/A</v>
      </c>
      <c r="I16" s="4" t="e">
        <f>VLOOKUP(A16,Revisión!$A$2:$L$703,7,FALSE)</f>
        <v>#N/A</v>
      </c>
      <c r="J16" s="4" t="e">
        <f>VLOOKUP(A16,Revisión!$A$2:$L$703,8,FALSE)</f>
        <v>#N/A</v>
      </c>
      <c r="K16" s="4" t="e">
        <f>VLOOKUP(A16,Revisión!$A$2:$L$703,9,FALSE)</f>
        <v>#N/A</v>
      </c>
      <c r="L16" s="4" t="e">
        <f>VLOOKUP(A16,Revisión!$A$2:$L$703,10,FALSE)</f>
        <v>#N/A</v>
      </c>
      <c r="M16" s="18" t="e">
        <f>VLOOKUP(A16,Revisión!$A$2:$L$703,11,FALSE)</f>
        <v>#N/A</v>
      </c>
      <c r="N16" s="30" t="str">
        <f>IF(E16="Coinciden",D16,IF(E16="Revisar",VLOOKUP(A16,Revisión!$A$2:$L$703,12,FALSE),""))</f>
        <v>Acer shirasawanum</v>
      </c>
    </row>
    <row r="17" spans="1:14" x14ac:dyDescent="0.3">
      <c r="A17" t="s">
        <v>43</v>
      </c>
      <c r="B17" t="s">
        <v>44</v>
      </c>
      <c r="C17" t="s">
        <v>44</v>
      </c>
      <c r="D17" t="s">
        <v>44</v>
      </c>
      <c r="E17" t="s">
        <v>18</v>
      </c>
      <c r="F17" t="s">
        <v>19</v>
      </c>
      <c r="H17" s="23" t="e">
        <f>VLOOKUP(A17,Revisión!$A$2:$L$703,6,FALSE)</f>
        <v>#N/A</v>
      </c>
      <c r="I17" s="4" t="e">
        <f>VLOOKUP(A17,Revisión!$A$2:$L$703,7,FALSE)</f>
        <v>#N/A</v>
      </c>
      <c r="J17" s="4" t="e">
        <f>VLOOKUP(A17,Revisión!$A$2:$L$703,8,FALSE)</f>
        <v>#N/A</v>
      </c>
      <c r="K17" s="4" t="e">
        <f>VLOOKUP(A17,Revisión!$A$2:$L$703,9,FALSE)</f>
        <v>#N/A</v>
      </c>
      <c r="L17" s="4" t="e">
        <f>VLOOKUP(A17,Revisión!$A$2:$L$703,10,FALSE)</f>
        <v>#N/A</v>
      </c>
      <c r="M17" s="18" t="e">
        <f>VLOOKUP(A17,Revisión!$A$2:$L$703,11,FALSE)</f>
        <v>#N/A</v>
      </c>
      <c r="N17" s="30" t="str">
        <f>IF(E17="Coinciden",D17,IF(E17="Revisar",VLOOKUP(A17,Revisión!$A$2:$L$703,12,FALSE),""))</f>
        <v>Acer rufinerve</v>
      </c>
    </row>
    <row r="18" spans="1:14" x14ac:dyDescent="0.3">
      <c r="A18" t="s">
        <v>45</v>
      </c>
      <c r="B18" t="s">
        <v>46</v>
      </c>
      <c r="C18" t="s">
        <v>46</v>
      </c>
      <c r="D18" t="s">
        <v>46</v>
      </c>
      <c r="E18" t="s">
        <v>18</v>
      </c>
      <c r="F18" t="s">
        <v>19</v>
      </c>
      <c r="H18" s="23" t="e">
        <f>VLOOKUP(A18,Revisión!$A$2:$L$703,6,FALSE)</f>
        <v>#N/A</v>
      </c>
      <c r="I18" s="4" t="e">
        <f>VLOOKUP(A18,Revisión!$A$2:$L$703,7,FALSE)</f>
        <v>#N/A</v>
      </c>
      <c r="J18" s="4" t="e">
        <f>VLOOKUP(A18,Revisión!$A$2:$L$703,8,FALSE)</f>
        <v>#N/A</v>
      </c>
      <c r="K18" s="4" t="e">
        <f>VLOOKUP(A18,Revisión!$A$2:$L$703,9,FALSE)</f>
        <v>#N/A</v>
      </c>
      <c r="L18" s="4" t="e">
        <f>VLOOKUP(A18,Revisión!$A$2:$L$703,10,FALSE)</f>
        <v>#N/A</v>
      </c>
      <c r="M18" s="18" t="e">
        <f>VLOOKUP(A18,Revisión!$A$2:$L$703,11,FALSE)</f>
        <v>#N/A</v>
      </c>
      <c r="N18" s="30" t="str">
        <f>IF(E18="Coinciden",D18,IF(E18="Revisar",VLOOKUP(A18,Revisión!$A$2:$L$703,12,FALSE),""))</f>
        <v>Acer saccharinum</v>
      </c>
    </row>
    <row r="19" spans="1:14" x14ac:dyDescent="0.3">
      <c r="A19" t="s">
        <v>47</v>
      </c>
      <c r="C19" t="s">
        <v>48</v>
      </c>
      <c r="D19" t="s">
        <v>48</v>
      </c>
      <c r="E19" t="s">
        <v>8</v>
      </c>
      <c r="F19" t="s">
        <v>49</v>
      </c>
      <c r="H19" s="23" t="str">
        <f>VLOOKUP(A19,Revisión!$A$2:$L$703,6,FALSE)</f>
        <v>Acer insulare</v>
      </c>
      <c r="I19" s="4" t="str">
        <f>VLOOKUP(A19,Revisión!$A$2:$L$703,7,FALSE)</f>
        <v>Acer insulare</v>
      </c>
      <c r="J19" s="4" t="str">
        <f>VLOOKUP(A19,Revisión!$A$2:$L$703,8,FALSE)</f>
        <v>Acer insulare</v>
      </c>
      <c r="K19" s="4" t="str">
        <f>VLOOKUP(A19,Revisión!$A$2:$L$703,9,FALSE)</f>
        <v>-</v>
      </c>
      <c r="L19" s="4" t="str">
        <f>VLOOKUP(A19,Revisión!$A$2:$L$703,10,FALSE)</f>
        <v>-</v>
      </c>
      <c r="M19" s="18">
        <f>VLOOKUP(A19,Revisión!$A$2:$L$703,11,FALSE)</f>
        <v>3</v>
      </c>
      <c r="N19" s="30" t="str">
        <f>IF(E19="Coinciden",D19,IF(E19="Revisar",VLOOKUP(A19,Revisión!$A$2:$L$703,12,FALSE),""))</f>
        <v>Acer insulare</v>
      </c>
    </row>
    <row r="20" spans="1:14" x14ac:dyDescent="0.3">
      <c r="A20" t="s">
        <v>50</v>
      </c>
      <c r="B20" t="s">
        <v>51</v>
      </c>
      <c r="C20" t="s">
        <v>51</v>
      </c>
      <c r="D20" t="s">
        <v>51</v>
      </c>
      <c r="E20" t="s">
        <v>18</v>
      </c>
      <c r="F20" t="s">
        <v>19</v>
      </c>
      <c r="H20" s="23" t="e">
        <f>VLOOKUP(A20,Revisión!$A$2:$L$703,6,FALSE)</f>
        <v>#N/A</v>
      </c>
      <c r="I20" s="4" t="e">
        <f>VLOOKUP(A20,Revisión!$A$2:$L$703,7,FALSE)</f>
        <v>#N/A</v>
      </c>
      <c r="J20" s="4" t="e">
        <f>VLOOKUP(A20,Revisión!$A$2:$L$703,8,FALSE)</f>
        <v>#N/A</v>
      </c>
      <c r="K20" s="4" t="e">
        <f>VLOOKUP(A20,Revisión!$A$2:$L$703,9,FALSE)</f>
        <v>#N/A</v>
      </c>
      <c r="L20" s="4" t="e">
        <f>VLOOKUP(A20,Revisión!$A$2:$L$703,10,FALSE)</f>
        <v>#N/A</v>
      </c>
      <c r="M20" s="18" t="e">
        <f>VLOOKUP(A20,Revisión!$A$2:$L$703,11,FALSE)</f>
        <v>#N/A</v>
      </c>
      <c r="N20" s="30" t="str">
        <f>IF(E20="Coinciden",D20,IF(E20="Revisar",VLOOKUP(A20,Revisión!$A$2:$L$703,12,FALSE),""))</f>
        <v>Acer japonicum</v>
      </c>
    </row>
    <row r="21" spans="1:14" x14ac:dyDescent="0.3">
      <c r="A21" t="s">
        <v>52</v>
      </c>
      <c r="B21" t="s">
        <v>53</v>
      </c>
      <c r="C21" t="s">
        <v>53</v>
      </c>
      <c r="D21" t="s">
        <v>53</v>
      </c>
      <c r="E21" t="s">
        <v>18</v>
      </c>
      <c r="F21" t="s">
        <v>19</v>
      </c>
      <c r="H21" s="23" t="e">
        <f>VLOOKUP(A21,Revisión!$A$2:$L$703,6,FALSE)</f>
        <v>#N/A</v>
      </c>
      <c r="I21" s="4" t="e">
        <f>VLOOKUP(A21,Revisión!$A$2:$L$703,7,FALSE)</f>
        <v>#N/A</v>
      </c>
      <c r="J21" s="4" t="e">
        <f>VLOOKUP(A21,Revisión!$A$2:$L$703,8,FALSE)</f>
        <v>#N/A</v>
      </c>
      <c r="K21" s="4" t="e">
        <f>VLOOKUP(A21,Revisión!$A$2:$L$703,9,FALSE)</f>
        <v>#N/A</v>
      </c>
      <c r="L21" s="4" t="e">
        <f>VLOOKUP(A21,Revisión!$A$2:$L$703,10,FALSE)</f>
        <v>#N/A</v>
      </c>
      <c r="M21" s="18" t="e">
        <f>VLOOKUP(A21,Revisión!$A$2:$L$703,11,FALSE)</f>
        <v>#N/A</v>
      </c>
      <c r="N21" s="30" t="str">
        <f>IF(E21="Coinciden",D21,IF(E21="Revisar",VLOOKUP(A21,Revisión!$A$2:$L$703,12,FALSE),""))</f>
        <v>Acer carpinifolium</v>
      </c>
    </row>
    <row r="22" spans="1:14" x14ac:dyDescent="0.3">
      <c r="A22" t="s">
        <v>54</v>
      </c>
      <c r="B22" t="s">
        <v>55</v>
      </c>
      <c r="C22" t="s">
        <v>55</v>
      </c>
      <c r="D22" t="s">
        <v>55</v>
      </c>
      <c r="E22" t="s">
        <v>18</v>
      </c>
      <c r="F22" t="s">
        <v>19</v>
      </c>
      <c r="H22" s="23" t="e">
        <f>VLOOKUP(A22,Revisión!$A$2:$L$703,6,FALSE)</f>
        <v>#N/A</v>
      </c>
      <c r="I22" s="4" t="e">
        <f>VLOOKUP(A22,Revisión!$A$2:$L$703,7,FALSE)</f>
        <v>#N/A</v>
      </c>
      <c r="J22" s="4" t="e">
        <f>VLOOKUP(A22,Revisión!$A$2:$L$703,8,FALSE)</f>
        <v>#N/A</v>
      </c>
      <c r="K22" s="4" t="e">
        <f>VLOOKUP(A22,Revisión!$A$2:$L$703,9,FALSE)</f>
        <v>#N/A</v>
      </c>
      <c r="L22" s="4" t="e">
        <f>VLOOKUP(A22,Revisión!$A$2:$L$703,10,FALSE)</f>
        <v>#N/A</v>
      </c>
      <c r="M22" s="18" t="e">
        <f>VLOOKUP(A22,Revisión!$A$2:$L$703,11,FALSE)</f>
        <v>#N/A</v>
      </c>
      <c r="N22" s="30" t="str">
        <f>IF(E22="Coinciden",D22,IF(E22="Revisar",VLOOKUP(A22,Revisión!$A$2:$L$703,12,FALSE),""))</f>
        <v>Acer negundo</v>
      </c>
    </row>
    <row r="23" spans="1:14" x14ac:dyDescent="0.3">
      <c r="A23" t="s">
        <v>56</v>
      </c>
      <c r="B23" t="s">
        <v>57</v>
      </c>
      <c r="C23" t="s">
        <v>57</v>
      </c>
      <c r="D23" t="s">
        <v>57</v>
      </c>
      <c r="E23" t="s">
        <v>18</v>
      </c>
      <c r="F23" t="s">
        <v>19</v>
      </c>
      <c r="H23" s="23" t="e">
        <f>VLOOKUP(A23,Revisión!$A$2:$L$703,6,FALSE)</f>
        <v>#N/A</v>
      </c>
      <c r="I23" s="4" t="e">
        <f>VLOOKUP(A23,Revisión!$A$2:$L$703,7,FALSE)</f>
        <v>#N/A</v>
      </c>
      <c r="J23" s="4" t="e">
        <f>VLOOKUP(A23,Revisión!$A$2:$L$703,8,FALSE)</f>
        <v>#N/A</v>
      </c>
      <c r="K23" s="4" t="e">
        <f>VLOOKUP(A23,Revisión!$A$2:$L$703,9,FALSE)</f>
        <v>#N/A</v>
      </c>
      <c r="L23" s="4" t="e">
        <f>VLOOKUP(A23,Revisión!$A$2:$L$703,10,FALSE)</f>
        <v>#N/A</v>
      </c>
      <c r="M23" s="18" t="e">
        <f>VLOOKUP(A23,Revisión!$A$2:$L$703,11,FALSE)</f>
        <v>#N/A</v>
      </c>
      <c r="N23" s="30" t="str">
        <f>IF(E23="Coinciden",D23,IF(E23="Revisar",VLOOKUP(A23,Revisión!$A$2:$L$703,12,FALSE),""))</f>
        <v>Achillea alpina</v>
      </c>
    </row>
    <row r="24" spans="1:14" x14ac:dyDescent="0.3">
      <c r="A24" t="s">
        <v>58</v>
      </c>
      <c r="B24" t="s">
        <v>59</v>
      </c>
      <c r="C24" t="s">
        <v>59</v>
      </c>
      <c r="D24" t="s">
        <v>59</v>
      </c>
      <c r="E24" t="s">
        <v>18</v>
      </c>
      <c r="F24" t="s">
        <v>19</v>
      </c>
      <c r="H24" s="23" t="e">
        <f>VLOOKUP(A24,Revisión!$A$2:$L$703,6,FALSE)</f>
        <v>#N/A</v>
      </c>
      <c r="I24" s="4" t="e">
        <f>VLOOKUP(A24,Revisión!$A$2:$L$703,7,FALSE)</f>
        <v>#N/A</v>
      </c>
      <c r="J24" s="4" t="e">
        <f>VLOOKUP(A24,Revisión!$A$2:$L$703,8,FALSE)</f>
        <v>#N/A</v>
      </c>
      <c r="K24" s="4" t="e">
        <f>VLOOKUP(A24,Revisión!$A$2:$L$703,9,FALSE)</f>
        <v>#N/A</v>
      </c>
      <c r="L24" s="4" t="e">
        <f>VLOOKUP(A24,Revisión!$A$2:$L$703,10,FALSE)</f>
        <v>#N/A</v>
      </c>
      <c r="M24" s="18" t="e">
        <f>VLOOKUP(A24,Revisión!$A$2:$L$703,11,FALSE)</f>
        <v>#N/A</v>
      </c>
      <c r="N24" s="30" t="str">
        <f>IF(E24="Coinciden",D24,IF(E24="Revisar",VLOOKUP(A24,Revisión!$A$2:$L$703,12,FALSE),""))</f>
        <v>Achillea millefolium</v>
      </c>
    </row>
    <row r="25" spans="1:14" x14ac:dyDescent="0.3">
      <c r="A25" t="s">
        <v>60</v>
      </c>
      <c r="B25" t="s">
        <v>61</v>
      </c>
      <c r="C25" t="s">
        <v>61</v>
      </c>
      <c r="D25" t="s">
        <v>61</v>
      </c>
      <c r="E25" t="s">
        <v>18</v>
      </c>
      <c r="F25" t="s">
        <v>19</v>
      </c>
      <c r="H25" s="23" t="e">
        <f>VLOOKUP(A25,Revisión!$A$2:$L$703,6,FALSE)</f>
        <v>#N/A</v>
      </c>
      <c r="I25" s="4" t="e">
        <f>VLOOKUP(A25,Revisión!$A$2:$L$703,7,FALSE)</f>
        <v>#N/A</v>
      </c>
      <c r="J25" s="4" t="e">
        <f>VLOOKUP(A25,Revisión!$A$2:$L$703,8,FALSE)</f>
        <v>#N/A</v>
      </c>
      <c r="K25" s="4" t="e">
        <f>VLOOKUP(A25,Revisión!$A$2:$L$703,9,FALSE)</f>
        <v>#N/A</v>
      </c>
      <c r="L25" s="4" t="e">
        <f>VLOOKUP(A25,Revisión!$A$2:$L$703,10,FALSE)</f>
        <v>#N/A</v>
      </c>
      <c r="M25" s="18" t="e">
        <f>VLOOKUP(A25,Revisión!$A$2:$L$703,11,FALSE)</f>
        <v>#N/A</v>
      </c>
      <c r="N25" s="30" t="str">
        <f>IF(E25="Coinciden",D25,IF(E25="Revisar",VLOOKUP(A25,Revisión!$A$2:$L$703,12,FALSE),""))</f>
        <v>Achyranthes bidentata</v>
      </c>
    </row>
    <row r="26" spans="1:14" x14ac:dyDescent="0.3">
      <c r="A26" t="s">
        <v>62</v>
      </c>
      <c r="C26" t="s">
        <v>63</v>
      </c>
      <c r="D26" t="s">
        <v>64</v>
      </c>
      <c r="E26" t="s">
        <v>8</v>
      </c>
      <c r="F26" t="s">
        <v>9</v>
      </c>
      <c r="H26" s="23" t="str">
        <f>VLOOKUP(A26,Revisión!$A$2:$L$703,6,FALSE)</f>
        <v>Achyrocline saturejoides </v>
      </c>
      <c r="I26" s="4" t="str">
        <f>VLOOKUP(A26,Revisión!$A$2:$L$703,7,FALSE)</f>
        <v>Achyrocline saturejoides</v>
      </c>
      <c r="J26" s="4" t="str">
        <f>VLOOKUP(A26,Revisión!$A$2:$L$703,8,FALSE)</f>
        <v>Achyrocline saturejoides </v>
      </c>
      <c r="K26" s="4" t="str">
        <f>VLOOKUP(A26,Revisión!$A$2:$L$703,9,FALSE)</f>
        <v>-</v>
      </c>
      <c r="L26" s="4" t="str">
        <f>VLOOKUP(A26,Revisión!$A$2:$L$703,10,FALSE)</f>
        <v>-</v>
      </c>
      <c r="M26" s="18">
        <f>VLOOKUP(A26,Revisión!$A$2:$L$703,11,FALSE)</f>
        <v>3</v>
      </c>
      <c r="N26" s="30" t="str">
        <f>IF(E26="Coinciden",D26,IF(E26="Revisar",VLOOKUP(A26,Revisión!$A$2:$L$703,12,FALSE),""))</f>
        <v>Achyrocline saturejoides </v>
      </c>
    </row>
    <row r="27" spans="1:14" x14ac:dyDescent="0.3">
      <c r="A27" t="s">
        <v>65</v>
      </c>
      <c r="B27" t="s">
        <v>66</v>
      </c>
      <c r="C27" t="s">
        <v>66</v>
      </c>
      <c r="D27" t="s">
        <v>66</v>
      </c>
      <c r="E27" t="s">
        <v>18</v>
      </c>
      <c r="F27" t="s">
        <v>19</v>
      </c>
      <c r="H27" s="23" t="e">
        <f>VLOOKUP(A27,Revisión!$A$2:$L$703,6,FALSE)</f>
        <v>#N/A</v>
      </c>
      <c r="I27" s="4" t="e">
        <f>VLOOKUP(A27,Revisión!$A$2:$L$703,7,FALSE)</f>
        <v>#N/A</v>
      </c>
      <c r="J27" s="4" t="e">
        <f>VLOOKUP(A27,Revisión!$A$2:$L$703,8,FALSE)</f>
        <v>#N/A</v>
      </c>
      <c r="K27" s="4" t="e">
        <f>VLOOKUP(A27,Revisión!$A$2:$L$703,9,FALSE)</f>
        <v>#N/A</v>
      </c>
      <c r="L27" s="4" t="e">
        <f>VLOOKUP(A27,Revisión!$A$2:$L$703,10,FALSE)</f>
        <v>#N/A</v>
      </c>
      <c r="M27" s="18" t="e">
        <f>VLOOKUP(A27,Revisión!$A$2:$L$703,11,FALSE)</f>
        <v>#N/A</v>
      </c>
      <c r="N27" s="30" t="str">
        <f>IF(E27="Coinciden",D27,IF(E27="Revisar",VLOOKUP(A27,Revisión!$A$2:$L$703,12,FALSE),""))</f>
        <v>Aciphylla glacialis</v>
      </c>
    </row>
    <row r="28" spans="1:14" x14ac:dyDescent="0.3">
      <c r="A28" t="s">
        <v>67</v>
      </c>
      <c r="C28" t="s">
        <v>68</v>
      </c>
      <c r="D28" t="s">
        <v>68</v>
      </c>
      <c r="E28" t="s">
        <v>8</v>
      </c>
      <c r="F28" t="s">
        <v>49</v>
      </c>
      <c r="H28" s="23" t="str">
        <f>VLOOKUP(A28,Revisión!$A$2:$L$703,6,FALSE)</f>
        <v>Aciphylla scott-thomsonii</v>
      </c>
      <c r="I28" s="4" t="str">
        <f>VLOOKUP(A28,Revisión!$A$2:$L$703,7,FALSE)</f>
        <v>Aciphylla scott-thomsonii</v>
      </c>
      <c r="J28" s="4" t="str">
        <f>VLOOKUP(A28,Revisión!$A$2:$L$703,8,FALSE)</f>
        <v>Aciphylla scott-thomsonii</v>
      </c>
      <c r="K28" s="4" t="str">
        <f>VLOOKUP(A28,Revisión!$A$2:$L$703,9,FALSE)</f>
        <v>-</v>
      </c>
      <c r="L28" s="4" t="str">
        <f>VLOOKUP(A28,Revisión!$A$2:$L$703,10,FALSE)</f>
        <v>-</v>
      </c>
      <c r="M28" s="18">
        <f>VLOOKUP(A28,Revisión!$A$2:$L$703,11,FALSE)</f>
        <v>3</v>
      </c>
      <c r="N28" s="30" t="str">
        <f>IF(E28="Coinciden",D28,IF(E28="Revisar",VLOOKUP(A28,Revisión!$A$2:$L$703,12,FALSE),""))</f>
        <v>Aciphylla scott-thomsonii</v>
      </c>
    </row>
    <row r="29" spans="1:14" x14ac:dyDescent="0.3">
      <c r="A29" t="s">
        <v>69</v>
      </c>
      <c r="B29" t="s">
        <v>70</v>
      </c>
      <c r="C29" t="s">
        <v>70</v>
      </c>
      <c r="D29" t="s">
        <v>70</v>
      </c>
      <c r="E29" t="s">
        <v>18</v>
      </c>
      <c r="F29" t="s">
        <v>19</v>
      </c>
      <c r="H29" s="23" t="e">
        <f>VLOOKUP(A29,Revisión!$A$2:$L$703,6,FALSE)</f>
        <v>#N/A</v>
      </c>
      <c r="I29" s="4" t="e">
        <f>VLOOKUP(A29,Revisión!$A$2:$L$703,7,FALSE)</f>
        <v>#N/A</v>
      </c>
      <c r="J29" s="4" t="e">
        <f>VLOOKUP(A29,Revisión!$A$2:$L$703,8,FALSE)</f>
        <v>#N/A</v>
      </c>
      <c r="K29" s="4" t="e">
        <f>VLOOKUP(A29,Revisión!$A$2:$L$703,9,FALSE)</f>
        <v>#N/A</v>
      </c>
      <c r="L29" s="4" t="e">
        <f>VLOOKUP(A29,Revisión!$A$2:$L$703,10,FALSE)</f>
        <v>#N/A</v>
      </c>
      <c r="M29" s="18" t="e">
        <f>VLOOKUP(A29,Revisión!$A$2:$L$703,11,FALSE)</f>
        <v>#N/A</v>
      </c>
      <c r="N29" s="30" t="str">
        <f>IF(E29="Coinciden",D29,IF(E29="Revisar",VLOOKUP(A29,Revisión!$A$2:$L$703,12,FALSE),""))</f>
        <v>Aciphylla simplicifolia</v>
      </c>
    </row>
    <row r="30" spans="1:14" x14ac:dyDescent="0.3">
      <c r="A30" t="s">
        <v>71</v>
      </c>
      <c r="C30" t="s">
        <v>72</v>
      </c>
      <c r="D30" t="s">
        <v>72</v>
      </c>
      <c r="E30" t="s">
        <v>8</v>
      </c>
      <c r="F30" t="s">
        <v>49</v>
      </c>
      <c r="H30" s="23" t="str">
        <f>VLOOKUP(A30,Revisión!$A$2:$L$703,6,FALSE)</f>
        <v>Aciphylla subflabellata</v>
      </c>
      <c r="I30" s="4" t="str">
        <f>VLOOKUP(A30,Revisión!$A$2:$L$703,7,FALSE)</f>
        <v>Aciphylla subflabellata</v>
      </c>
      <c r="J30" s="4" t="str">
        <f>VLOOKUP(A30,Revisión!$A$2:$L$703,8,FALSE)</f>
        <v>Aciphylla subflabellata</v>
      </c>
      <c r="K30" s="4" t="str">
        <f>VLOOKUP(A30,Revisión!$A$2:$L$703,9,FALSE)</f>
        <v>-</v>
      </c>
      <c r="L30" s="4" t="str">
        <f>VLOOKUP(A30,Revisión!$A$2:$L$703,10,FALSE)</f>
        <v>-</v>
      </c>
      <c r="M30" s="18">
        <f>VLOOKUP(A30,Revisión!$A$2:$L$703,11,FALSE)</f>
        <v>3</v>
      </c>
      <c r="N30" s="30" t="str">
        <f>IF(E30="Coinciden",D30,IF(E30="Revisar",VLOOKUP(A30,Revisión!$A$2:$L$703,12,FALSE),""))</f>
        <v>Aciphylla subflabellata</v>
      </c>
    </row>
    <row r="31" spans="1:14" x14ac:dyDescent="0.3">
      <c r="A31" t="s">
        <v>73</v>
      </c>
      <c r="B31" t="s">
        <v>74</v>
      </c>
      <c r="C31" t="s">
        <v>74</v>
      </c>
      <c r="D31" t="s">
        <v>74</v>
      </c>
      <c r="E31" t="s">
        <v>18</v>
      </c>
      <c r="F31" t="s">
        <v>19</v>
      </c>
      <c r="H31" s="23" t="e">
        <f>VLOOKUP(A31,Revisión!$A$2:$L$703,6,FALSE)</f>
        <v>#N/A</v>
      </c>
      <c r="I31" s="4" t="e">
        <f>VLOOKUP(A31,Revisión!$A$2:$L$703,7,FALSE)</f>
        <v>#N/A</v>
      </c>
      <c r="J31" s="4" t="e">
        <f>VLOOKUP(A31,Revisión!$A$2:$L$703,8,FALSE)</f>
        <v>#N/A</v>
      </c>
      <c r="K31" s="4" t="e">
        <f>VLOOKUP(A31,Revisión!$A$2:$L$703,9,FALSE)</f>
        <v>#N/A</v>
      </c>
      <c r="L31" s="4" t="e">
        <f>VLOOKUP(A31,Revisión!$A$2:$L$703,10,FALSE)</f>
        <v>#N/A</v>
      </c>
      <c r="M31" s="18" t="e">
        <f>VLOOKUP(A31,Revisión!$A$2:$L$703,11,FALSE)</f>
        <v>#N/A</v>
      </c>
      <c r="N31" s="30" t="str">
        <f>IF(E31="Coinciden",D31,IF(E31="Revisar",VLOOKUP(A31,Revisión!$A$2:$L$703,12,FALSE),""))</f>
        <v>Aconitum japonicum</v>
      </c>
    </row>
    <row r="32" spans="1:14" x14ac:dyDescent="0.3">
      <c r="A32" t="s">
        <v>75</v>
      </c>
      <c r="B32" t="s">
        <v>76</v>
      </c>
      <c r="C32" t="s">
        <v>76</v>
      </c>
      <c r="D32" t="s">
        <v>76</v>
      </c>
      <c r="E32" t="s">
        <v>18</v>
      </c>
      <c r="F32" t="s">
        <v>19</v>
      </c>
      <c r="H32" s="23" t="e">
        <f>VLOOKUP(A32,Revisión!$A$2:$L$703,6,FALSE)</f>
        <v>#N/A</v>
      </c>
      <c r="I32" s="4" t="e">
        <f>VLOOKUP(A32,Revisión!$A$2:$L$703,7,FALSE)</f>
        <v>#N/A</v>
      </c>
      <c r="J32" s="4" t="e">
        <f>VLOOKUP(A32,Revisión!$A$2:$L$703,8,FALSE)</f>
        <v>#N/A</v>
      </c>
      <c r="K32" s="4" t="e">
        <f>VLOOKUP(A32,Revisión!$A$2:$L$703,9,FALSE)</f>
        <v>#N/A</v>
      </c>
      <c r="L32" s="4" t="e">
        <f>VLOOKUP(A32,Revisión!$A$2:$L$703,10,FALSE)</f>
        <v>#N/A</v>
      </c>
      <c r="M32" s="18" t="e">
        <f>VLOOKUP(A32,Revisión!$A$2:$L$703,11,FALSE)</f>
        <v>#N/A</v>
      </c>
      <c r="N32" s="30" t="str">
        <f>IF(E32="Coinciden",D32,IF(E32="Revisar",VLOOKUP(A32,Revisión!$A$2:$L$703,12,FALSE),""))</f>
        <v>Aconitum senanense</v>
      </c>
    </row>
    <row r="33" spans="1:14" x14ac:dyDescent="0.3">
      <c r="A33" t="s">
        <v>77</v>
      </c>
      <c r="B33" t="s">
        <v>78</v>
      </c>
      <c r="C33" t="s">
        <v>78</v>
      </c>
      <c r="D33" t="s">
        <v>78</v>
      </c>
      <c r="E33" t="s">
        <v>18</v>
      </c>
      <c r="F33" t="s">
        <v>19</v>
      </c>
      <c r="H33" s="23" t="e">
        <f>VLOOKUP(A33,Revisión!$A$2:$L$703,6,FALSE)</f>
        <v>#N/A</v>
      </c>
      <c r="I33" s="4" t="e">
        <f>VLOOKUP(A33,Revisión!$A$2:$L$703,7,FALSE)</f>
        <v>#N/A</v>
      </c>
      <c r="J33" s="4" t="e">
        <f>VLOOKUP(A33,Revisión!$A$2:$L$703,8,FALSE)</f>
        <v>#N/A</v>
      </c>
      <c r="K33" s="4" t="e">
        <f>VLOOKUP(A33,Revisión!$A$2:$L$703,9,FALSE)</f>
        <v>#N/A</v>
      </c>
      <c r="L33" s="4" t="e">
        <f>VLOOKUP(A33,Revisión!$A$2:$L$703,10,FALSE)</f>
        <v>#N/A</v>
      </c>
      <c r="M33" s="18" t="e">
        <f>VLOOKUP(A33,Revisión!$A$2:$L$703,11,FALSE)</f>
        <v>#N/A</v>
      </c>
      <c r="N33" s="30" t="str">
        <f>IF(E33="Coinciden",D33,IF(E33="Revisar",VLOOKUP(A33,Revisión!$A$2:$L$703,12,FALSE),""))</f>
        <v>Aconitum columbianum</v>
      </c>
    </row>
    <row r="34" spans="1:14" x14ac:dyDescent="0.3">
      <c r="A34" t="s">
        <v>79</v>
      </c>
      <c r="B34" t="s">
        <v>80</v>
      </c>
      <c r="C34" t="s">
        <v>80</v>
      </c>
      <c r="D34" t="s">
        <v>74</v>
      </c>
      <c r="E34" t="s">
        <v>8</v>
      </c>
      <c r="F34" t="s">
        <v>15</v>
      </c>
      <c r="H34" s="23" t="str">
        <f>VLOOKUP(A34,Revisión!$A$2:$L$703,6,FALSE)</f>
        <v>Aconitum japonicum subsp. japonicum</v>
      </c>
      <c r="I34" s="4" t="str">
        <f>VLOOKUP(A34,Revisión!$A$2:$L$703,7,FALSE)</f>
        <v>-</v>
      </c>
      <c r="J34" s="4" t="str">
        <f>VLOOKUP(A34,Revisión!$A$2:$L$703,8,FALSE)</f>
        <v>Aconitum japonicum subsp. japonicum</v>
      </c>
      <c r="K34" s="4" t="str">
        <f>VLOOKUP(A34,Revisión!$A$2:$L$703,9,FALSE)</f>
        <v>-</v>
      </c>
      <c r="L34" s="4" t="str">
        <f>VLOOKUP(A34,Revisión!$A$2:$L$703,10,FALSE)</f>
        <v>-</v>
      </c>
      <c r="M34" s="18">
        <f>VLOOKUP(A34,Revisión!$A$2:$L$703,11,FALSE)</f>
        <v>2</v>
      </c>
      <c r="N34" s="30" t="str">
        <f>IF(E34="Coinciden",D34,IF(E34="Revisar",VLOOKUP(A34,Revisión!$A$2:$L$703,12,FALSE),""))</f>
        <v>Aconitum japonicum subsp. japonicum</v>
      </c>
    </row>
    <row r="35" spans="1:14" x14ac:dyDescent="0.3">
      <c r="A35" t="s">
        <v>81</v>
      </c>
      <c r="C35" t="s">
        <v>82</v>
      </c>
      <c r="D35" t="s">
        <v>82</v>
      </c>
      <c r="E35" t="s">
        <v>8</v>
      </c>
      <c r="F35" t="s">
        <v>49</v>
      </c>
      <c r="H35" s="23" t="str">
        <f>VLOOKUP(A35,Revisión!$A$2:$L$703,6,FALSE)</f>
        <v>Actaea rubra</v>
      </c>
      <c r="I35" s="4" t="str">
        <f>VLOOKUP(A35,Revisión!$A$2:$L$703,7,FALSE)</f>
        <v>Actaea rubra</v>
      </c>
      <c r="J35" s="4" t="str">
        <f>VLOOKUP(A35,Revisión!$A$2:$L$703,8,FALSE)</f>
        <v>Actaea rubra</v>
      </c>
      <c r="K35" s="4" t="str">
        <f>VLOOKUP(A35,Revisión!$A$2:$L$703,9,FALSE)</f>
        <v>-</v>
      </c>
      <c r="L35" s="4" t="str">
        <f>VLOOKUP(A35,Revisión!$A$2:$L$703,10,FALSE)</f>
        <v>-</v>
      </c>
      <c r="M35" s="18">
        <f>VLOOKUP(A35,Revisión!$A$2:$L$703,11,FALSE)</f>
        <v>3</v>
      </c>
      <c r="N35" s="30" t="str">
        <f>IF(E35="Coinciden",D35,IF(E35="Revisar",VLOOKUP(A35,Revisión!$A$2:$L$703,12,FALSE),""))</f>
        <v>Actaea rubra</v>
      </c>
    </row>
    <row r="36" spans="1:14" x14ac:dyDescent="0.3">
      <c r="A36" t="s">
        <v>83</v>
      </c>
      <c r="B36" t="s">
        <v>84</v>
      </c>
      <c r="C36" t="s">
        <v>84</v>
      </c>
      <c r="D36" t="s">
        <v>84</v>
      </c>
      <c r="E36" t="s">
        <v>18</v>
      </c>
      <c r="F36" t="s">
        <v>19</v>
      </c>
      <c r="H36" s="23" t="e">
        <f>VLOOKUP(A36,Revisión!$A$2:$L$703,6,FALSE)</f>
        <v>#N/A</v>
      </c>
      <c r="I36" s="4" t="e">
        <f>VLOOKUP(A36,Revisión!$A$2:$L$703,7,FALSE)</f>
        <v>#N/A</v>
      </c>
      <c r="J36" s="4" t="e">
        <f>VLOOKUP(A36,Revisión!$A$2:$L$703,8,FALSE)</f>
        <v>#N/A</v>
      </c>
      <c r="K36" s="4" t="e">
        <f>VLOOKUP(A36,Revisión!$A$2:$L$703,9,FALSE)</f>
        <v>#N/A</v>
      </c>
      <c r="L36" s="4" t="e">
        <f>VLOOKUP(A36,Revisión!$A$2:$L$703,10,FALSE)</f>
        <v>#N/A</v>
      </c>
      <c r="M36" s="18" t="e">
        <f>VLOOKUP(A36,Revisión!$A$2:$L$703,11,FALSE)</f>
        <v>#N/A</v>
      </c>
      <c r="N36" s="30" t="str">
        <f>IF(E36="Coinciden",D36,IF(E36="Revisar",VLOOKUP(A36,Revisión!$A$2:$L$703,12,FALSE),""))</f>
        <v>Actinidia arguta</v>
      </c>
    </row>
    <row r="37" spans="1:14" x14ac:dyDescent="0.3">
      <c r="A37" t="s">
        <v>85</v>
      </c>
      <c r="B37" t="s">
        <v>86</v>
      </c>
      <c r="C37" t="s">
        <v>86</v>
      </c>
      <c r="D37" t="s">
        <v>86</v>
      </c>
      <c r="E37" t="s">
        <v>18</v>
      </c>
      <c r="F37" t="s">
        <v>19</v>
      </c>
      <c r="H37" s="23" t="e">
        <f>VLOOKUP(A37,Revisión!$A$2:$L$703,6,FALSE)</f>
        <v>#N/A</v>
      </c>
      <c r="I37" s="4" t="e">
        <f>VLOOKUP(A37,Revisión!$A$2:$L$703,7,FALSE)</f>
        <v>#N/A</v>
      </c>
      <c r="J37" s="4" t="e">
        <f>VLOOKUP(A37,Revisión!$A$2:$L$703,8,FALSE)</f>
        <v>#N/A</v>
      </c>
      <c r="K37" s="4" t="e">
        <f>VLOOKUP(A37,Revisión!$A$2:$L$703,9,FALSE)</f>
        <v>#N/A</v>
      </c>
      <c r="L37" s="4" t="e">
        <f>VLOOKUP(A37,Revisión!$A$2:$L$703,10,FALSE)</f>
        <v>#N/A</v>
      </c>
      <c r="M37" s="18" t="e">
        <f>VLOOKUP(A37,Revisión!$A$2:$L$703,11,FALSE)</f>
        <v>#N/A</v>
      </c>
      <c r="N37" s="30" t="str">
        <f>IF(E37="Coinciden",D37,IF(E37="Revisar",VLOOKUP(A37,Revisión!$A$2:$L$703,12,FALSE),""))</f>
        <v>Actinidia rufa</v>
      </c>
    </row>
    <row r="38" spans="1:14" x14ac:dyDescent="0.3">
      <c r="A38" t="s">
        <v>87</v>
      </c>
      <c r="B38" t="s">
        <v>88</v>
      </c>
      <c r="C38" t="s">
        <v>88</v>
      </c>
      <c r="D38" t="s">
        <v>88</v>
      </c>
      <c r="E38" t="s">
        <v>18</v>
      </c>
      <c r="F38" t="s">
        <v>19</v>
      </c>
      <c r="H38" s="23" t="e">
        <f>VLOOKUP(A38,Revisión!$A$2:$L$703,6,FALSE)</f>
        <v>#N/A</v>
      </c>
      <c r="I38" s="4" t="e">
        <f>VLOOKUP(A38,Revisión!$A$2:$L$703,7,FALSE)</f>
        <v>#N/A</v>
      </c>
      <c r="J38" s="4" t="e">
        <f>VLOOKUP(A38,Revisión!$A$2:$L$703,8,FALSE)</f>
        <v>#N/A</v>
      </c>
      <c r="K38" s="4" t="e">
        <f>VLOOKUP(A38,Revisión!$A$2:$L$703,9,FALSE)</f>
        <v>#N/A</v>
      </c>
      <c r="L38" s="4" t="e">
        <f>VLOOKUP(A38,Revisión!$A$2:$L$703,10,FALSE)</f>
        <v>#N/A</v>
      </c>
      <c r="M38" s="18" t="e">
        <f>VLOOKUP(A38,Revisión!$A$2:$L$703,11,FALSE)</f>
        <v>#N/A</v>
      </c>
      <c r="N38" s="30" t="str">
        <f>IF(E38="Coinciden",D38,IF(E38="Revisar",VLOOKUP(A38,Revisión!$A$2:$L$703,12,FALSE),""))</f>
        <v>Verbesina alternifolia</v>
      </c>
    </row>
    <row r="39" spans="1:14" x14ac:dyDescent="0.3">
      <c r="A39" t="s">
        <v>89</v>
      </c>
      <c r="C39" t="s">
        <v>90</v>
      </c>
      <c r="D39" t="s">
        <v>91</v>
      </c>
      <c r="E39" t="s">
        <v>8</v>
      </c>
      <c r="F39" t="s">
        <v>9</v>
      </c>
      <c r="H39" s="23" t="str">
        <f>VLOOKUP(A39,Revisión!$A$2:$L$703,6,FALSE)</f>
        <v>Adenocarpus foliolosus</v>
      </c>
      <c r="I39" s="4" t="str">
        <f>VLOOKUP(A39,Revisión!$A$2:$L$703,7,FALSE)</f>
        <v>Adenocarpus foliolosus</v>
      </c>
      <c r="J39" s="4" t="str">
        <f>VLOOKUP(A39,Revisión!$A$2:$L$703,8,FALSE)</f>
        <v>Adenocarpus foliolosus</v>
      </c>
      <c r="K39" s="4" t="str">
        <f>VLOOKUP(A39,Revisión!$A$2:$L$703,9,FALSE)</f>
        <v>-</v>
      </c>
      <c r="L39" s="4" t="str">
        <f>VLOOKUP(A39,Revisión!$A$2:$L$703,10,FALSE)</f>
        <v>-</v>
      </c>
      <c r="M39" s="18">
        <f>VLOOKUP(A39,Revisión!$A$2:$L$703,11,FALSE)</f>
        <v>3</v>
      </c>
      <c r="N39" s="30" t="str">
        <f>IF(E39="Coinciden",D39,IF(E39="Revisar",VLOOKUP(A39,Revisión!$A$2:$L$703,12,FALSE),""))</f>
        <v>Adenocarpus foliolosus</v>
      </c>
    </row>
    <row r="40" spans="1:14" x14ac:dyDescent="0.3">
      <c r="A40" t="s">
        <v>92</v>
      </c>
      <c r="B40" t="s">
        <v>93</v>
      </c>
      <c r="C40" t="s">
        <v>93</v>
      </c>
      <c r="D40" t="s">
        <v>93</v>
      </c>
      <c r="E40" t="s">
        <v>18</v>
      </c>
      <c r="F40" t="s">
        <v>19</v>
      </c>
      <c r="H40" s="23" t="e">
        <f>VLOOKUP(A40,Revisión!$A$2:$L$703,6,FALSE)</f>
        <v>#N/A</v>
      </c>
      <c r="I40" s="4" t="e">
        <f>VLOOKUP(A40,Revisión!$A$2:$L$703,7,FALSE)</f>
        <v>#N/A</v>
      </c>
      <c r="J40" s="4" t="e">
        <f>VLOOKUP(A40,Revisión!$A$2:$L$703,8,FALSE)</f>
        <v>#N/A</v>
      </c>
      <c r="K40" s="4" t="e">
        <f>VLOOKUP(A40,Revisión!$A$2:$L$703,9,FALSE)</f>
        <v>#N/A</v>
      </c>
      <c r="L40" s="4" t="e">
        <f>VLOOKUP(A40,Revisión!$A$2:$L$703,10,FALSE)</f>
        <v>#N/A</v>
      </c>
      <c r="M40" s="18" t="e">
        <f>VLOOKUP(A40,Revisión!$A$2:$L$703,11,FALSE)</f>
        <v>#N/A</v>
      </c>
      <c r="N40" s="30" t="str">
        <f>IF(E40="Coinciden",D40,IF(E40="Revisar",VLOOKUP(A40,Revisión!$A$2:$L$703,12,FALSE),""))</f>
        <v>Adenocarpus viscosus</v>
      </c>
    </row>
    <row r="41" spans="1:14" x14ac:dyDescent="0.3">
      <c r="A41" t="s">
        <v>94</v>
      </c>
      <c r="B41" t="s">
        <v>95</v>
      </c>
      <c r="C41" t="s">
        <v>95</v>
      </c>
      <c r="D41" t="s">
        <v>95</v>
      </c>
      <c r="E41" t="s">
        <v>18</v>
      </c>
      <c r="F41" t="s">
        <v>19</v>
      </c>
      <c r="H41" s="23" t="e">
        <f>VLOOKUP(A41,Revisión!$A$2:$L$703,6,FALSE)</f>
        <v>#N/A</v>
      </c>
      <c r="I41" s="4" t="e">
        <f>VLOOKUP(A41,Revisión!$A$2:$L$703,7,FALSE)</f>
        <v>#N/A</v>
      </c>
      <c r="J41" s="4" t="e">
        <f>VLOOKUP(A41,Revisión!$A$2:$L$703,8,FALSE)</f>
        <v>#N/A</v>
      </c>
      <c r="K41" s="4" t="e">
        <f>VLOOKUP(A41,Revisión!$A$2:$L$703,9,FALSE)</f>
        <v>#N/A</v>
      </c>
      <c r="L41" s="4" t="e">
        <f>VLOOKUP(A41,Revisión!$A$2:$L$703,10,FALSE)</f>
        <v>#N/A</v>
      </c>
      <c r="M41" s="18" t="e">
        <f>VLOOKUP(A41,Revisión!$A$2:$L$703,11,FALSE)</f>
        <v>#N/A</v>
      </c>
      <c r="N41" s="30" t="str">
        <f>IF(E41="Coinciden",D41,IF(E41="Revisar",VLOOKUP(A41,Revisión!$A$2:$L$703,12,FALSE),""))</f>
        <v>Adenocaulon himalaicum</v>
      </c>
    </row>
    <row r="42" spans="1:14" x14ac:dyDescent="0.3">
      <c r="A42" t="s">
        <v>96</v>
      </c>
      <c r="B42" t="s">
        <v>97</v>
      </c>
      <c r="C42" t="s">
        <v>97</v>
      </c>
      <c r="D42" t="s">
        <v>97</v>
      </c>
      <c r="E42" t="s">
        <v>18</v>
      </c>
      <c r="F42" t="s">
        <v>19</v>
      </c>
      <c r="H42" s="23" t="e">
        <f>VLOOKUP(A42,Revisión!$A$2:$L$703,6,FALSE)</f>
        <v>#N/A</v>
      </c>
      <c r="I42" s="4" t="e">
        <f>VLOOKUP(A42,Revisión!$A$2:$L$703,7,FALSE)</f>
        <v>#N/A</v>
      </c>
      <c r="J42" s="4" t="e">
        <f>VLOOKUP(A42,Revisión!$A$2:$L$703,8,FALSE)</f>
        <v>#N/A</v>
      </c>
      <c r="K42" s="4" t="e">
        <f>VLOOKUP(A42,Revisión!$A$2:$L$703,9,FALSE)</f>
        <v>#N/A</v>
      </c>
      <c r="L42" s="4" t="e">
        <f>VLOOKUP(A42,Revisión!$A$2:$L$703,10,FALSE)</f>
        <v>#N/A</v>
      </c>
      <c r="M42" s="18" t="e">
        <f>VLOOKUP(A42,Revisión!$A$2:$L$703,11,FALSE)</f>
        <v>#N/A</v>
      </c>
      <c r="N42" s="30" t="str">
        <f>IF(E42="Coinciden",D42,IF(E42="Revisar",VLOOKUP(A42,Revisión!$A$2:$L$703,12,FALSE),""))</f>
        <v>Adenophora triphylla</v>
      </c>
    </row>
    <row r="43" spans="1:14" x14ac:dyDescent="0.3">
      <c r="A43" t="s">
        <v>98</v>
      </c>
      <c r="B43" t="s">
        <v>99</v>
      </c>
      <c r="C43" t="s">
        <v>99</v>
      </c>
      <c r="D43" t="s">
        <v>99</v>
      </c>
      <c r="E43" t="s">
        <v>18</v>
      </c>
      <c r="F43" t="s">
        <v>19</v>
      </c>
      <c r="H43" s="23" t="e">
        <f>VLOOKUP(A43,Revisión!$A$2:$L$703,6,FALSE)</f>
        <v>#N/A</v>
      </c>
      <c r="I43" s="4" t="e">
        <f>VLOOKUP(A43,Revisión!$A$2:$L$703,7,FALSE)</f>
        <v>#N/A</v>
      </c>
      <c r="J43" s="4" t="e">
        <f>VLOOKUP(A43,Revisión!$A$2:$L$703,8,FALSE)</f>
        <v>#N/A</v>
      </c>
      <c r="K43" s="4" t="e">
        <f>VLOOKUP(A43,Revisión!$A$2:$L$703,9,FALSE)</f>
        <v>#N/A</v>
      </c>
      <c r="L43" s="4" t="e">
        <f>VLOOKUP(A43,Revisión!$A$2:$L$703,10,FALSE)</f>
        <v>#N/A</v>
      </c>
      <c r="M43" s="18" t="e">
        <f>VLOOKUP(A43,Revisión!$A$2:$L$703,11,FALSE)</f>
        <v>#N/A</v>
      </c>
      <c r="N43" s="30" t="str">
        <f>IF(E43="Coinciden",D43,IF(E43="Revisar",VLOOKUP(A43,Revisión!$A$2:$L$703,12,FALSE),""))</f>
        <v>Adesmia glomerula</v>
      </c>
    </row>
    <row r="44" spans="1:14" x14ac:dyDescent="0.3">
      <c r="A44" t="s">
        <v>100</v>
      </c>
      <c r="B44" t="s">
        <v>101</v>
      </c>
      <c r="C44" t="s">
        <v>101</v>
      </c>
      <c r="D44" t="s">
        <v>101</v>
      </c>
      <c r="E44" t="s">
        <v>18</v>
      </c>
      <c r="F44" t="s">
        <v>19</v>
      </c>
      <c r="H44" s="23" t="e">
        <f>VLOOKUP(A44,Revisión!$A$2:$L$703,6,FALSE)</f>
        <v>#N/A</v>
      </c>
      <c r="I44" s="4" t="e">
        <f>VLOOKUP(A44,Revisión!$A$2:$L$703,7,FALSE)</f>
        <v>#N/A</v>
      </c>
      <c r="J44" s="4" t="e">
        <f>VLOOKUP(A44,Revisión!$A$2:$L$703,8,FALSE)</f>
        <v>#N/A</v>
      </c>
      <c r="K44" s="4" t="e">
        <f>VLOOKUP(A44,Revisión!$A$2:$L$703,9,FALSE)</f>
        <v>#N/A</v>
      </c>
      <c r="L44" s="4" t="e">
        <f>VLOOKUP(A44,Revisión!$A$2:$L$703,10,FALSE)</f>
        <v>#N/A</v>
      </c>
      <c r="M44" s="18" t="e">
        <f>VLOOKUP(A44,Revisión!$A$2:$L$703,11,FALSE)</f>
        <v>#N/A</v>
      </c>
      <c r="N44" s="30" t="str">
        <f>IF(E44="Coinciden",D44,IF(E44="Revisar",VLOOKUP(A44,Revisión!$A$2:$L$703,12,FALSE),""))</f>
        <v>Adesmia aconcaguensis</v>
      </c>
    </row>
    <row r="45" spans="1:14" x14ac:dyDescent="0.3">
      <c r="A45" t="s">
        <v>102</v>
      </c>
      <c r="C45" t="s">
        <v>103</v>
      </c>
      <c r="D45" t="s">
        <v>103</v>
      </c>
      <c r="E45" t="s">
        <v>8</v>
      </c>
      <c r="F45" t="s">
        <v>49</v>
      </c>
      <c r="H45" s="23" t="str">
        <f>VLOOKUP(A45,Revisión!$A$2:$L$703,6,FALSE)</f>
        <v>Adesmia brachysemeon</v>
      </c>
      <c r="I45" s="4" t="str">
        <f>VLOOKUP(A45,Revisión!$A$2:$L$703,7,FALSE)</f>
        <v>Adesmia brachysemeon</v>
      </c>
      <c r="J45" s="4" t="str">
        <f>VLOOKUP(A45,Revisión!$A$2:$L$703,8,FALSE)</f>
        <v>Adesmia brachysemeon</v>
      </c>
      <c r="K45" s="4" t="str">
        <f>VLOOKUP(A45,Revisión!$A$2:$L$703,9,FALSE)</f>
        <v>-</v>
      </c>
      <c r="L45" s="4" t="str">
        <f>VLOOKUP(A45,Revisión!$A$2:$L$703,10,FALSE)</f>
        <v>-</v>
      </c>
      <c r="M45" s="18">
        <f>VLOOKUP(A45,Revisión!$A$2:$L$703,11,FALSE)</f>
        <v>3</v>
      </c>
      <c r="N45" s="30" t="str">
        <f>IF(E45="Coinciden",D45,IF(E45="Revisar",VLOOKUP(A45,Revisión!$A$2:$L$703,12,FALSE),""))</f>
        <v>Adesmia brachysemeon</v>
      </c>
    </row>
    <row r="46" spans="1:14" x14ac:dyDescent="0.3">
      <c r="A46" t="s">
        <v>104</v>
      </c>
      <c r="B46" t="s">
        <v>105</v>
      </c>
      <c r="C46" t="s">
        <v>105</v>
      </c>
      <c r="D46" t="s">
        <v>105</v>
      </c>
      <c r="E46" t="s">
        <v>18</v>
      </c>
      <c r="F46" t="s">
        <v>19</v>
      </c>
      <c r="H46" s="23" t="e">
        <f>VLOOKUP(A46,Revisión!$A$2:$L$703,6,FALSE)</f>
        <v>#N/A</v>
      </c>
      <c r="I46" s="4" t="e">
        <f>VLOOKUP(A46,Revisión!$A$2:$L$703,7,FALSE)</f>
        <v>#N/A</v>
      </c>
      <c r="J46" s="4" t="e">
        <f>VLOOKUP(A46,Revisión!$A$2:$L$703,8,FALSE)</f>
        <v>#N/A</v>
      </c>
      <c r="K46" s="4" t="e">
        <f>VLOOKUP(A46,Revisión!$A$2:$L$703,9,FALSE)</f>
        <v>#N/A</v>
      </c>
      <c r="L46" s="4" t="e">
        <f>VLOOKUP(A46,Revisión!$A$2:$L$703,10,FALSE)</f>
        <v>#N/A</v>
      </c>
      <c r="M46" s="18" t="e">
        <f>VLOOKUP(A46,Revisión!$A$2:$L$703,11,FALSE)</f>
        <v>#N/A</v>
      </c>
      <c r="N46" s="30" t="str">
        <f>IF(E46="Coinciden",D46,IF(E46="Revisar",VLOOKUP(A46,Revisión!$A$2:$L$703,12,FALSE),""))</f>
        <v>Adesmia conferta</v>
      </c>
    </row>
    <row r="47" spans="1:14" x14ac:dyDescent="0.3">
      <c r="A47" t="s">
        <v>106</v>
      </c>
      <c r="B47" t="s">
        <v>107</v>
      </c>
      <c r="C47" t="s">
        <v>107</v>
      </c>
      <c r="D47" t="s">
        <v>107</v>
      </c>
      <c r="E47" t="s">
        <v>18</v>
      </c>
      <c r="F47" t="s">
        <v>19</v>
      </c>
      <c r="H47" s="23" t="e">
        <f>VLOOKUP(A47,Revisión!$A$2:$L$703,6,FALSE)</f>
        <v>#N/A</v>
      </c>
      <c r="I47" s="4" t="e">
        <f>VLOOKUP(A47,Revisión!$A$2:$L$703,7,FALSE)</f>
        <v>#N/A</v>
      </c>
      <c r="J47" s="4" t="e">
        <f>VLOOKUP(A47,Revisión!$A$2:$L$703,8,FALSE)</f>
        <v>#N/A</v>
      </c>
      <c r="K47" s="4" t="e">
        <f>VLOOKUP(A47,Revisión!$A$2:$L$703,9,FALSE)</f>
        <v>#N/A</v>
      </c>
      <c r="L47" s="4" t="e">
        <f>VLOOKUP(A47,Revisión!$A$2:$L$703,10,FALSE)</f>
        <v>#N/A</v>
      </c>
      <c r="M47" s="18" t="e">
        <f>VLOOKUP(A47,Revisión!$A$2:$L$703,11,FALSE)</f>
        <v>#N/A</v>
      </c>
      <c r="N47" s="30" t="str">
        <f>IF(E47="Coinciden",D47,IF(E47="Revisar",VLOOKUP(A47,Revisión!$A$2:$L$703,12,FALSE),""))</f>
        <v>Adesmia exilis</v>
      </c>
    </row>
    <row r="48" spans="1:14" x14ac:dyDescent="0.3">
      <c r="A48" t="s">
        <v>108</v>
      </c>
      <c r="B48" t="s">
        <v>109</v>
      </c>
      <c r="C48" t="s">
        <v>109</v>
      </c>
      <c r="D48" t="s">
        <v>109</v>
      </c>
      <c r="E48" t="s">
        <v>18</v>
      </c>
      <c r="F48" t="s">
        <v>19</v>
      </c>
      <c r="H48" s="23" t="e">
        <f>VLOOKUP(A48,Revisión!$A$2:$L$703,6,FALSE)</f>
        <v>#N/A</v>
      </c>
      <c r="I48" s="4" t="e">
        <f>VLOOKUP(A48,Revisión!$A$2:$L$703,7,FALSE)</f>
        <v>#N/A</v>
      </c>
      <c r="J48" s="4" t="e">
        <f>VLOOKUP(A48,Revisión!$A$2:$L$703,8,FALSE)</f>
        <v>#N/A</v>
      </c>
      <c r="K48" s="4" t="e">
        <f>VLOOKUP(A48,Revisión!$A$2:$L$703,9,FALSE)</f>
        <v>#N/A</v>
      </c>
      <c r="L48" s="4" t="e">
        <f>VLOOKUP(A48,Revisión!$A$2:$L$703,10,FALSE)</f>
        <v>#N/A</v>
      </c>
      <c r="M48" s="18" t="e">
        <f>VLOOKUP(A48,Revisión!$A$2:$L$703,11,FALSE)</f>
        <v>#N/A</v>
      </c>
      <c r="N48" s="30" t="str">
        <f>IF(E48="Coinciden",D48,IF(E48="Revisar",VLOOKUP(A48,Revisión!$A$2:$L$703,12,FALSE),""))</f>
        <v>Adesmia papposa var. radicifolia</v>
      </c>
    </row>
    <row r="49" spans="1:14" x14ac:dyDescent="0.3">
      <c r="A49" t="s">
        <v>110</v>
      </c>
      <c r="B49" t="s">
        <v>111</v>
      </c>
      <c r="C49" t="s">
        <v>111</v>
      </c>
      <c r="D49" t="s">
        <v>111</v>
      </c>
      <c r="E49" t="s">
        <v>18</v>
      </c>
      <c r="F49" t="s">
        <v>19</v>
      </c>
      <c r="H49" s="23" t="e">
        <f>VLOOKUP(A49,Revisión!$A$2:$L$703,6,FALSE)</f>
        <v>#N/A</v>
      </c>
      <c r="I49" s="4" t="e">
        <f>VLOOKUP(A49,Revisión!$A$2:$L$703,7,FALSE)</f>
        <v>#N/A</v>
      </c>
      <c r="J49" s="4" t="e">
        <f>VLOOKUP(A49,Revisión!$A$2:$L$703,8,FALSE)</f>
        <v>#N/A</v>
      </c>
      <c r="K49" s="4" t="e">
        <f>VLOOKUP(A49,Revisión!$A$2:$L$703,9,FALSE)</f>
        <v>#N/A</v>
      </c>
      <c r="L49" s="4" t="e">
        <f>VLOOKUP(A49,Revisión!$A$2:$L$703,10,FALSE)</f>
        <v>#N/A</v>
      </c>
      <c r="M49" s="18" t="e">
        <f>VLOOKUP(A49,Revisión!$A$2:$L$703,11,FALSE)</f>
        <v>#N/A</v>
      </c>
      <c r="N49" s="30" t="str">
        <f>IF(E49="Coinciden",D49,IF(E49="Revisar",VLOOKUP(A49,Revisión!$A$2:$L$703,12,FALSE),""))</f>
        <v>Adesmia montana</v>
      </c>
    </row>
    <row r="50" spans="1:14" x14ac:dyDescent="0.3">
      <c r="A50" t="s">
        <v>112</v>
      </c>
      <c r="B50" t="s">
        <v>113</v>
      </c>
      <c r="C50" t="s">
        <v>113</v>
      </c>
      <c r="D50" t="s">
        <v>113</v>
      </c>
      <c r="E50" t="s">
        <v>18</v>
      </c>
      <c r="F50" t="s">
        <v>19</v>
      </c>
      <c r="H50" s="23" t="e">
        <f>VLOOKUP(A50,Revisión!$A$2:$L$703,6,FALSE)</f>
        <v>#N/A</v>
      </c>
      <c r="I50" s="4" t="e">
        <f>VLOOKUP(A50,Revisión!$A$2:$L$703,7,FALSE)</f>
        <v>#N/A</v>
      </c>
      <c r="J50" s="4" t="e">
        <f>VLOOKUP(A50,Revisión!$A$2:$L$703,8,FALSE)</f>
        <v>#N/A</v>
      </c>
      <c r="K50" s="4" t="e">
        <f>VLOOKUP(A50,Revisión!$A$2:$L$703,9,FALSE)</f>
        <v>#N/A</v>
      </c>
      <c r="L50" s="4" t="e">
        <f>VLOOKUP(A50,Revisión!$A$2:$L$703,10,FALSE)</f>
        <v>#N/A</v>
      </c>
      <c r="M50" s="18" t="e">
        <f>VLOOKUP(A50,Revisión!$A$2:$L$703,11,FALSE)</f>
        <v>#N/A</v>
      </c>
      <c r="N50" s="30" t="str">
        <f>IF(E50="Coinciden",D50,IF(E50="Revisar",VLOOKUP(A50,Revisión!$A$2:$L$703,12,FALSE),""))</f>
        <v>Adesmia incana</v>
      </c>
    </row>
    <row r="51" spans="1:14" x14ac:dyDescent="0.3">
      <c r="A51" t="s">
        <v>114</v>
      </c>
      <c r="C51" t="s">
        <v>115</v>
      </c>
      <c r="D51" t="s">
        <v>115</v>
      </c>
      <c r="E51" t="s">
        <v>8</v>
      </c>
      <c r="F51" t="s">
        <v>49</v>
      </c>
      <c r="H51" s="23" t="str">
        <f>VLOOKUP(A51,Revisión!$A$2:$L$703,6,FALSE)</f>
        <v>Adesmia hemisphaerica</v>
      </c>
      <c r="I51" s="4" t="str">
        <f>VLOOKUP(A51,Revisión!$A$2:$L$703,7,FALSE)</f>
        <v>Adesmia hemisphaerica</v>
      </c>
      <c r="J51" s="4" t="str">
        <f>VLOOKUP(A51,Revisión!$A$2:$L$703,8,FALSE)</f>
        <v>Adesmia hemisphaerica</v>
      </c>
      <c r="K51" s="4" t="str">
        <f>VLOOKUP(A51,Revisión!$A$2:$L$703,9,FALSE)</f>
        <v>-</v>
      </c>
      <c r="L51" s="4" t="str">
        <f>VLOOKUP(A51,Revisión!$A$2:$L$703,10,FALSE)</f>
        <v>-</v>
      </c>
      <c r="M51" s="18">
        <f>VLOOKUP(A51,Revisión!$A$2:$L$703,11,FALSE)</f>
        <v>3</v>
      </c>
      <c r="N51" s="30" t="str">
        <f>IF(E51="Coinciden",D51,IF(E51="Revisar",VLOOKUP(A51,Revisión!$A$2:$L$703,12,FALSE),""))</f>
        <v>Adesmia hemisphaerica</v>
      </c>
    </row>
    <row r="52" spans="1:14" x14ac:dyDescent="0.3">
      <c r="A52" t="s">
        <v>116</v>
      </c>
      <c r="B52" t="s">
        <v>117</v>
      </c>
      <c r="C52" t="s">
        <v>117</v>
      </c>
      <c r="D52" t="s">
        <v>117</v>
      </c>
      <c r="E52" t="s">
        <v>18</v>
      </c>
      <c r="F52" t="s">
        <v>19</v>
      </c>
      <c r="H52" s="23" t="e">
        <f>VLOOKUP(A52,Revisión!$A$2:$L$703,6,FALSE)</f>
        <v>#N/A</v>
      </c>
      <c r="I52" s="4" t="e">
        <f>VLOOKUP(A52,Revisión!$A$2:$L$703,7,FALSE)</f>
        <v>#N/A</v>
      </c>
      <c r="J52" s="4" t="e">
        <f>VLOOKUP(A52,Revisión!$A$2:$L$703,8,FALSE)</f>
        <v>#N/A</v>
      </c>
      <c r="K52" s="4" t="e">
        <f>VLOOKUP(A52,Revisión!$A$2:$L$703,9,FALSE)</f>
        <v>#N/A</v>
      </c>
      <c r="L52" s="4" t="e">
        <f>VLOOKUP(A52,Revisión!$A$2:$L$703,10,FALSE)</f>
        <v>#N/A</v>
      </c>
      <c r="M52" s="18" t="e">
        <f>VLOOKUP(A52,Revisión!$A$2:$L$703,11,FALSE)</f>
        <v>#N/A</v>
      </c>
      <c r="N52" s="30" t="str">
        <f>IF(E52="Coinciden",D52,IF(E52="Revisar",VLOOKUP(A52,Revisión!$A$2:$L$703,12,FALSE),""))</f>
        <v>Adesmia capitellata</v>
      </c>
    </row>
    <row r="53" spans="1:14" x14ac:dyDescent="0.3">
      <c r="A53" t="s">
        <v>118</v>
      </c>
      <c r="B53" t="s">
        <v>119</v>
      </c>
      <c r="C53" t="s">
        <v>119</v>
      </c>
      <c r="D53" t="s">
        <v>119</v>
      </c>
      <c r="E53" t="s">
        <v>18</v>
      </c>
      <c r="F53" t="s">
        <v>19</v>
      </c>
      <c r="H53" s="23" t="e">
        <f>VLOOKUP(A53,Revisión!$A$2:$L$703,6,FALSE)</f>
        <v>#N/A</v>
      </c>
      <c r="I53" s="4" t="e">
        <f>VLOOKUP(A53,Revisión!$A$2:$L$703,7,FALSE)</f>
        <v>#N/A</v>
      </c>
      <c r="J53" s="4" t="e">
        <f>VLOOKUP(A53,Revisión!$A$2:$L$703,8,FALSE)</f>
        <v>#N/A</v>
      </c>
      <c r="K53" s="4" t="e">
        <f>VLOOKUP(A53,Revisión!$A$2:$L$703,9,FALSE)</f>
        <v>#N/A</v>
      </c>
      <c r="L53" s="4" t="e">
        <f>VLOOKUP(A53,Revisión!$A$2:$L$703,10,FALSE)</f>
        <v>#N/A</v>
      </c>
      <c r="M53" s="18" t="e">
        <f>VLOOKUP(A53,Revisión!$A$2:$L$703,11,FALSE)</f>
        <v>#N/A</v>
      </c>
      <c r="N53" s="30" t="str">
        <f>IF(E53="Coinciden",D53,IF(E53="Revisar",VLOOKUP(A53,Revisión!$A$2:$L$703,12,FALSE),""))</f>
        <v>Adesmia retrofracta</v>
      </c>
    </row>
    <row r="54" spans="1:14" x14ac:dyDescent="0.3">
      <c r="A54" t="s">
        <v>120</v>
      </c>
      <c r="B54" t="s">
        <v>121</v>
      </c>
      <c r="D54" t="s">
        <v>121</v>
      </c>
      <c r="E54" t="s">
        <v>8</v>
      </c>
      <c r="F54" t="s">
        <v>34</v>
      </c>
      <c r="H54" s="23" t="str">
        <f>VLOOKUP(A54,Revisión!$A$2:$L$703,6,FALSE)</f>
        <v>Aechmea paniculigera</v>
      </c>
      <c r="I54" s="4" t="str">
        <f>VLOOKUP(A54,Revisión!$A$2:$L$703,7,FALSE)</f>
        <v>Aechmea paniculigera</v>
      </c>
      <c r="J54" s="4" t="str">
        <f>VLOOKUP(A54,Revisión!$A$2:$L$703,8,FALSE)</f>
        <v>Aechmea paniculigera</v>
      </c>
      <c r="K54" s="4" t="str">
        <f>VLOOKUP(A54,Revisión!$A$2:$L$703,9,FALSE)</f>
        <v>-</v>
      </c>
      <c r="L54" s="4" t="str">
        <f>VLOOKUP(A54,Revisión!$A$2:$L$703,10,FALSE)</f>
        <v>-</v>
      </c>
      <c r="M54" s="18">
        <f>VLOOKUP(A54,Revisión!$A$2:$L$703,11,FALSE)</f>
        <v>3</v>
      </c>
      <c r="N54" s="30" t="str">
        <f>IF(E54="Coinciden",D54,IF(E54="Revisar",VLOOKUP(A54,Revisión!$A$2:$L$703,12,FALSE),""))</f>
        <v>Aechmea paniculigera</v>
      </c>
    </row>
    <row r="55" spans="1:14" x14ac:dyDescent="0.3">
      <c r="A55" t="s">
        <v>122</v>
      </c>
      <c r="B55" t="s">
        <v>123</v>
      </c>
      <c r="C55" t="s">
        <v>123</v>
      </c>
      <c r="D55" t="s">
        <v>123</v>
      </c>
      <c r="E55" t="s">
        <v>18</v>
      </c>
      <c r="F55" t="s">
        <v>19</v>
      </c>
      <c r="H55" s="23" t="e">
        <f>VLOOKUP(A55,Revisión!$A$2:$L$703,6,FALSE)</f>
        <v>#N/A</v>
      </c>
      <c r="I55" s="4" t="e">
        <f>VLOOKUP(A55,Revisión!$A$2:$L$703,7,FALSE)</f>
        <v>#N/A</v>
      </c>
      <c r="J55" s="4" t="e">
        <f>VLOOKUP(A55,Revisión!$A$2:$L$703,8,FALSE)</f>
        <v>#N/A</v>
      </c>
      <c r="K55" s="4" t="e">
        <f>VLOOKUP(A55,Revisión!$A$2:$L$703,9,FALSE)</f>
        <v>#N/A</v>
      </c>
      <c r="L55" s="4" t="e">
        <f>VLOOKUP(A55,Revisión!$A$2:$L$703,10,FALSE)</f>
        <v>#N/A</v>
      </c>
      <c r="M55" s="18" t="e">
        <f>VLOOKUP(A55,Revisión!$A$2:$L$703,11,FALSE)</f>
        <v>#N/A</v>
      </c>
      <c r="N55" s="30" t="str">
        <f>IF(E55="Coinciden",D55,IF(E55="Revisar",VLOOKUP(A55,Revisión!$A$2:$L$703,12,FALSE),""))</f>
        <v>Aechmea bromeliifolia</v>
      </c>
    </row>
    <row r="56" spans="1:14" x14ac:dyDescent="0.3">
      <c r="A56" t="s">
        <v>124</v>
      </c>
      <c r="B56" t="s">
        <v>125</v>
      </c>
      <c r="C56" t="s">
        <v>125</v>
      </c>
      <c r="D56" t="s">
        <v>125</v>
      </c>
      <c r="E56" t="s">
        <v>18</v>
      </c>
      <c r="F56" t="s">
        <v>19</v>
      </c>
      <c r="H56" s="23" t="e">
        <f>VLOOKUP(A56,Revisión!$A$2:$L$703,6,FALSE)</f>
        <v>#N/A</v>
      </c>
      <c r="I56" s="4" t="e">
        <f>VLOOKUP(A56,Revisión!$A$2:$L$703,7,FALSE)</f>
        <v>#N/A</v>
      </c>
      <c r="J56" s="4" t="e">
        <f>VLOOKUP(A56,Revisión!$A$2:$L$703,8,FALSE)</f>
        <v>#N/A</v>
      </c>
      <c r="K56" s="4" t="e">
        <f>VLOOKUP(A56,Revisión!$A$2:$L$703,9,FALSE)</f>
        <v>#N/A</v>
      </c>
      <c r="L56" s="4" t="e">
        <f>VLOOKUP(A56,Revisión!$A$2:$L$703,10,FALSE)</f>
        <v>#N/A</v>
      </c>
      <c r="M56" s="18" t="e">
        <f>VLOOKUP(A56,Revisión!$A$2:$L$703,11,FALSE)</f>
        <v>#N/A</v>
      </c>
      <c r="N56" s="30" t="str">
        <f>IF(E56="Coinciden",D56,IF(E56="Revisar",VLOOKUP(A56,Revisión!$A$2:$L$703,12,FALSE),""))</f>
        <v>Wittmackia lingulata</v>
      </c>
    </row>
    <row r="57" spans="1:14" x14ac:dyDescent="0.3">
      <c r="A57" t="s">
        <v>126</v>
      </c>
      <c r="B57" t="s">
        <v>127</v>
      </c>
      <c r="C57" t="s">
        <v>127</v>
      </c>
      <c r="D57" t="s">
        <v>127</v>
      </c>
      <c r="E57" t="s">
        <v>18</v>
      </c>
      <c r="F57" t="s">
        <v>19</v>
      </c>
      <c r="H57" s="23" t="e">
        <f>VLOOKUP(A57,Revisión!$A$2:$L$703,6,FALSE)</f>
        <v>#N/A</v>
      </c>
      <c r="I57" s="4" t="e">
        <f>VLOOKUP(A57,Revisión!$A$2:$L$703,7,FALSE)</f>
        <v>#N/A</v>
      </c>
      <c r="J57" s="4" t="e">
        <f>VLOOKUP(A57,Revisión!$A$2:$L$703,8,FALSE)</f>
        <v>#N/A</v>
      </c>
      <c r="K57" s="4" t="e">
        <f>VLOOKUP(A57,Revisión!$A$2:$L$703,9,FALSE)</f>
        <v>#N/A</v>
      </c>
      <c r="L57" s="4" t="e">
        <f>VLOOKUP(A57,Revisión!$A$2:$L$703,10,FALSE)</f>
        <v>#N/A</v>
      </c>
      <c r="M57" s="18" t="e">
        <f>VLOOKUP(A57,Revisión!$A$2:$L$703,11,FALSE)</f>
        <v>#N/A</v>
      </c>
      <c r="N57" s="30" t="str">
        <f>IF(E57="Coinciden",D57,IF(E57="Revisar",VLOOKUP(A57,Revisión!$A$2:$L$703,12,FALSE),""))</f>
        <v>Aechmea cylindrata</v>
      </c>
    </row>
    <row r="58" spans="1:14" x14ac:dyDescent="0.3">
      <c r="A58" t="s">
        <v>128</v>
      </c>
      <c r="B58" t="s">
        <v>129</v>
      </c>
      <c r="C58" t="s">
        <v>129</v>
      </c>
      <c r="D58" t="s">
        <v>129</v>
      </c>
      <c r="E58" t="s">
        <v>18</v>
      </c>
      <c r="F58" t="s">
        <v>19</v>
      </c>
      <c r="H58" s="23" t="e">
        <f>VLOOKUP(A58,Revisión!$A$2:$L$703,6,FALSE)</f>
        <v>#N/A</v>
      </c>
      <c r="I58" s="4" t="e">
        <f>VLOOKUP(A58,Revisión!$A$2:$L$703,7,FALSE)</f>
        <v>#N/A</v>
      </c>
      <c r="J58" s="4" t="e">
        <f>VLOOKUP(A58,Revisión!$A$2:$L$703,8,FALSE)</f>
        <v>#N/A</v>
      </c>
      <c r="K58" s="4" t="e">
        <f>VLOOKUP(A58,Revisión!$A$2:$L$703,9,FALSE)</f>
        <v>#N/A</v>
      </c>
      <c r="L58" s="4" t="e">
        <f>VLOOKUP(A58,Revisión!$A$2:$L$703,10,FALSE)</f>
        <v>#N/A</v>
      </c>
      <c r="M58" s="18" t="e">
        <f>VLOOKUP(A58,Revisión!$A$2:$L$703,11,FALSE)</f>
        <v>#N/A</v>
      </c>
      <c r="N58" s="30" t="str">
        <f>IF(E58="Coinciden",D58,IF(E58="Revisar",VLOOKUP(A58,Revisión!$A$2:$L$703,12,FALSE),""))</f>
        <v>Aechmea mutica</v>
      </c>
    </row>
    <row r="59" spans="1:14" x14ac:dyDescent="0.3">
      <c r="A59" t="s">
        <v>130</v>
      </c>
      <c r="B59" t="s">
        <v>131</v>
      </c>
      <c r="C59" t="s">
        <v>131</v>
      </c>
      <c r="D59" t="s">
        <v>131</v>
      </c>
      <c r="E59" t="s">
        <v>18</v>
      </c>
      <c r="F59" t="s">
        <v>19</v>
      </c>
      <c r="H59" s="23" t="e">
        <f>VLOOKUP(A59,Revisión!$A$2:$L$703,6,FALSE)</f>
        <v>#N/A</v>
      </c>
      <c r="I59" s="4" t="e">
        <f>VLOOKUP(A59,Revisión!$A$2:$L$703,7,FALSE)</f>
        <v>#N/A</v>
      </c>
      <c r="J59" s="4" t="e">
        <f>VLOOKUP(A59,Revisión!$A$2:$L$703,8,FALSE)</f>
        <v>#N/A</v>
      </c>
      <c r="K59" s="4" t="e">
        <f>VLOOKUP(A59,Revisión!$A$2:$L$703,9,FALSE)</f>
        <v>#N/A</v>
      </c>
      <c r="L59" s="4" t="e">
        <f>VLOOKUP(A59,Revisión!$A$2:$L$703,10,FALSE)</f>
        <v>#N/A</v>
      </c>
      <c r="M59" s="18" t="e">
        <f>VLOOKUP(A59,Revisión!$A$2:$L$703,11,FALSE)</f>
        <v>#N/A</v>
      </c>
      <c r="N59" s="30" t="str">
        <f>IF(E59="Coinciden",D59,IF(E59="Revisar",VLOOKUP(A59,Revisión!$A$2:$L$703,12,FALSE),""))</f>
        <v>Aechmea nudicaulis</v>
      </c>
    </row>
    <row r="60" spans="1:14" x14ac:dyDescent="0.3">
      <c r="A60" t="s">
        <v>132</v>
      </c>
      <c r="B60" t="s">
        <v>133</v>
      </c>
      <c r="C60" t="s">
        <v>133</v>
      </c>
      <c r="D60" t="s">
        <v>133</v>
      </c>
      <c r="E60" t="s">
        <v>18</v>
      </c>
      <c r="F60" t="s">
        <v>19</v>
      </c>
      <c r="H60" s="23" t="e">
        <f>VLOOKUP(A60,Revisión!$A$2:$L$703,6,FALSE)</f>
        <v>#N/A</v>
      </c>
      <c r="I60" s="4" t="e">
        <f>VLOOKUP(A60,Revisión!$A$2:$L$703,7,FALSE)</f>
        <v>#N/A</v>
      </c>
      <c r="J60" s="4" t="e">
        <f>VLOOKUP(A60,Revisión!$A$2:$L$703,8,FALSE)</f>
        <v>#N/A</v>
      </c>
      <c r="K60" s="4" t="e">
        <f>VLOOKUP(A60,Revisión!$A$2:$L$703,9,FALSE)</f>
        <v>#N/A</v>
      </c>
      <c r="L60" s="4" t="e">
        <f>VLOOKUP(A60,Revisión!$A$2:$L$703,10,FALSE)</f>
        <v>#N/A</v>
      </c>
      <c r="M60" s="18" t="e">
        <f>VLOOKUP(A60,Revisión!$A$2:$L$703,11,FALSE)</f>
        <v>#N/A</v>
      </c>
      <c r="N60" s="30" t="str">
        <f>IF(E60="Coinciden",D60,IF(E60="Revisar",VLOOKUP(A60,Revisión!$A$2:$L$703,12,FALSE),""))</f>
        <v>Aechmea pineliana</v>
      </c>
    </row>
    <row r="61" spans="1:14" x14ac:dyDescent="0.3">
      <c r="A61" t="s">
        <v>134</v>
      </c>
      <c r="B61" t="s">
        <v>135</v>
      </c>
      <c r="C61" t="s">
        <v>135</v>
      </c>
      <c r="D61" t="s">
        <v>135</v>
      </c>
      <c r="E61" t="s">
        <v>18</v>
      </c>
      <c r="F61" t="s">
        <v>19</v>
      </c>
      <c r="H61" s="23" t="e">
        <f>VLOOKUP(A61,Revisión!$A$2:$L$703,6,FALSE)</f>
        <v>#N/A</v>
      </c>
      <c r="I61" s="4" t="e">
        <f>VLOOKUP(A61,Revisión!$A$2:$L$703,7,FALSE)</f>
        <v>#N/A</v>
      </c>
      <c r="J61" s="4" t="e">
        <f>VLOOKUP(A61,Revisión!$A$2:$L$703,8,FALSE)</f>
        <v>#N/A</v>
      </c>
      <c r="K61" s="4" t="e">
        <f>VLOOKUP(A61,Revisión!$A$2:$L$703,9,FALSE)</f>
        <v>#N/A</v>
      </c>
      <c r="L61" s="4" t="e">
        <f>VLOOKUP(A61,Revisión!$A$2:$L$703,10,FALSE)</f>
        <v>#N/A</v>
      </c>
      <c r="M61" s="18" t="e">
        <f>VLOOKUP(A61,Revisión!$A$2:$L$703,11,FALSE)</f>
        <v>#N/A</v>
      </c>
      <c r="N61" s="30" t="str">
        <f>IF(E61="Coinciden",D61,IF(E61="Revisar",VLOOKUP(A61,Revisión!$A$2:$L$703,12,FALSE),""))</f>
        <v>Aechmea araneosa</v>
      </c>
    </row>
    <row r="62" spans="1:14" x14ac:dyDescent="0.3">
      <c r="A62" t="s">
        <v>136</v>
      </c>
      <c r="B62" t="s">
        <v>137</v>
      </c>
      <c r="C62" t="s">
        <v>137</v>
      </c>
      <c r="D62" t="s">
        <v>137</v>
      </c>
      <c r="E62" t="s">
        <v>18</v>
      </c>
      <c r="F62" t="s">
        <v>19</v>
      </c>
      <c r="H62" s="23" t="e">
        <f>VLOOKUP(A62,Revisión!$A$2:$L$703,6,FALSE)</f>
        <v>#N/A</v>
      </c>
      <c r="I62" s="4" t="e">
        <f>VLOOKUP(A62,Revisión!$A$2:$L$703,7,FALSE)</f>
        <v>#N/A</v>
      </c>
      <c r="J62" s="4" t="e">
        <f>VLOOKUP(A62,Revisión!$A$2:$L$703,8,FALSE)</f>
        <v>#N/A</v>
      </c>
      <c r="K62" s="4" t="e">
        <f>VLOOKUP(A62,Revisión!$A$2:$L$703,9,FALSE)</f>
        <v>#N/A</v>
      </c>
      <c r="L62" s="4" t="e">
        <f>VLOOKUP(A62,Revisión!$A$2:$L$703,10,FALSE)</f>
        <v>#N/A</v>
      </c>
      <c r="M62" s="18" t="e">
        <f>VLOOKUP(A62,Revisión!$A$2:$L$703,11,FALSE)</f>
        <v>#N/A</v>
      </c>
      <c r="N62" s="30" t="str">
        <f>IF(E62="Coinciden",D62,IF(E62="Revisar",VLOOKUP(A62,Revisión!$A$2:$L$703,12,FALSE),""))</f>
        <v>Aechmea triangularis</v>
      </c>
    </row>
    <row r="63" spans="1:14" x14ac:dyDescent="0.3">
      <c r="A63" t="s">
        <v>138</v>
      </c>
      <c r="B63" t="s">
        <v>139</v>
      </c>
      <c r="C63" t="s">
        <v>139</v>
      </c>
      <c r="D63" t="s">
        <v>139</v>
      </c>
      <c r="E63" t="s">
        <v>18</v>
      </c>
      <c r="F63" t="s">
        <v>19</v>
      </c>
      <c r="H63" s="23" t="e">
        <f>VLOOKUP(A63,Revisión!$A$2:$L$703,6,FALSE)</f>
        <v>#N/A</v>
      </c>
      <c r="I63" s="4" t="e">
        <f>VLOOKUP(A63,Revisión!$A$2:$L$703,7,FALSE)</f>
        <v>#N/A</v>
      </c>
      <c r="J63" s="4" t="e">
        <f>VLOOKUP(A63,Revisión!$A$2:$L$703,8,FALSE)</f>
        <v>#N/A</v>
      </c>
      <c r="K63" s="4" t="e">
        <f>VLOOKUP(A63,Revisión!$A$2:$L$703,9,FALSE)</f>
        <v>#N/A</v>
      </c>
      <c r="L63" s="4" t="e">
        <f>VLOOKUP(A63,Revisión!$A$2:$L$703,10,FALSE)</f>
        <v>#N/A</v>
      </c>
      <c r="M63" s="18" t="e">
        <f>VLOOKUP(A63,Revisión!$A$2:$L$703,11,FALSE)</f>
        <v>#N/A</v>
      </c>
      <c r="N63" s="30" t="str">
        <f>IF(E63="Coinciden",D63,IF(E63="Revisar",VLOOKUP(A63,Revisión!$A$2:$L$703,12,FALSE),""))</f>
        <v>Aechmea victoriana</v>
      </c>
    </row>
    <row r="64" spans="1:14" x14ac:dyDescent="0.3">
      <c r="A64" t="s">
        <v>140</v>
      </c>
      <c r="B64" t="s">
        <v>141</v>
      </c>
      <c r="C64" t="s">
        <v>141</v>
      </c>
      <c r="D64" t="s">
        <v>141</v>
      </c>
      <c r="E64" t="s">
        <v>18</v>
      </c>
      <c r="F64" t="s">
        <v>19</v>
      </c>
      <c r="H64" s="23" t="e">
        <f>VLOOKUP(A64,Revisión!$A$2:$L$703,6,FALSE)</f>
        <v>#N/A</v>
      </c>
      <c r="I64" s="4" t="e">
        <f>VLOOKUP(A64,Revisión!$A$2:$L$703,7,FALSE)</f>
        <v>#N/A</v>
      </c>
      <c r="J64" s="4" t="e">
        <f>VLOOKUP(A64,Revisión!$A$2:$L$703,8,FALSE)</f>
        <v>#N/A</v>
      </c>
      <c r="K64" s="4" t="e">
        <f>VLOOKUP(A64,Revisión!$A$2:$L$703,9,FALSE)</f>
        <v>#N/A</v>
      </c>
      <c r="L64" s="4" t="e">
        <f>VLOOKUP(A64,Revisión!$A$2:$L$703,10,FALSE)</f>
        <v>#N/A</v>
      </c>
      <c r="M64" s="18" t="e">
        <f>VLOOKUP(A64,Revisión!$A$2:$L$703,11,FALSE)</f>
        <v>#N/A</v>
      </c>
      <c r="N64" s="30" t="str">
        <f>IF(E64="Coinciden",D64,IF(E64="Revisar",VLOOKUP(A64,Revisión!$A$2:$L$703,12,FALSE),""))</f>
        <v>Aeginetia indica</v>
      </c>
    </row>
    <row r="65" spans="1:14" x14ac:dyDescent="0.3">
      <c r="A65" t="s">
        <v>142</v>
      </c>
      <c r="B65" t="s">
        <v>143</v>
      </c>
      <c r="C65" t="s">
        <v>143</v>
      </c>
      <c r="D65" t="s">
        <v>143</v>
      </c>
      <c r="E65" t="s">
        <v>18</v>
      </c>
      <c r="F65" t="s">
        <v>19</v>
      </c>
      <c r="H65" s="23" t="e">
        <f>VLOOKUP(A65,Revisión!$A$2:$L$703,6,FALSE)</f>
        <v>#N/A</v>
      </c>
      <c r="I65" s="4" t="e">
        <f>VLOOKUP(A65,Revisión!$A$2:$L$703,7,FALSE)</f>
        <v>#N/A</v>
      </c>
      <c r="J65" s="4" t="e">
        <f>VLOOKUP(A65,Revisión!$A$2:$L$703,8,FALSE)</f>
        <v>#N/A</v>
      </c>
      <c r="K65" s="4" t="e">
        <f>VLOOKUP(A65,Revisión!$A$2:$L$703,9,FALSE)</f>
        <v>#N/A</v>
      </c>
      <c r="L65" s="4" t="e">
        <f>VLOOKUP(A65,Revisión!$A$2:$L$703,10,FALSE)</f>
        <v>#N/A</v>
      </c>
      <c r="M65" s="18" t="e">
        <f>VLOOKUP(A65,Revisión!$A$2:$L$703,11,FALSE)</f>
        <v>#N/A</v>
      </c>
      <c r="N65" s="30" t="str">
        <f>IF(E65="Coinciden",D65,IF(E65="Revisar",VLOOKUP(A65,Revisión!$A$2:$L$703,12,FALSE),""))</f>
        <v>Aegopodium podagraria</v>
      </c>
    </row>
    <row r="66" spans="1:14" x14ac:dyDescent="0.3">
      <c r="A66" t="s">
        <v>144</v>
      </c>
      <c r="B66" t="s">
        <v>145</v>
      </c>
      <c r="C66" t="s">
        <v>145</v>
      </c>
      <c r="D66" t="s">
        <v>145</v>
      </c>
      <c r="E66" t="s">
        <v>18</v>
      </c>
      <c r="F66" t="s">
        <v>19</v>
      </c>
      <c r="H66" s="23" t="e">
        <f>VLOOKUP(A66,Revisión!$A$2:$L$703,6,FALSE)</f>
        <v>#N/A</v>
      </c>
      <c r="I66" s="4" t="e">
        <f>VLOOKUP(A66,Revisión!$A$2:$L$703,7,FALSE)</f>
        <v>#N/A</v>
      </c>
      <c r="J66" s="4" t="e">
        <f>VLOOKUP(A66,Revisión!$A$2:$L$703,8,FALSE)</f>
        <v>#N/A</v>
      </c>
      <c r="K66" s="4" t="e">
        <f>VLOOKUP(A66,Revisión!$A$2:$L$703,9,FALSE)</f>
        <v>#N/A</v>
      </c>
      <c r="L66" s="4" t="e">
        <f>VLOOKUP(A66,Revisión!$A$2:$L$703,10,FALSE)</f>
        <v>#N/A</v>
      </c>
      <c r="M66" s="18" t="e">
        <f>VLOOKUP(A66,Revisión!$A$2:$L$703,11,FALSE)</f>
        <v>#N/A</v>
      </c>
      <c r="N66" s="30" t="str">
        <f>IF(E66="Coinciden",D66,IF(E66="Revisar",VLOOKUP(A66,Revisión!$A$2:$L$703,12,FALSE),""))</f>
        <v>Aeschynomene pratensis</v>
      </c>
    </row>
    <row r="67" spans="1:14" x14ac:dyDescent="0.3">
      <c r="A67" t="s">
        <v>146</v>
      </c>
      <c r="B67" t="s">
        <v>147</v>
      </c>
      <c r="D67" t="s">
        <v>147</v>
      </c>
      <c r="E67" t="s">
        <v>8</v>
      </c>
      <c r="F67" t="s">
        <v>34</v>
      </c>
      <c r="H67" s="23" t="str">
        <f>VLOOKUP(A67,Revisión!$A$2:$L$703,6,FALSE)</f>
        <v>Aeschynomene indica</v>
      </c>
      <c r="I67" s="4" t="str">
        <f>VLOOKUP(A67,Revisión!$A$2:$L$703,7,FALSE)</f>
        <v>Aeschynomene indica</v>
      </c>
      <c r="J67" s="4" t="str">
        <f>VLOOKUP(A67,Revisión!$A$2:$L$703,8,FALSE)</f>
        <v>Aeschynomene indica</v>
      </c>
      <c r="K67" s="4" t="str">
        <f>VLOOKUP(A67,Revisión!$A$2:$L$703,9,FALSE)</f>
        <v>-</v>
      </c>
      <c r="L67" s="4" t="str">
        <f>VLOOKUP(A67,Revisión!$A$2:$L$703,10,FALSE)</f>
        <v>-</v>
      </c>
      <c r="M67" s="18">
        <f>VLOOKUP(A67,Revisión!$A$2:$L$703,11,FALSE)</f>
        <v>3</v>
      </c>
      <c r="N67" s="30" t="str">
        <f>IF(E67="Coinciden",D67,IF(E67="Revisar",VLOOKUP(A67,Revisión!$A$2:$L$703,12,FALSE),""))</f>
        <v>Aeschynomene indica</v>
      </c>
    </row>
    <row r="68" spans="1:14" x14ac:dyDescent="0.3">
      <c r="A68" t="s">
        <v>148</v>
      </c>
      <c r="B68" t="s">
        <v>149</v>
      </c>
      <c r="C68" t="s">
        <v>149</v>
      </c>
      <c r="D68" t="s">
        <v>149</v>
      </c>
      <c r="E68" t="s">
        <v>18</v>
      </c>
      <c r="F68" t="s">
        <v>19</v>
      </c>
      <c r="H68" s="23" t="e">
        <f>VLOOKUP(A68,Revisión!$A$2:$L$703,6,FALSE)</f>
        <v>#N/A</v>
      </c>
      <c r="I68" s="4" t="e">
        <f>VLOOKUP(A68,Revisión!$A$2:$L$703,7,FALSE)</f>
        <v>#N/A</v>
      </c>
      <c r="J68" s="4" t="e">
        <f>VLOOKUP(A68,Revisión!$A$2:$L$703,8,FALSE)</f>
        <v>#N/A</v>
      </c>
      <c r="K68" s="4" t="e">
        <f>VLOOKUP(A68,Revisión!$A$2:$L$703,9,FALSE)</f>
        <v>#N/A</v>
      </c>
      <c r="L68" s="4" t="e">
        <f>VLOOKUP(A68,Revisión!$A$2:$L$703,10,FALSE)</f>
        <v>#N/A</v>
      </c>
      <c r="M68" s="18" t="e">
        <f>VLOOKUP(A68,Revisión!$A$2:$L$703,11,FALSE)</f>
        <v>#N/A</v>
      </c>
      <c r="N68" s="30" t="str">
        <f>IF(E68="Coinciden",D68,IF(E68="Revisar",VLOOKUP(A68,Revisión!$A$2:$L$703,12,FALSE),""))</f>
        <v>Aesculus hippocastanum</v>
      </c>
    </row>
    <row r="69" spans="1:14" x14ac:dyDescent="0.3">
      <c r="A69" t="s">
        <v>150</v>
      </c>
      <c r="B69" t="s">
        <v>151</v>
      </c>
      <c r="C69" t="s">
        <v>151</v>
      </c>
      <c r="D69" t="s">
        <v>151</v>
      </c>
      <c r="E69" t="s">
        <v>18</v>
      </c>
      <c r="F69" t="s">
        <v>19</v>
      </c>
      <c r="H69" s="23" t="e">
        <f>VLOOKUP(A69,Revisión!$A$2:$L$703,6,FALSE)</f>
        <v>#N/A</v>
      </c>
      <c r="I69" s="4" t="e">
        <f>VLOOKUP(A69,Revisión!$A$2:$L$703,7,FALSE)</f>
        <v>#N/A</v>
      </c>
      <c r="J69" s="4" t="e">
        <f>VLOOKUP(A69,Revisión!$A$2:$L$703,8,FALSE)</f>
        <v>#N/A</v>
      </c>
      <c r="K69" s="4" t="e">
        <f>VLOOKUP(A69,Revisión!$A$2:$L$703,9,FALSE)</f>
        <v>#N/A</v>
      </c>
      <c r="L69" s="4" t="e">
        <f>VLOOKUP(A69,Revisión!$A$2:$L$703,10,FALSE)</f>
        <v>#N/A</v>
      </c>
      <c r="M69" s="18" t="e">
        <f>VLOOKUP(A69,Revisión!$A$2:$L$703,11,FALSE)</f>
        <v>#N/A</v>
      </c>
      <c r="N69" s="30" t="str">
        <f>IF(E69="Coinciden",D69,IF(E69="Revisar",VLOOKUP(A69,Revisión!$A$2:$L$703,12,FALSE),""))</f>
        <v>Aesculus glabra</v>
      </c>
    </row>
    <row r="70" spans="1:14" x14ac:dyDescent="0.3">
      <c r="A70" t="s">
        <v>152</v>
      </c>
      <c r="B70" t="s">
        <v>153</v>
      </c>
      <c r="C70" t="s">
        <v>153</v>
      </c>
      <c r="D70" t="s">
        <v>153</v>
      </c>
      <c r="E70" t="s">
        <v>18</v>
      </c>
      <c r="F70" t="s">
        <v>19</v>
      </c>
      <c r="H70" s="23" t="e">
        <f>VLOOKUP(A70,Revisión!$A$2:$L$703,6,FALSE)</f>
        <v>#N/A</v>
      </c>
      <c r="I70" s="4" t="e">
        <f>VLOOKUP(A70,Revisión!$A$2:$L$703,7,FALSE)</f>
        <v>#N/A</v>
      </c>
      <c r="J70" s="4" t="e">
        <f>VLOOKUP(A70,Revisión!$A$2:$L$703,8,FALSE)</f>
        <v>#N/A</v>
      </c>
      <c r="K70" s="4" t="e">
        <f>VLOOKUP(A70,Revisión!$A$2:$L$703,9,FALSE)</f>
        <v>#N/A</v>
      </c>
      <c r="L70" s="4" t="e">
        <f>VLOOKUP(A70,Revisión!$A$2:$L$703,10,FALSE)</f>
        <v>#N/A</v>
      </c>
      <c r="M70" s="18" t="e">
        <f>VLOOKUP(A70,Revisión!$A$2:$L$703,11,FALSE)</f>
        <v>#N/A</v>
      </c>
      <c r="N70" s="30" t="str">
        <f>IF(E70="Coinciden",D70,IF(E70="Revisar",VLOOKUP(A70,Revisión!$A$2:$L$703,12,FALSE),""))</f>
        <v>Aesculus sylvatica</v>
      </c>
    </row>
    <row r="71" spans="1:14" x14ac:dyDescent="0.3">
      <c r="A71" t="s">
        <v>154</v>
      </c>
      <c r="B71" t="s">
        <v>155</v>
      </c>
      <c r="C71" t="s">
        <v>155</v>
      </c>
      <c r="D71" t="s">
        <v>155</v>
      </c>
      <c r="E71" t="s">
        <v>18</v>
      </c>
      <c r="F71" t="s">
        <v>19</v>
      </c>
      <c r="H71" s="23" t="e">
        <f>VLOOKUP(A71,Revisión!$A$2:$L$703,6,FALSE)</f>
        <v>#N/A</v>
      </c>
      <c r="I71" s="4" t="e">
        <f>VLOOKUP(A71,Revisión!$A$2:$L$703,7,FALSE)</f>
        <v>#N/A</v>
      </c>
      <c r="J71" s="4" t="e">
        <f>VLOOKUP(A71,Revisión!$A$2:$L$703,8,FALSE)</f>
        <v>#N/A</v>
      </c>
      <c r="K71" s="4" t="e">
        <f>VLOOKUP(A71,Revisión!$A$2:$L$703,9,FALSE)</f>
        <v>#N/A</v>
      </c>
      <c r="L71" s="4" t="e">
        <f>VLOOKUP(A71,Revisión!$A$2:$L$703,10,FALSE)</f>
        <v>#N/A</v>
      </c>
      <c r="M71" s="18" t="e">
        <f>VLOOKUP(A71,Revisión!$A$2:$L$703,11,FALSE)</f>
        <v>#N/A</v>
      </c>
      <c r="N71" s="30" t="str">
        <f>IF(E71="Coinciden",D71,IF(E71="Revisar",VLOOKUP(A71,Revisión!$A$2:$L$703,12,FALSE),""))</f>
        <v>Aesculus turbinata</v>
      </c>
    </row>
    <row r="72" spans="1:14" x14ac:dyDescent="0.3">
      <c r="A72" t="s">
        <v>156</v>
      </c>
      <c r="E72" t="s">
        <v>8</v>
      </c>
      <c r="F72" t="s">
        <v>11</v>
      </c>
      <c r="H72" s="23" t="str">
        <f>VLOOKUP(A72,Revisión!$A$2:$L$703,6,FALSE)</f>
        <v>Aesculus × carnea</v>
      </c>
      <c r="I72" s="4" t="str">
        <f>VLOOKUP(A72,Revisión!$A$2:$L$703,7,FALSE)</f>
        <v>-</v>
      </c>
      <c r="J72" s="4" t="str">
        <f>VLOOKUP(A72,Revisión!$A$2:$L$703,8,FALSE)</f>
        <v>Aesculus × carnea</v>
      </c>
      <c r="K72" s="4" t="str">
        <f>VLOOKUP(A72,Revisión!$A$2:$L$703,9,FALSE)</f>
        <v>-</v>
      </c>
      <c r="L72" s="4" t="str">
        <f>VLOOKUP(A72,Revisión!$A$2:$L$703,10,FALSE)</f>
        <v>-</v>
      </c>
      <c r="M72" s="18">
        <f>VLOOKUP(A72,Revisión!$A$2:$L$703,11,FALSE)</f>
        <v>2</v>
      </c>
      <c r="N72" s="30" t="str">
        <f>IF(E72="Coinciden",D72,IF(E72="Revisar",VLOOKUP(A72,Revisión!$A$2:$L$703,12,FALSE),""))</f>
        <v>Aesculus × carnea</v>
      </c>
    </row>
    <row r="73" spans="1:14" x14ac:dyDescent="0.3">
      <c r="A73" t="s">
        <v>157</v>
      </c>
      <c r="C73" t="s">
        <v>158</v>
      </c>
      <c r="D73" t="s">
        <v>158</v>
      </c>
      <c r="E73" t="s">
        <v>8</v>
      </c>
      <c r="F73" t="s">
        <v>49</v>
      </c>
      <c r="H73" s="23" t="str">
        <f>VLOOKUP(A73,Revisión!$A$2:$L$703,6,FALSE)</f>
        <v>-</v>
      </c>
      <c r="I73" s="4" t="str">
        <f>VLOOKUP(A73,Revisión!$A$2:$L$703,7,FALSE)</f>
        <v>Sonchus bulbosus</v>
      </c>
      <c r="J73" s="4" t="str">
        <f>VLOOKUP(A73,Revisión!$A$2:$L$703,8,FALSE)</f>
        <v>Sonchus bulbosus</v>
      </c>
      <c r="K73" s="4" t="str">
        <f>VLOOKUP(A73,Revisión!$A$2:$L$703,9,FALSE)</f>
        <v>-</v>
      </c>
      <c r="L73" s="4" t="str">
        <f>VLOOKUP(A73,Revisión!$A$2:$L$703,10,FALSE)</f>
        <v>-</v>
      </c>
      <c r="M73" s="18">
        <f>VLOOKUP(A73,Revisión!$A$2:$L$703,11,FALSE)</f>
        <v>2</v>
      </c>
      <c r="N73" s="30" t="str">
        <f>IF(E73="Coinciden",D73,IF(E73="Revisar",VLOOKUP(A73,Revisión!$A$2:$L$703,12,FALSE),""))</f>
        <v>Sonchus bulbosus</v>
      </c>
    </row>
    <row r="74" spans="1:14" x14ac:dyDescent="0.3">
      <c r="A74" t="s">
        <v>159</v>
      </c>
      <c r="B74" t="s">
        <v>160</v>
      </c>
      <c r="C74" t="s">
        <v>160</v>
      </c>
      <c r="D74" t="s">
        <v>160</v>
      </c>
      <c r="E74" t="s">
        <v>18</v>
      </c>
      <c r="F74" t="s">
        <v>19</v>
      </c>
      <c r="H74" s="23" t="e">
        <f>VLOOKUP(A74,Revisión!$A$2:$L$703,6,FALSE)</f>
        <v>#N/A</v>
      </c>
      <c r="I74" s="4" t="e">
        <f>VLOOKUP(A74,Revisión!$A$2:$L$703,7,FALSE)</f>
        <v>#N/A</v>
      </c>
      <c r="J74" s="4" t="e">
        <f>VLOOKUP(A74,Revisión!$A$2:$L$703,8,FALSE)</f>
        <v>#N/A</v>
      </c>
      <c r="K74" s="4" t="e">
        <f>VLOOKUP(A74,Revisión!$A$2:$L$703,9,FALSE)</f>
        <v>#N/A</v>
      </c>
      <c r="L74" s="4" t="e">
        <f>VLOOKUP(A74,Revisión!$A$2:$L$703,10,FALSE)</f>
        <v>#N/A</v>
      </c>
      <c r="M74" s="18" t="e">
        <f>VLOOKUP(A74,Revisión!$A$2:$L$703,11,FALSE)</f>
        <v>#N/A</v>
      </c>
      <c r="N74" s="30" t="str">
        <f>IF(E74="Coinciden",D74,IF(E74="Revisar",VLOOKUP(A74,Revisión!$A$2:$L$703,12,FALSE),""))</f>
        <v>Aethusa cynapium</v>
      </c>
    </row>
    <row r="75" spans="1:14" x14ac:dyDescent="0.3">
      <c r="A75" t="s">
        <v>161</v>
      </c>
      <c r="C75" t="s">
        <v>162</v>
      </c>
      <c r="D75" t="s">
        <v>162</v>
      </c>
      <c r="E75" t="s">
        <v>8</v>
      </c>
      <c r="F75" t="s">
        <v>49</v>
      </c>
      <c r="H75" s="23" t="str">
        <f>VLOOKUP(A75,Revisión!$A$2:$L$703,6,FALSE)</f>
        <v>Agastache scrophulariifolia</v>
      </c>
      <c r="I75" s="4" t="str">
        <f>VLOOKUP(A75,Revisión!$A$2:$L$703,7,FALSE)</f>
        <v>Agastache scrophulariifolia</v>
      </c>
      <c r="J75" s="4" t="str">
        <f>VLOOKUP(A75,Revisión!$A$2:$L$703,8,FALSE)</f>
        <v>Agastache scrophulariifolia</v>
      </c>
      <c r="K75" s="4" t="str">
        <f>VLOOKUP(A75,Revisión!$A$2:$L$703,9,FALSE)</f>
        <v>-</v>
      </c>
      <c r="L75" s="4" t="str">
        <f>VLOOKUP(A75,Revisión!$A$2:$L$703,10,FALSE)</f>
        <v>-</v>
      </c>
      <c r="M75" s="18">
        <f>VLOOKUP(A75,Revisión!$A$2:$L$703,11,FALSE)</f>
        <v>3</v>
      </c>
      <c r="N75" s="30" t="str">
        <f>IF(E75="Coinciden",D75,IF(E75="Revisar",VLOOKUP(A75,Revisión!$A$2:$L$703,12,FALSE),""))</f>
        <v>Agastache scrophulariifolia</v>
      </c>
    </row>
    <row r="76" spans="1:14" x14ac:dyDescent="0.3">
      <c r="A76" t="s">
        <v>163</v>
      </c>
      <c r="B76" t="s">
        <v>164</v>
      </c>
      <c r="C76" t="s">
        <v>164</v>
      </c>
      <c r="D76" t="s">
        <v>164</v>
      </c>
      <c r="E76" t="s">
        <v>18</v>
      </c>
      <c r="F76" t="s">
        <v>19</v>
      </c>
      <c r="H76" s="23" t="e">
        <f>VLOOKUP(A76,Revisión!$A$2:$L$703,6,FALSE)</f>
        <v>#N/A</v>
      </c>
      <c r="I76" s="4" t="e">
        <f>VLOOKUP(A76,Revisión!$A$2:$L$703,7,FALSE)</f>
        <v>#N/A</v>
      </c>
      <c r="J76" s="4" t="e">
        <f>VLOOKUP(A76,Revisión!$A$2:$L$703,8,FALSE)</f>
        <v>#N/A</v>
      </c>
      <c r="K76" s="4" t="e">
        <f>VLOOKUP(A76,Revisión!$A$2:$L$703,9,FALSE)</f>
        <v>#N/A</v>
      </c>
      <c r="L76" s="4" t="e">
        <f>VLOOKUP(A76,Revisión!$A$2:$L$703,10,FALSE)</f>
        <v>#N/A</v>
      </c>
      <c r="M76" s="18" t="e">
        <f>VLOOKUP(A76,Revisión!$A$2:$L$703,11,FALSE)</f>
        <v>#N/A</v>
      </c>
      <c r="N76" s="30" t="str">
        <f>IF(E76="Coinciden",D76,IF(E76="Revisar",VLOOKUP(A76,Revisión!$A$2:$L$703,12,FALSE),""))</f>
        <v>Agastache nepetoides</v>
      </c>
    </row>
    <row r="77" spans="1:14" x14ac:dyDescent="0.3">
      <c r="A77" t="s">
        <v>165</v>
      </c>
      <c r="B77" t="s">
        <v>166</v>
      </c>
      <c r="C77" t="s">
        <v>166</v>
      </c>
      <c r="D77" t="s">
        <v>166</v>
      </c>
      <c r="E77" t="s">
        <v>18</v>
      </c>
      <c r="F77" t="s">
        <v>19</v>
      </c>
      <c r="H77" s="23" t="e">
        <f>VLOOKUP(A77,Revisión!$A$2:$L$703,6,FALSE)</f>
        <v>#N/A</v>
      </c>
      <c r="I77" s="4" t="e">
        <f>VLOOKUP(A77,Revisión!$A$2:$L$703,7,FALSE)</f>
        <v>#N/A</v>
      </c>
      <c r="J77" s="4" t="e">
        <f>VLOOKUP(A77,Revisión!$A$2:$L$703,8,FALSE)</f>
        <v>#N/A</v>
      </c>
      <c r="K77" s="4" t="e">
        <f>VLOOKUP(A77,Revisión!$A$2:$L$703,9,FALSE)</f>
        <v>#N/A</v>
      </c>
      <c r="L77" s="4" t="e">
        <f>VLOOKUP(A77,Revisión!$A$2:$L$703,10,FALSE)</f>
        <v>#N/A</v>
      </c>
      <c r="M77" s="18" t="e">
        <f>VLOOKUP(A77,Revisión!$A$2:$L$703,11,FALSE)</f>
        <v>#N/A</v>
      </c>
      <c r="N77" s="30" t="str">
        <f>IF(E77="Coinciden",D77,IF(E77="Revisar",VLOOKUP(A77,Revisión!$A$2:$L$703,12,FALSE),""))</f>
        <v>Agarista salicifolia</v>
      </c>
    </row>
    <row r="78" spans="1:14" x14ac:dyDescent="0.3">
      <c r="A78" t="s">
        <v>167</v>
      </c>
      <c r="B78" t="s">
        <v>168</v>
      </c>
      <c r="C78" t="s">
        <v>168</v>
      </c>
      <c r="D78" t="s">
        <v>168</v>
      </c>
      <c r="E78" t="s">
        <v>18</v>
      </c>
      <c r="F78" t="s">
        <v>19</v>
      </c>
      <c r="H78" s="23" t="e">
        <f>VLOOKUP(A78,Revisión!$A$2:$L$703,6,FALSE)</f>
        <v>#N/A</v>
      </c>
      <c r="I78" s="4" t="e">
        <f>VLOOKUP(A78,Revisión!$A$2:$L$703,7,FALSE)</f>
        <v>#N/A</v>
      </c>
      <c r="J78" s="4" t="e">
        <f>VLOOKUP(A78,Revisión!$A$2:$L$703,8,FALSE)</f>
        <v>#N/A</v>
      </c>
      <c r="K78" s="4" t="e">
        <f>VLOOKUP(A78,Revisión!$A$2:$L$703,9,FALSE)</f>
        <v>#N/A</v>
      </c>
      <c r="L78" s="4" t="e">
        <f>VLOOKUP(A78,Revisión!$A$2:$L$703,10,FALSE)</f>
        <v>#N/A</v>
      </c>
      <c r="M78" s="18" t="e">
        <f>VLOOKUP(A78,Revisión!$A$2:$L$703,11,FALSE)</f>
        <v>#N/A</v>
      </c>
      <c r="N78" s="30" t="str">
        <f>IF(E78="Coinciden",D78,IF(E78="Revisar",VLOOKUP(A78,Revisión!$A$2:$L$703,12,FALSE),""))</f>
        <v>Ageratum houstonianum</v>
      </c>
    </row>
    <row r="79" spans="1:14" x14ac:dyDescent="0.3">
      <c r="A79" t="s">
        <v>169</v>
      </c>
      <c r="B79" t="s">
        <v>170</v>
      </c>
      <c r="D79" t="s">
        <v>170</v>
      </c>
      <c r="E79" t="s">
        <v>8</v>
      </c>
      <c r="F79" t="s">
        <v>34</v>
      </c>
      <c r="H79" s="23" t="str">
        <f>VLOOKUP(A79,Revisión!$A$2:$L$703,6,FALSE)</f>
        <v>Ageratum conyzoides</v>
      </c>
      <c r="I79" s="4" t="str">
        <f>VLOOKUP(A79,Revisión!$A$2:$L$703,7,FALSE)</f>
        <v>Ageratum conyzoides</v>
      </c>
      <c r="J79" s="4" t="str">
        <f>VLOOKUP(A79,Revisión!$A$2:$L$703,8,FALSE)</f>
        <v>Ageratum conyzoides</v>
      </c>
      <c r="K79" s="4" t="str">
        <f>VLOOKUP(A79,Revisión!$A$2:$L$703,9,FALSE)</f>
        <v>-</v>
      </c>
      <c r="L79" s="4" t="str">
        <f>VLOOKUP(A79,Revisión!$A$2:$L$703,10,FALSE)</f>
        <v>-</v>
      </c>
      <c r="M79" s="18">
        <f>VLOOKUP(A79,Revisión!$A$2:$L$703,11,FALSE)</f>
        <v>3</v>
      </c>
      <c r="N79" s="30" t="str">
        <f>IF(E79="Coinciden",D79,IF(E79="Revisar",VLOOKUP(A79,Revisión!$A$2:$L$703,12,FALSE),""))</f>
        <v>Ageratum conyzoides</v>
      </c>
    </row>
    <row r="80" spans="1:14" x14ac:dyDescent="0.3">
      <c r="A80" t="s">
        <v>171</v>
      </c>
      <c r="C80" t="s">
        <v>172</v>
      </c>
      <c r="D80" t="s">
        <v>172</v>
      </c>
      <c r="E80" t="s">
        <v>8</v>
      </c>
      <c r="F80" t="s">
        <v>49</v>
      </c>
      <c r="H80" s="23" t="str">
        <f>VLOOKUP(A80,Revisión!$A$2:$L$703,6,FALSE)</f>
        <v>Ageratina adenophora</v>
      </c>
      <c r="I80" s="4" t="str">
        <f>VLOOKUP(A80,Revisión!$A$2:$L$703,7,FALSE)</f>
        <v>Ageratina adenophora</v>
      </c>
      <c r="J80" s="4" t="str">
        <f>VLOOKUP(A80,Revisión!$A$2:$L$703,8,FALSE)</f>
        <v>Ageratina adenophora</v>
      </c>
      <c r="K80" s="4" t="str">
        <f>VLOOKUP(A80,Revisión!$A$2:$L$703,9,FALSE)</f>
        <v>-</v>
      </c>
      <c r="L80" s="4" t="str">
        <f>VLOOKUP(A80,Revisión!$A$2:$L$703,10,FALSE)</f>
        <v>-</v>
      </c>
      <c r="M80" s="18">
        <f>VLOOKUP(A80,Revisión!$A$2:$L$703,11,FALSE)</f>
        <v>3</v>
      </c>
      <c r="N80" s="30" t="str">
        <f>IF(E80="Coinciden",D80,IF(E80="Revisar",VLOOKUP(A80,Revisión!$A$2:$L$703,12,FALSE),""))</f>
        <v>Ageratina adenophora</v>
      </c>
    </row>
    <row r="81" spans="1:14" x14ac:dyDescent="0.3">
      <c r="A81" t="s">
        <v>173</v>
      </c>
      <c r="B81" t="s">
        <v>174</v>
      </c>
      <c r="D81" t="s">
        <v>174</v>
      </c>
      <c r="E81" t="s">
        <v>8</v>
      </c>
      <c r="F81" t="s">
        <v>34</v>
      </c>
      <c r="H81" s="23" t="str">
        <f>VLOOKUP(A81,Revisión!$A$2:$L$703,6,FALSE)</f>
        <v>Agrimonia striata</v>
      </c>
      <c r="I81" s="4" t="str">
        <f>VLOOKUP(A81,Revisión!$A$2:$L$703,7,FALSE)</f>
        <v>Agrimonia striata</v>
      </c>
      <c r="J81" s="4" t="str">
        <f>VLOOKUP(A81,Revisión!$A$2:$L$703,8,FALSE)</f>
        <v>Agrimonia striata</v>
      </c>
      <c r="K81" s="4" t="str">
        <f>VLOOKUP(A81,Revisión!$A$2:$L$703,9,FALSE)</f>
        <v>-</v>
      </c>
      <c r="L81" s="4" t="str">
        <f>VLOOKUP(A81,Revisión!$A$2:$L$703,10,FALSE)</f>
        <v>-</v>
      </c>
      <c r="M81" s="18">
        <f>VLOOKUP(A81,Revisión!$A$2:$L$703,11,FALSE)</f>
        <v>3</v>
      </c>
      <c r="N81" s="30" t="str">
        <f>IF(E81="Coinciden",D81,IF(E81="Revisar",VLOOKUP(A81,Revisión!$A$2:$L$703,12,FALSE),""))</f>
        <v>Agrimonia striata</v>
      </c>
    </row>
    <row r="82" spans="1:14" x14ac:dyDescent="0.3">
      <c r="A82" t="s">
        <v>175</v>
      </c>
      <c r="B82" t="s">
        <v>176</v>
      </c>
      <c r="C82" t="s">
        <v>176</v>
      </c>
      <c r="D82" t="s">
        <v>176</v>
      </c>
      <c r="E82" t="s">
        <v>18</v>
      </c>
      <c r="F82" t="s">
        <v>19</v>
      </c>
      <c r="H82" s="23" t="e">
        <f>VLOOKUP(A82,Revisión!$A$2:$L$703,6,FALSE)</f>
        <v>#N/A</v>
      </c>
      <c r="I82" s="4" t="e">
        <f>VLOOKUP(A82,Revisión!$A$2:$L$703,7,FALSE)</f>
        <v>#N/A</v>
      </c>
      <c r="J82" s="4" t="e">
        <f>VLOOKUP(A82,Revisión!$A$2:$L$703,8,FALSE)</f>
        <v>#N/A</v>
      </c>
      <c r="K82" s="4" t="e">
        <f>VLOOKUP(A82,Revisión!$A$2:$L$703,9,FALSE)</f>
        <v>#N/A</v>
      </c>
      <c r="L82" s="4" t="e">
        <f>VLOOKUP(A82,Revisión!$A$2:$L$703,10,FALSE)</f>
        <v>#N/A</v>
      </c>
      <c r="M82" s="18" t="e">
        <f>VLOOKUP(A82,Revisión!$A$2:$L$703,11,FALSE)</f>
        <v>#N/A</v>
      </c>
      <c r="N82" s="30" t="str">
        <f>IF(E82="Coinciden",D82,IF(E82="Revisar",VLOOKUP(A82,Revisión!$A$2:$L$703,12,FALSE),""))</f>
        <v>Agrimonia eupatoria</v>
      </c>
    </row>
    <row r="83" spans="1:14" x14ac:dyDescent="0.3">
      <c r="A83" t="s">
        <v>177</v>
      </c>
      <c r="B83" t="s">
        <v>178</v>
      </c>
      <c r="D83" t="s">
        <v>178</v>
      </c>
      <c r="E83" t="s">
        <v>8</v>
      </c>
      <c r="F83" t="s">
        <v>34</v>
      </c>
      <c r="H83" s="23" t="str">
        <f>VLOOKUP(A83,Revisión!$A$2:$L$703,6,FALSE)</f>
        <v>Agrimonia pilosa</v>
      </c>
      <c r="I83" s="4" t="str">
        <f>VLOOKUP(A83,Revisión!$A$2:$L$703,7,FALSE)</f>
        <v>Agrimonia pilosa</v>
      </c>
      <c r="J83" s="4" t="str">
        <f>VLOOKUP(A83,Revisión!$A$2:$L$703,8,FALSE)</f>
        <v>Agrimonia pilosa</v>
      </c>
      <c r="K83" s="4" t="str">
        <f>VLOOKUP(A83,Revisión!$A$2:$L$703,9,FALSE)</f>
        <v>-</v>
      </c>
      <c r="L83" s="4" t="str">
        <f>VLOOKUP(A83,Revisión!$A$2:$L$703,10,FALSE)</f>
        <v>-</v>
      </c>
      <c r="M83" s="18">
        <f>VLOOKUP(A83,Revisión!$A$2:$L$703,11,FALSE)</f>
        <v>3</v>
      </c>
      <c r="N83" s="30" t="str">
        <f>IF(E83="Coinciden",D83,IF(E83="Revisar",VLOOKUP(A83,Revisión!$A$2:$L$703,12,FALSE),""))</f>
        <v>Agrimonia pilosa</v>
      </c>
    </row>
    <row r="84" spans="1:14" x14ac:dyDescent="0.3">
      <c r="A84" t="s">
        <v>179</v>
      </c>
      <c r="B84" t="s">
        <v>180</v>
      </c>
      <c r="C84" t="s">
        <v>180</v>
      </c>
      <c r="D84" t="s">
        <v>180</v>
      </c>
      <c r="E84" t="s">
        <v>18</v>
      </c>
      <c r="F84" t="s">
        <v>19</v>
      </c>
      <c r="H84" s="23" t="e">
        <f>VLOOKUP(A84,Revisión!$A$2:$L$703,6,FALSE)</f>
        <v>#N/A</v>
      </c>
      <c r="I84" s="4" t="e">
        <f>VLOOKUP(A84,Revisión!$A$2:$L$703,7,FALSE)</f>
        <v>#N/A</v>
      </c>
      <c r="J84" s="4" t="e">
        <f>VLOOKUP(A84,Revisión!$A$2:$L$703,8,FALSE)</f>
        <v>#N/A</v>
      </c>
      <c r="K84" s="4" t="e">
        <f>VLOOKUP(A84,Revisión!$A$2:$L$703,9,FALSE)</f>
        <v>#N/A</v>
      </c>
      <c r="L84" s="4" t="e">
        <f>VLOOKUP(A84,Revisión!$A$2:$L$703,10,FALSE)</f>
        <v>#N/A</v>
      </c>
      <c r="M84" s="18" t="e">
        <f>VLOOKUP(A84,Revisión!$A$2:$L$703,11,FALSE)</f>
        <v>#N/A</v>
      </c>
      <c r="N84" s="30" t="str">
        <f>IF(E84="Coinciden",D84,IF(E84="Revisar",VLOOKUP(A84,Revisión!$A$2:$L$703,12,FALSE),""))</f>
        <v>Agrostis clavata</v>
      </c>
    </row>
    <row r="85" spans="1:14" x14ac:dyDescent="0.3">
      <c r="A85" t="s">
        <v>181</v>
      </c>
      <c r="B85" t="s">
        <v>182</v>
      </c>
      <c r="C85" t="s">
        <v>182</v>
      </c>
      <c r="D85" t="s">
        <v>182</v>
      </c>
      <c r="E85" t="s">
        <v>18</v>
      </c>
      <c r="F85" t="s">
        <v>19</v>
      </c>
      <c r="H85" s="23" t="e">
        <f>VLOOKUP(A85,Revisión!$A$2:$L$703,6,FALSE)</f>
        <v>#N/A</v>
      </c>
      <c r="I85" s="4" t="e">
        <f>VLOOKUP(A85,Revisión!$A$2:$L$703,7,FALSE)</f>
        <v>#N/A</v>
      </c>
      <c r="J85" s="4" t="e">
        <f>VLOOKUP(A85,Revisión!$A$2:$L$703,8,FALSE)</f>
        <v>#N/A</v>
      </c>
      <c r="K85" s="4" t="e">
        <f>VLOOKUP(A85,Revisión!$A$2:$L$703,9,FALSE)</f>
        <v>#N/A</v>
      </c>
      <c r="L85" s="4" t="e">
        <f>VLOOKUP(A85,Revisión!$A$2:$L$703,10,FALSE)</f>
        <v>#N/A</v>
      </c>
      <c r="M85" s="18" t="e">
        <f>VLOOKUP(A85,Revisión!$A$2:$L$703,11,FALSE)</f>
        <v>#N/A</v>
      </c>
      <c r="N85" s="30" t="str">
        <f>IF(E85="Coinciden",D85,IF(E85="Revisar",VLOOKUP(A85,Revisión!$A$2:$L$703,12,FALSE),""))</f>
        <v>Aichryson laxum</v>
      </c>
    </row>
    <row r="86" spans="1:14" x14ac:dyDescent="0.3">
      <c r="A86" t="s">
        <v>183</v>
      </c>
      <c r="B86" t="s">
        <v>184</v>
      </c>
      <c r="C86" t="s">
        <v>184</v>
      </c>
      <c r="D86" t="s">
        <v>184</v>
      </c>
      <c r="E86" t="s">
        <v>18</v>
      </c>
      <c r="F86" t="s">
        <v>19</v>
      </c>
      <c r="H86" s="23" t="e">
        <f>VLOOKUP(A86,Revisión!$A$2:$L$703,6,FALSE)</f>
        <v>#N/A</v>
      </c>
      <c r="I86" s="4" t="e">
        <f>VLOOKUP(A86,Revisión!$A$2:$L$703,7,FALSE)</f>
        <v>#N/A</v>
      </c>
      <c r="J86" s="4" t="e">
        <f>VLOOKUP(A86,Revisión!$A$2:$L$703,8,FALSE)</f>
        <v>#N/A</v>
      </c>
      <c r="K86" s="4" t="e">
        <f>VLOOKUP(A86,Revisión!$A$2:$L$703,9,FALSE)</f>
        <v>#N/A</v>
      </c>
      <c r="L86" s="4" t="e">
        <f>VLOOKUP(A86,Revisión!$A$2:$L$703,10,FALSE)</f>
        <v>#N/A</v>
      </c>
      <c r="M86" s="18" t="e">
        <f>VLOOKUP(A86,Revisión!$A$2:$L$703,11,FALSE)</f>
        <v>#N/A</v>
      </c>
      <c r="N86" s="30" t="str">
        <f>IF(E86="Coinciden",D86,IF(E86="Revisar",VLOOKUP(A86,Revisión!$A$2:$L$703,12,FALSE),""))</f>
        <v>Ainsliaea acerifolia</v>
      </c>
    </row>
    <row r="87" spans="1:14" x14ac:dyDescent="0.3">
      <c r="A87" t="s">
        <v>185</v>
      </c>
      <c r="B87" t="s">
        <v>186</v>
      </c>
      <c r="C87" t="s">
        <v>186</v>
      </c>
      <c r="D87" t="s">
        <v>186</v>
      </c>
      <c r="E87" t="s">
        <v>18</v>
      </c>
      <c r="F87" t="s">
        <v>19</v>
      </c>
      <c r="H87" s="23" t="e">
        <f>VLOOKUP(A87,Revisión!$A$2:$L$703,6,FALSE)</f>
        <v>#N/A</v>
      </c>
      <c r="I87" s="4" t="e">
        <f>VLOOKUP(A87,Revisión!$A$2:$L$703,7,FALSE)</f>
        <v>#N/A</v>
      </c>
      <c r="J87" s="4" t="e">
        <f>VLOOKUP(A87,Revisión!$A$2:$L$703,8,FALSE)</f>
        <v>#N/A</v>
      </c>
      <c r="K87" s="4" t="e">
        <f>VLOOKUP(A87,Revisión!$A$2:$L$703,9,FALSE)</f>
        <v>#N/A</v>
      </c>
      <c r="L87" s="4" t="e">
        <f>VLOOKUP(A87,Revisión!$A$2:$L$703,10,FALSE)</f>
        <v>#N/A</v>
      </c>
      <c r="M87" s="18" t="e">
        <f>VLOOKUP(A87,Revisión!$A$2:$L$703,11,FALSE)</f>
        <v>#N/A</v>
      </c>
      <c r="N87" s="30" t="str">
        <f>IF(E87="Coinciden",D87,IF(E87="Revisar",VLOOKUP(A87,Revisión!$A$2:$L$703,12,FALSE),""))</f>
        <v>Ajuga reptans</v>
      </c>
    </row>
    <row r="88" spans="1:14" x14ac:dyDescent="0.3">
      <c r="A88" t="s">
        <v>187</v>
      </c>
      <c r="B88" t="s">
        <v>188</v>
      </c>
      <c r="C88" t="s">
        <v>188</v>
      </c>
      <c r="D88" t="s">
        <v>188</v>
      </c>
      <c r="E88" t="s">
        <v>18</v>
      </c>
      <c r="F88" t="s">
        <v>19</v>
      </c>
      <c r="H88" s="23" t="e">
        <f>VLOOKUP(A88,Revisión!$A$2:$L$703,6,FALSE)</f>
        <v>#N/A</v>
      </c>
      <c r="I88" s="4" t="e">
        <f>VLOOKUP(A88,Revisión!$A$2:$L$703,7,FALSE)</f>
        <v>#N/A</v>
      </c>
      <c r="J88" s="4" t="e">
        <f>VLOOKUP(A88,Revisión!$A$2:$L$703,8,FALSE)</f>
        <v>#N/A</v>
      </c>
      <c r="K88" s="4" t="e">
        <f>VLOOKUP(A88,Revisión!$A$2:$L$703,9,FALSE)</f>
        <v>#N/A</v>
      </c>
      <c r="L88" s="4" t="e">
        <f>VLOOKUP(A88,Revisión!$A$2:$L$703,10,FALSE)</f>
        <v>#N/A</v>
      </c>
      <c r="M88" s="18" t="e">
        <f>VLOOKUP(A88,Revisión!$A$2:$L$703,11,FALSE)</f>
        <v>#N/A</v>
      </c>
      <c r="N88" s="30" t="str">
        <f>IF(E88="Coinciden",D88,IF(E88="Revisar",VLOOKUP(A88,Revisión!$A$2:$L$703,12,FALSE),""))</f>
        <v>Ajuga dictyocarpa</v>
      </c>
    </row>
    <row r="89" spans="1:14" x14ac:dyDescent="0.3">
      <c r="A89" t="s">
        <v>189</v>
      </c>
      <c r="B89" t="s">
        <v>190</v>
      </c>
      <c r="C89" t="s">
        <v>190</v>
      </c>
      <c r="D89" t="s">
        <v>190</v>
      </c>
      <c r="E89" t="s">
        <v>18</v>
      </c>
      <c r="F89" t="s">
        <v>19</v>
      </c>
      <c r="H89" s="23" t="e">
        <f>VLOOKUP(A89,Revisión!$A$2:$L$703,6,FALSE)</f>
        <v>#N/A</v>
      </c>
      <c r="I89" s="4" t="e">
        <f>VLOOKUP(A89,Revisión!$A$2:$L$703,7,FALSE)</f>
        <v>#N/A</v>
      </c>
      <c r="J89" s="4" t="e">
        <f>VLOOKUP(A89,Revisión!$A$2:$L$703,8,FALSE)</f>
        <v>#N/A</v>
      </c>
      <c r="K89" s="4" t="e">
        <f>VLOOKUP(A89,Revisión!$A$2:$L$703,9,FALSE)</f>
        <v>#N/A</v>
      </c>
      <c r="L89" s="4" t="e">
        <f>VLOOKUP(A89,Revisión!$A$2:$L$703,10,FALSE)</f>
        <v>#N/A</v>
      </c>
      <c r="M89" s="18" t="e">
        <f>VLOOKUP(A89,Revisión!$A$2:$L$703,11,FALSE)</f>
        <v>#N/A</v>
      </c>
      <c r="N89" s="30" t="str">
        <f>IF(E89="Coinciden",D89,IF(E89="Revisar",VLOOKUP(A89,Revisión!$A$2:$L$703,12,FALSE),""))</f>
        <v>Akebia quinata</v>
      </c>
    </row>
    <row r="90" spans="1:14" x14ac:dyDescent="0.3">
      <c r="A90" t="s">
        <v>191</v>
      </c>
      <c r="B90" t="s">
        <v>192</v>
      </c>
      <c r="C90" t="s">
        <v>192</v>
      </c>
      <c r="D90" t="s">
        <v>192</v>
      </c>
      <c r="E90" t="s">
        <v>18</v>
      </c>
      <c r="F90" t="s">
        <v>19</v>
      </c>
      <c r="H90" s="23" t="e">
        <f>VLOOKUP(A90,Revisión!$A$2:$L$703,6,FALSE)</f>
        <v>#N/A</v>
      </c>
      <c r="I90" s="4" t="e">
        <f>VLOOKUP(A90,Revisión!$A$2:$L$703,7,FALSE)</f>
        <v>#N/A</v>
      </c>
      <c r="J90" s="4" t="e">
        <f>VLOOKUP(A90,Revisión!$A$2:$L$703,8,FALSE)</f>
        <v>#N/A</v>
      </c>
      <c r="K90" s="4" t="e">
        <f>VLOOKUP(A90,Revisión!$A$2:$L$703,9,FALSE)</f>
        <v>#N/A</v>
      </c>
      <c r="L90" s="4" t="e">
        <f>VLOOKUP(A90,Revisión!$A$2:$L$703,10,FALSE)</f>
        <v>#N/A</v>
      </c>
      <c r="M90" s="18" t="e">
        <f>VLOOKUP(A90,Revisión!$A$2:$L$703,11,FALSE)</f>
        <v>#N/A</v>
      </c>
      <c r="N90" s="30" t="str">
        <f>IF(E90="Coinciden",D90,IF(E90="Revisar",VLOOKUP(A90,Revisión!$A$2:$L$703,12,FALSE),""))</f>
        <v>Alangium platanifolium</v>
      </c>
    </row>
    <row r="91" spans="1:14" x14ac:dyDescent="0.3">
      <c r="A91" t="s">
        <v>193</v>
      </c>
      <c r="B91" t="s">
        <v>194</v>
      </c>
      <c r="C91" t="s">
        <v>194</v>
      </c>
      <c r="D91" t="s">
        <v>194</v>
      </c>
      <c r="E91" t="s">
        <v>18</v>
      </c>
      <c r="F91" t="s">
        <v>19</v>
      </c>
      <c r="H91" s="23" t="e">
        <f>VLOOKUP(A91,Revisión!$A$2:$L$703,6,FALSE)</f>
        <v>#N/A</v>
      </c>
      <c r="I91" s="4" t="e">
        <f>VLOOKUP(A91,Revisión!$A$2:$L$703,7,FALSE)</f>
        <v>#N/A</v>
      </c>
      <c r="J91" s="4" t="e">
        <f>VLOOKUP(A91,Revisión!$A$2:$L$703,8,FALSE)</f>
        <v>#N/A</v>
      </c>
      <c r="K91" s="4" t="e">
        <f>VLOOKUP(A91,Revisión!$A$2:$L$703,9,FALSE)</f>
        <v>#N/A</v>
      </c>
      <c r="L91" s="4" t="e">
        <f>VLOOKUP(A91,Revisión!$A$2:$L$703,10,FALSE)</f>
        <v>#N/A</v>
      </c>
      <c r="M91" s="18" t="e">
        <f>VLOOKUP(A91,Revisión!$A$2:$L$703,11,FALSE)</f>
        <v>#N/A</v>
      </c>
      <c r="N91" s="30" t="str">
        <f>IF(E91="Coinciden",D91,IF(E91="Revisar",VLOOKUP(A91,Revisión!$A$2:$L$703,12,FALSE),""))</f>
        <v>Albizia julibrissin</v>
      </c>
    </row>
    <row r="92" spans="1:14" x14ac:dyDescent="0.3">
      <c r="A92" t="s">
        <v>195</v>
      </c>
      <c r="B92" t="s">
        <v>196</v>
      </c>
      <c r="C92" t="s">
        <v>197</v>
      </c>
      <c r="D92" t="s">
        <v>197</v>
      </c>
      <c r="E92" t="s">
        <v>8</v>
      </c>
      <c r="F92" t="s">
        <v>23</v>
      </c>
      <c r="H92" s="23" t="str">
        <f>VLOOKUP(A92,Revisión!$A$2:$L$703,6,FALSE)</f>
        <v>Alcea biennis</v>
      </c>
      <c r="I92" s="4" t="str">
        <f>VLOOKUP(A92,Revisión!$A$2:$L$703,7,FALSE)</f>
        <v>Alcea biennis</v>
      </c>
      <c r="J92" s="4" t="str">
        <f>VLOOKUP(A92,Revisión!$A$2:$L$703,8,FALSE)</f>
        <v>Alcea biennis</v>
      </c>
      <c r="K92" s="4" t="str">
        <f>VLOOKUP(A92,Revisión!$A$2:$L$703,9,FALSE)</f>
        <v>-</v>
      </c>
      <c r="L92" s="4" t="str">
        <f>VLOOKUP(A92,Revisión!$A$2:$L$703,10,FALSE)</f>
        <v>-</v>
      </c>
      <c r="M92" s="18">
        <f>VLOOKUP(A92,Revisión!$A$2:$L$703,11,FALSE)</f>
        <v>3</v>
      </c>
      <c r="N92" s="30" t="str">
        <f>IF(E92="Coinciden",D92,IF(E92="Revisar",VLOOKUP(A92,Revisión!$A$2:$L$703,12,FALSE),""))</f>
        <v>Alcea biennis</v>
      </c>
    </row>
    <row r="93" spans="1:14" x14ac:dyDescent="0.3">
      <c r="A93" t="s">
        <v>198</v>
      </c>
      <c r="B93" t="s">
        <v>199</v>
      </c>
      <c r="C93" t="s">
        <v>199</v>
      </c>
      <c r="D93" t="s">
        <v>199</v>
      </c>
      <c r="E93" t="s">
        <v>18</v>
      </c>
      <c r="F93" t="s">
        <v>19</v>
      </c>
      <c r="H93" s="23" t="e">
        <f>VLOOKUP(A93,Revisión!$A$2:$L$703,6,FALSE)</f>
        <v>#N/A</v>
      </c>
      <c r="I93" s="4" t="e">
        <f>VLOOKUP(A93,Revisión!$A$2:$L$703,7,FALSE)</f>
        <v>#N/A</v>
      </c>
      <c r="J93" s="4" t="e">
        <f>VLOOKUP(A93,Revisión!$A$2:$L$703,8,FALSE)</f>
        <v>#N/A</v>
      </c>
      <c r="K93" s="4" t="e">
        <f>VLOOKUP(A93,Revisión!$A$2:$L$703,9,FALSE)</f>
        <v>#N/A</v>
      </c>
      <c r="L93" s="4" t="e">
        <f>VLOOKUP(A93,Revisión!$A$2:$L$703,10,FALSE)</f>
        <v>#N/A</v>
      </c>
      <c r="M93" s="18" t="e">
        <f>VLOOKUP(A93,Revisión!$A$2:$L$703,11,FALSE)</f>
        <v>#N/A</v>
      </c>
      <c r="N93" s="30" t="str">
        <f>IF(E93="Coinciden",D93,IF(E93="Revisar",VLOOKUP(A93,Revisión!$A$2:$L$703,12,FALSE),""))</f>
        <v>Metanarthecium luteoviride</v>
      </c>
    </row>
    <row r="94" spans="1:14" x14ac:dyDescent="0.3">
      <c r="A94" t="s">
        <v>200</v>
      </c>
      <c r="B94" t="s">
        <v>201</v>
      </c>
      <c r="C94" t="s">
        <v>201</v>
      </c>
      <c r="D94" t="s">
        <v>201</v>
      </c>
      <c r="E94" t="s">
        <v>18</v>
      </c>
      <c r="F94" t="s">
        <v>19</v>
      </c>
      <c r="H94" s="23" t="e">
        <f>VLOOKUP(A94,Revisión!$A$2:$L$703,6,FALSE)</f>
        <v>#N/A</v>
      </c>
      <c r="I94" s="4" t="e">
        <f>VLOOKUP(A94,Revisión!$A$2:$L$703,7,FALSE)</f>
        <v>#N/A</v>
      </c>
      <c r="J94" s="4" t="e">
        <f>VLOOKUP(A94,Revisión!$A$2:$L$703,8,FALSE)</f>
        <v>#N/A</v>
      </c>
      <c r="K94" s="4" t="e">
        <f>VLOOKUP(A94,Revisión!$A$2:$L$703,9,FALSE)</f>
        <v>#N/A</v>
      </c>
      <c r="L94" s="4" t="e">
        <f>VLOOKUP(A94,Revisión!$A$2:$L$703,10,FALSE)</f>
        <v>#N/A</v>
      </c>
      <c r="M94" s="18" t="e">
        <f>VLOOKUP(A94,Revisión!$A$2:$L$703,11,FALSE)</f>
        <v>#N/A</v>
      </c>
      <c r="N94" s="30" t="str">
        <f>IF(E94="Coinciden",D94,IF(E94="Revisar",VLOOKUP(A94,Revisión!$A$2:$L$703,12,FALSE),""))</f>
        <v>Alisma canaliculatum</v>
      </c>
    </row>
    <row r="95" spans="1:14" x14ac:dyDescent="0.3">
      <c r="A95" t="s">
        <v>202</v>
      </c>
      <c r="C95" t="s">
        <v>203</v>
      </c>
      <c r="D95" t="s">
        <v>203</v>
      </c>
      <c r="E95" t="s">
        <v>8</v>
      </c>
      <c r="F95" t="s">
        <v>49</v>
      </c>
      <c r="H95" s="23" t="str">
        <f>VLOOKUP(A95,Revisión!$A$2:$L$703,6,FALSE)</f>
        <v>Alisma plantago-aquatica</v>
      </c>
      <c r="I95" s="4" t="str">
        <f>VLOOKUP(A95,Revisión!$A$2:$L$703,7,FALSE)</f>
        <v>Alisma plantago-aquatica</v>
      </c>
      <c r="J95" s="4" t="str">
        <f>VLOOKUP(A95,Revisión!$A$2:$L$703,8,FALSE)</f>
        <v>Alisma plantago-aquatica</v>
      </c>
      <c r="K95" s="4" t="str">
        <f>VLOOKUP(A95,Revisión!$A$2:$L$703,9,FALSE)</f>
        <v>-</v>
      </c>
      <c r="L95" s="4" t="str">
        <f>VLOOKUP(A95,Revisión!$A$2:$L$703,10,FALSE)</f>
        <v>-</v>
      </c>
      <c r="M95" s="18">
        <f>VLOOKUP(A95,Revisión!$A$2:$L$703,11,FALSE)</f>
        <v>3</v>
      </c>
      <c r="N95" s="30" t="str">
        <f>IF(E95="Coinciden",D95,IF(E95="Revisar",VLOOKUP(A95,Revisión!$A$2:$L$703,12,FALSE),""))</f>
        <v>Alisma plantago-aquatica</v>
      </c>
    </row>
    <row r="96" spans="1:14" x14ac:dyDescent="0.3">
      <c r="A96" t="s">
        <v>204</v>
      </c>
      <c r="C96" t="s">
        <v>205</v>
      </c>
      <c r="D96" t="s">
        <v>205</v>
      </c>
      <c r="E96" t="s">
        <v>8</v>
      </c>
      <c r="F96" t="s">
        <v>49</v>
      </c>
      <c r="H96" s="23" t="str">
        <f>VLOOKUP(A96,Revisión!$A$2:$L$703,6,FALSE)</f>
        <v>Allium macrostemon</v>
      </c>
      <c r="I96" s="4" t="str">
        <f>VLOOKUP(A96,Revisión!$A$2:$L$703,7,FALSE)</f>
        <v>Allium macrostemon</v>
      </c>
      <c r="J96" s="4" t="str">
        <f>VLOOKUP(A96,Revisión!$A$2:$L$703,8,FALSE)</f>
        <v>Allium macrostemon</v>
      </c>
      <c r="K96" s="4" t="str">
        <f>VLOOKUP(A96,Revisión!$A$2:$L$703,9,FALSE)</f>
        <v>-</v>
      </c>
      <c r="L96" s="4" t="str">
        <f>VLOOKUP(A96,Revisión!$A$2:$L$703,10,FALSE)</f>
        <v>-</v>
      </c>
      <c r="M96" s="18">
        <f>VLOOKUP(A96,Revisión!$A$2:$L$703,11,FALSE)</f>
        <v>3</v>
      </c>
      <c r="N96" s="30" t="str">
        <f>IF(E96="Coinciden",D96,IF(E96="Revisar",VLOOKUP(A96,Revisión!$A$2:$L$703,12,FALSE),""))</f>
        <v>Allium macrostemon</v>
      </c>
    </row>
    <row r="97" spans="1:14" x14ac:dyDescent="0.3">
      <c r="A97" t="s">
        <v>206</v>
      </c>
      <c r="B97" t="s">
        <v>207</v>
      </c>
      <c r="D97" t="s">
        <v>207</v>
      </c>
      <c r="E97" t="s">
        <v>8</v>
      </c>
      <c r="F97" t="s">
        <v>34</v>
      </c>
      <c r="H97" s="23" t="str">
        <f>VLOOKUP(A97,Revisión!$A$2:$L$703,6,FALSE)</f>
        <v>Alkanna tinctoria</v>
      </c>
      <c r="I97" s="4" t="str">
        <f>VLOOKUP(A97,Revisión!$A$2:$L$703,7,FALSE)</f>
        <v>Alkanna tinctoria</v>
      </c>
      <c r="J97" s="4" t="str">
        <f>VLOOKUP(A97,Revisión!$A$2:$L$703,8,FALSE)</f>
        <v>Alkanna tinctoria</v>
      </c>
      <c r="K97" s="4" t="str">
        <f>VLOOKUP(A97,Revisión!$A$2:$L$703,9,FALSE)</f>
        <v>-</v>
      </c>
      <c r="L97" s="4" t="str">
        <f>VLOOKUP(A97,Revisión!$A$2:$L$703,10,FALSE)</f>
        <v>-</v>
      </c>
      <c r="M97" s="18">
        <f>VLOOKUP(A97,Revisión!$A$2:$L$703,11,FALSE)</f>
        <v>3</v>
      </c>
      <c r="N97" s="30" t="str">
        <f>IF(E97="Coinciden",D97,IF(E97="Revisar",VLOOKUP(A97,Revisión!$A$2:$L$703,12,FALSE),""))</f>
        <v>Alkanna tinctoria</v>
      </c>
    </row>
    <row r="98" spans="1:14" x14ac:dyDescent="0.3">
      <c r="A98" t="s">
        <v>208</v>
      </c>
      <c r="B98" t="s">
        <v>209</v>
      </c>
      <c r="D98" t="s">
        <v>209</v>
      </c>
      <c r="E98" t="s">
        <v>8</v>
      </c>
      <c r="F98" t="s">
        <v>34</v>
      </c>
      <c r="H98" s="23" t="str">
        <f>VLOOKUP(A98,Revisión!$A$2:$L$703,6,FALSE)</f>
        <v>Allium subhirsutum</v>
      </c>
      <c r="I98" s="4" t="str">
        <f>VLOOKUP(A98,Revisión!$A$2:$L$703,7,FALSE)</f>
        <v>Allium subhirsutum</v>
      </c>
      <c r="J98" s="4" t="str">
        <f>VLOOKUP(A98,Revisión!$A$2:$L$703,8,FALSE)</f>
        <v>Allium subhirsutum</v>
      </c>
      <c r="K98" s="4" t="str">
        <f>VLOOKUP(A98,Revisión!$A$2:$L$703,9,FALSE)</f>
        <v>-</v>
      </c>
      <c r="L98" s="4" t="str">
        <f>VLOOKUP(A98,Revisión!$A$2:$L$703,10,FALSE)</f>
        <v>-</v>
      </c>
      <c r="M98" s="18">
        <f>VLOOKUP(A98,Revisión!$A$2:$L$703,11,FALSE)</f>
        <v>3</v>
      </c>
      <c r="N98" s="30" t="str">
        <f>IF(E98="Coinciden",D98,IF(E98="Revisar",VLOOKUP(A98,Revisión!$A$2:$L$703,12,FALSE),""))</f>
        <v>Allium subhirsutum</v>
      </c>
    </row>
    <row r="99" spans="1:14" x14ac:dyDescent="0.3">
      <c r="A99" t="s">
        <v>210</v>
      </c>
      <c r="B99" t="s">
        <v>211</v>
      </c>
      <c r="C99" t="s">
        <v>211</v>
      </c>
      <c r="D99" t="s">
        <v>211</v>
      </c>
      <c r="E99" t="s">
        <v>18</v>
      </c>
      <c r="F99" t="s">
        <v>19</v>
      </c>
      <c r="H99" s="23" t="e">
        <f>VLOOKUP(A99,Revisión!$A$2:$L$703,6,FALSE)</f>
        <v>#N/A</v>
      </c>
      <c r="I99" s="4" t="e">
        <f>VLOOKUP(A99,Revisión!$A$2:$L$703,7,FALSE)</f>
        <v>#N/A</v>
      </c>
      <c r="J99" s="4" t="e">
        <f>VLOOKUP(A99,Revisión!$A$2:$L$703,8,FALSE)</f>
        <v>#N/A</v>
      </c>
      <c r="K99" s="4" t="e">
        <f>VLOOKUP(A99,Revisión!$A$2:$L$703,9,FALSE)</f>
        <v>#N/A</v>
      </c>
      <c r="L99" s="4" t="e">
        <f>VLOOKUP(A99,Revisión!$A$2:$L$703,10,FALSE)</f>
        <v>#N/A</v>
      </c>
      <c r="M99" s="18" t="e">
        <f>VLOOKUP(A99,Revisión!$A$2:$L$703,11,FALSE)</f>
        <v>#N/A</v>
      </c>
      <c r="N99" s="30" t="str">
        <f>IF(E99="Coinciden",D99,IF(E99="Revisar",VLOOKUP(A99,Revisión!$A$2:$L$703,12,FALSE),""))</f>
        <v>Allium neapolitanum</v>
      </c>
    </row>
    <row r="100" spans="1:14" x14ac:dyDescent="0.3">
      <c r="A100" t="s">
        <v>212</v>
      </c>
      <c r="B100" t="s">
        <v>213</v>
      </c>
      <c r="C100" t="s">
        <v>213</v>
      </c>
      <c r="D100" t="s">
        <v>213</v>
      </c>
      <c r="E100" t="s">
        <v>18</v>
      </c>
      <c r="F100" t="s">
        <v>19</v>
      </c>
      <c r="H100" s="23" t="e">
        <f>VLOOKUP(A100,Revisión!$A$2:$L$703,6,FALSE)</f>
        <v>#N/A</v>
      </c>
      <c r="I100" s="4" t="e">
        <f>VLOOKUP(A100,Revisión!$A$2:$L$703,7,FALSE)</f>
        <v>#N/A</v>
      </c>
      <c r="J100" s="4" t="e">
        <f>VLOOKUP(A100,Revisión!$A$2:$L$703,8,FALSE)</f>
        <v>#N/A</v>
      </c>
      <c r="K100" s="4" t="e">
        <f>VLOOKUP(A100,Revisión!$A$2:$L$703,9,FALSE)</f>
        <v>#N/A</v>
      </c>
      <c r="L100" s="4" t="e">
        <f>VLOOKUP(A100,Revisión!$A$2:$L$703,10,FALSE)</f>
        <v>#N/A</v>
      </c>
      <c r="M100" s="18" t="e">
        <f>VLOOKUP(A100,Revisión!$A$2:$L$703,11,FALSE)</f>
        <v>#N/A</v>
      </c>
      <c r="N100" s="30" t="str">
        <f>IF(E100="Coinciden",D100,IF(E100="Revisar",VLOOKUP(A100,Revisión!$A$2:$L$703,12,FALSE),""))</f>
        <v>Allium cernuum</v>
      </c>
    </row>
    <row r="101" spans="1:14" x14ac:dyDescent="0.3">
      <c r="A101" t="s">
        <v>214</v>
      </c>
      <c r="B101" t="s">
        <v>215</v>
      </c>
      <c r="C101" t="s">
        <v>215</v>
      </c>
      <c r="D101" t="s">
        <v>215</v>
      </c>
      <c r="E101" t="s">
        <v>18</v>
      </c>
      <c r="F101" t="s">
        <v>19</v>
      </c>
      <c r="H101" s="23" t="e">
        <f>VLOOKUP(A101,Revisión!$A$2:$L$703,6,FALSE)</f>
        <v>#N/A</v>
      </c>
      <c r="I101" s="4" t="e">
        <f>VLOOKUP(A101,Revisión!$A$2:$L$703,7,FALSE)</f>
        <v>#N/A</v>
      </c>
      <c r="J101" s="4" t="e">
        <f>VLOOKUP(A101,Revisión!$A$2:$L$703,8,FALSE)</f>
        <v>#N/A</v>
      </c>
      <c r="K101" s="4" t="e">
        <f>VLOOKUP(A101,Revisión!$A$2:$L$703,9,FALSE)</f>
        <v>#N/A</v>
      </c>
      <c r="L101" s="4" t="e">
        <f>VLOOKUP(A101,Revisión!$A$2:$L$703,10,FALSE)</f>
        <v>#N/A</v>
      </c>
      <c r="M101" s="18" t="e">
        <f>VLOOKUP(A101,Revisión!$A$2:$L$703,11,FALSE)</f>
        <v>#N/A</v>
      </c>
      <c r="N101" s="30" t="str">
        <f>IF(E101="Coinciden",D101,IF(E101="Revisar",VLOOKUP(A101,Revisión!$A$2:$L$703,12,FALSE),""))</f>
        <v>Allium thunbergii</v>
      </c>
    </row>
    <row r="102" spans="1:14" x14ac:dyDescent="0.3">
      <c r="A102" t="s">
        <v>216</v>
      </c>
      <c r="B102" t="s">
        <v>217</v>
      </c>
      <c r="D102" t="s">
        <v>217</v>
      </c>
      <c r="E102" t="s">
        <v>8</v>
      </c>
      <c r="F102" t="s">
        <v>34</v>
      </c>
      <c r="H102" s="23" t="str">
        <f>VLOOKUP(A102,Revisión!$A$2:$L$703,6,FALSE)</f>
        <v>Allium ampeloprasum</v>
      </c>
      <c r="I102" s="4" t="str">
        <f>VLOOKUP(A102,Revisión!$A$2:$L$703,7,FALSE)</f>
        <v>Allium ampeloprasum</v>
      </c>
      <c r="J102" s="4" t="str">
        <f>VLOOKUP(A102,Revisión!$A$2:$L$703,8,FALSE)</f>
        <v>Allium ampeloprasum</v>
      </c>
      <c r="K102" s="4" t="str">
        <f>VLOOKUP(A102,Revisión!$A$2:$L$703,9,FALSE)</f>
        <v>-</v>
      </c>
      <c r="L102" s="4" t="str">
        <f>VLOOKUP(A102,Revisión!$A$2:$L$703,10,FALSE)</f>
        <v>-</v>
      </c>
      <c r="M102" s="18">
        <f>VLOOKUP(A102,Revisión!$A$2:$L$703,11,FALSE)</f>
        <v>3</v>
      </c>
      <c r="N102" s="30" t="str">
        <f>IF(E102="Coinciden",D102,IF(E102="Revisar",VLOOKUP(A102,Revisión!$A$2:$L$703,12,FALSE),""))</f>
        <v>Allium ampeloprasum</v>
      </c>
    </row>
    <row r="103" spans="1:14" x14ac:dyDescent="0.3">
      <c r="A103" t="s">
        <v>218</v>
      </c>
      <c r="B103" t="s">
        <v>219</v>
      </c>
      <c r="C103" t="s">
        <v>219</v>
      </c>
      <c r="D103" t="s">
        <v>219</v>
      </c>
      <c r="E103" t="s">
        <v>18</v>
      </c>
      <c r="F103" t="s">
        <v>19</v>
      </c>
      <c r="H103" s="23" t="e">
        <f>VLOOKUP(A103,Revisión!$A$2:$L$703,6,FALSE)</f>
        <v>#N/A</v>
      </c>
      <c r="I103" s="4" t="e">
        <f>VLOOKUP(A103,Revisión!$A$2:$L$703,7,FALSE)</f>
        <v>#N/A</v>
      </c>
      <c r="J103" s="4" t="e">
        <f>VLOOKUP(A103,Revisión!$A$2:$L$703,8,FALSE)</f>
        <v>#N/A</v>
      </c>
      <c r="K103" s="4" t="e">
        <f>VLOOKUP(A103,Revisión!$A$2:$L$703,9,FALSE)</f>
        <v>#N/A</v>
      </c>
      <c r="L103" s="4" t="e">
        <f>VLOOKUP(A103,Revisión!$A$2:$L$703,10,FALSE)</f>
        <v>#N/A</v>
      </c>
      <c r="M103" s="18" t="e">
        <f>VLOOKUP(A103,Revisión!$A$2:$L$703,11,FALSE)</f>
        <v>#N/A</v>
      </c>
      <c r="N103" s="30" t="str">
        <f>IF(E103="Coinciden",D103,IF(E103="Revisar",VLOOKUP(A103,Revisión!$A$2:$L$703,12,FALSE),""))</f>
        <v>Allium scorodoprasum</v>
      </c>
    </row>
    <row r="104" spans="1:14" x14ac:dyDescent="0.3">
      <c r="A104" t="s">
        <v>220</v>
      </c>
      <c r="B104" t="s">
        <v>221</v>
      </c>
      <c r="C104" t="s">
        <v>221</v>
      </c>
      <c r="D104" t="s">
        <v>221</v>
      </c>
      <c r="E104" t="s">
        <v>18</v>
      </c>
      <c r="F104" t="s">
        <v>19</v>
      </c>
      <c r="H104" s="23" t="e">
        <f>VLOOKUP(A104,Revisión!$A$2:$L$703,6,FALSE)</f>
        <v>#N/A</v>
      </c>
      <c r="I104" s="4" t="e">
        <f>VLOOKUP(A104,Revisión!$A$2:$L$703,7,FALSE)</f>
        <v>#N/A</v>
      </c>
      <c r="J104" s="4" t="e">
        <f>VLOOKUP(A104,Revisión!$A$2:$L$703,8,FALSE)</f>
        <v>#N/A</v>
      </c>
      <c r="K104" s="4" t="e">
        <f>VLOOKUP(A104,Revisión!$A$2:$L$703,9,FALSE)</f>
        <v>#N/A</v>
      </c>
      <c r="L104" s="4" t="e">
        <f>VLOOKUP(A104,Revisión!$A$2:$L$703,10,FALSE)</f>
        <v>#N/A</v>
      </c>
      <c r="M104" s="18" t="e">
        <f>VLOOKUP(A104,Revisión!$A$2:$L$703,11,FALSE)</f>
        <v>#N/A</v>
      </c>
      <c r="N104" s="30" t="str">
        <f>IF(E104="Coinciden",D104,IF(E104="Revisar",VLOOKUP(A104,Revisión!$A$2:$L$703,12,FALSE),""))</f>
        <v>Alocasia odora</v>
      </c>
    </row>
    <row r="105" spans="1:14" x14ac:dyDescent="0.3">
      <c r="A105" t="s">
        <v>222</v>
      </c>
      <c r="B105" t="s">
        <v>223</v>
      </c>
      <c r="C105" t="s">
        <v>223</v>
      </c>
      <c r="D105" t="s">
        <v>223</v>
      </c>
      <c r="E105" t="s">
        <v>18</v>
      </c>
      <c r="F105" t="s">
        <v>19</v>
      </c>
      <c r="H105" s="23" t="e">
        <f>VLOOKUP(A105,Revisión!$A$2:$L$703,6,FALSE)</f>
        <v>#N/A</v>
      </c>
      <c r="I105" s="4" t="e">
        <f>VLOOKUP(A105,Revisión!$A$2:$L$703,7,FALSE)</f>
        <v>#N/A</v>
      </c>
      <c r="J105" s="4" t="e">
        <f>VLOOKUP(A105,Revisión!$A$2:$L$703,8,FALSE)</f>
        <v>#N/A</v>
      </c>
      <c r="K105" s="4" t="e">
        <f>VLOOKUP(A105,Revisión!$A$2:$L$703,9,FALSE)</f>
        <v>#N/A</v>
      </c>
      <c r="L105" s="4" t="e">
        <f>VLOOKUP(A105,Revisión!$A$2:$L$703,10,FALSE)</f>
        <v>#N/A</v>
      </c>
      <c r="M105" s="18" t="e">
        <f>VLOOKUP(A105,Revisión!$A$2:$L$703,11,FALSE)</f>
        <v>#N/A</v>
      </c>
      <c r="N105" s="30" t="str">
        <f>IF(E105="Coinciden",D105,IF(E105="Revisar",VLOOKUP(A105,Revisión!$A$2:$L$703,12,FALSE),""))</f>
        <v>Herbertia lahue</v>
      </c>
    </row>
    <row r="106" spans="1:14" x14ac:dyDescent="0.3">
      <c r="A106" t="s">
        <v>224</v>
      </c>
      <c r="B106" t="s">
        <v>225</v>
      </c>
      <c r="C106" t="s">
        <v>225</v>
      </c>
      <c r="D106" t="s">
        <v>225</v>
      </c>
      <c r="E106" t="s">
        <v>18</v>
      </c>
      <c r="F106" t="s">
        <v>19</v>
      </c>
      <c r="H106" s="23" t="e">
        <f>VLOOKUP(A106,Revisión!$A$2:$L$703,6,FALSE)</f>
        <v>#N/A</v>
      </c>
      <c r="I106" s="4" t="e">
        <f>VLOOKUP(A106,Revisión!$A$2:$L$703,7,FALSE)</f>
        <v>#N/A</v>
      </c>
      <c r="J106" s="4" t="e">
        <f>VLOOKUP(A106,Revisión!$A$2:$L$703,8,FALSE)</f>
        <v>#N/A</v>
      </c>
      <c r="K106" s="4" t="e">
        <f>VLOOKUP(A106,Revisión!$A$2:$L$703,9,FALSE)</f>
        <v>#N/A</v>
      </c>
      <c r="L106" s="4" t="e">
        <f>VLOOKUP(A106,Revisión!$A$2:$L$703,10,FALSE)</f>
        <v>#N/A</v>
      </c>
      <c r="M106" s="18" t="e">
        <f>VLOOKUP(A106,Revisión!$A$2:$L$703,11,FALSE)</f>
        <v>#N/A</v>
      </c>
      <c r="N106" s="30" t="str">
        <f>IF(E106="Coinciden",D106,IF(E106="Revisar",VLOOKUP(A106,Revisión!$A$2:$L$703,12,FALSE),""))</f>
        <v>Alpinia intermedia</v>
      </c>
    </row>
    <row r="107" spans="1:14" x14ac:dyDescent="0.3">
      <c r="A107" t="s">
        <v>226</v>
      </c>
      <c r="B107" t="s">
        <v>227</v>
      </c>
      <c r="C107" t="s">
        <v>227</v>
      </c>
      <c r="D107" t="s">
        <v>227</v>
      </c>
      <c r="E107" t="s">
        <v>18</v>
      </c>
      <c r="F107" t="s">
        <v>19</v>
      </c>
      <c r="H107" s="23" t="e">
        <f>VLOOKUP(A107,Revisión!$A$2:$L$703,6,FALSE)</f>
        <v>#N/A</v>
      </c>
      <c r="I107" s="4" t="e">
        <f>VLOOKUP(A107,Revisión!$A$2:$L$703,7,FALSE)</f>
        <v>#N/A</v>
      </c>
      <c r="J107" s="4" t="e">
        <f>VLOOKUP(A107,Revisión!$A$2:$L$703,8,FALSE)</f>
        <v>#N/A</v>
      </c>
      <c r="K107" s="4" t="e">
        <f>VLOOKUP(A107,Revisión!$A$2:$L$703,9,FALSE)</f>
        <v>#N/A</v>
      </c>
      <c r="L107" s="4" t="e">
        <f>VLOOKUP(A107,Revisión!$A$2:$L$703,10,FALSE)</f>
        <v>#N/A</v>
      </c>
      <c r="M107" s="18" t="e">
        <f>VLOOKUP(A107,Revisión!$A$2:$L$703,11,FALSE)</f>
        <v>#N/A</v>
      </c>
      <c r="N107" s="30" t="str">
        <f>IF(E107="Coinciden",D107,IF(E107="Revisar",VLOOKUP(A107,Revisión!$A$2:$L$703,12,FALSE),""))</f>
        <v>Alpinia formosana</v>
      </c>
    </row>
    <row r="108" spans="1:14" x14ac:dyDescent="0.3">
      <c r="A108" t="s">
        <v>228</v>
      </c>
      <c r="E108" t="s">
        <v>8</v>
      </c>
      <c r="F108" t="s">
        <v>11</v>
      </c>
      <c r="H108" s="23" t="e">
        <f>VLOOKUP(A108,Revisión!$A$2:$L$703,6,FALSE)</f>
        <v>#N/A</v>
      </c>
      <c r="I108" s="4" t="e">
        <f>VLOOKUP(A108,Revisión!$A$2:$L$703,7,FALSE)</f>
        <v>#N/A</v>
      </c>
      <c r="J108" s="4" t="e">
        <f>VLOOKUP(A108,Revisión!$A$2:$L$703,8,FALSE)</f>
        <v>#N/A</v>
      </c>
      <c r="K108" s="4" t="e">
        <f>VLOOKUP(A108,Revisión!$A$2:$L$703,9,FALSE)</f>
        <v>#N/A</v>
      </c>
      <c r="L108" s="4" t="e">
        <f>VLOOKUP(A108,Revisión!$A$2:$L$703,10,FALSE)</f>
        <v>#N/A</v>
      </c>
      <c r="M108" s="18" t="e">
        <f>VLOOKUP(A108,Revisión!$A$2:$L$703,11,FALSE)</f>
        <v>#N/A</v>
      </c>
      <c r="N108" s="30" t="e">
        <f>IF(E108="Coinciden",D108,IF(E108="Revisar",VLOOKUP(A108,Revisión!$A$2:$L$703,12,FALSE),""))</f>
        <v>#N/A</v>
      </c>
    </row>
    <row r="109" spans="1:14" x14ac:dyDescent="0.3">
      <c r="A109" t="s">
        <v>229</v>
      </c>
      <c r="B109" t="s">
        <v>230</v>
      </c>
      <c r="C109" t="s">
        <v>230</v>
      </c>
      <c r="D109" t="s">
        <v>230</v>
      </c>
      <c r="E109" t="s">
        <v>18</v>
      </c>
      <c r="F109" t="s">
        <v>19</v>
      </c>
      <c r="H109" s="23" t="e">
        <f>VLOOKUP(A109,Revisión!$A$2:$L$703,6,FALSE)</f>
        <v>#N/A</v>
      </c>
      <c r="I109" s="4" t="e">
        <f>VLOOKUP(A109,Revisión!$A$2:$L$703,7,FALSE)</f>
        <v>#N/A</v>
      </c>
      <c r="J109" s="4" t="e">
        <f>VLOOKUP(A109,Revisión!$A$2:$L$703,8,FALSE)</f>
        <v>#N/A</v>
      </c>
      <c r="K109" s="4" t="e">
        <f>VLOOKUP(A109,Revisión!$A$2:$L$703,9,FALSE)</f>
        <v>#N/A</v>
      </c>
      <c r="L109" s="4" t="e">
        <f>VLOOKUP(A109,Revisión!$A$2:$L$703,10,FALSE)</f>
        <v>#N/A</v>
      </c>
      <c r="M109" s="18" t="e">
        <f>VLOOKUP(A109,Revisión!$A$2:$L$703,11,FALSE)</f>
        <v>#N/A</v>
      </c>
      <c r="N109" s="30" t="str">
        <f>IF(E109="Coinciden",D109,IF(E109="Revisar",VLOOKUP(A109,Revisión!$A$2:$L$703,12,FALSE),""))</f>
        <v>Alstonia macrophylla</v>
      </c>
    </row>
    <row r="110" spans="1:14" x14ac:dyDescent="0.3">
      <c r="A110" t="s">
        <v>231</v>
      </c>
      <c r="B110" t="s">
        <v>232</v>
      </c>
      <c r="D110" t="s">
        <v>232</v>
      </c>
      <c r="E110" t="s">
        <v>8</v>
      </c>
      <c r="F110" t="s">
        <v>34</v>
      </c>
      <c r="H110" s="23" t="str">
        <f>VLOOKUP(A110,Revisión!$A$2:$L$703,6,FALSE)</f>
        <v>Alstroemeria aurea</v>
      </c>
      <c r="I110" s="4" t="str">
        <f>VLOOKUP(A110,Revisión!$A$2:$L$703,7,FALSE)</f>
        <v>Alstroemeria aurea</v>
      </c>
      <c r="J110" s="4" t="str">
        <f>VLOOKUP(A110,Revisión!$A$2:$L$703,8,FALSE)</f>
        <v>Alstroemeria aurea</v>
      </c>
      <c r="K110" s="4" t="str">
        <f>VLOOKUP(A110,Revisión!$A$2:$L$703,9,FALSE)</f>
        <v>-</v>
      </c>
      <c r="L110" s="4" t="str">
        <f>VLOOKUP(A110,Revisión!$A$2:$L$703,10,FALSE)</f>
        <v>-</v>
      </c>
      <c r="M110" s="18">
        <f>VLOOKUP(A110,Revisión!$A$2:$L$703,11,FALSE)</f>
        <v>3</v>
      </c>
      <c r="N110" s="30" t="str">
        <f>IF(E110="Coinciden",D110,IF(E110="Revisar",VLOOKUP(A110,Revisión!$A$2:$L$703,12,FALSE),""))</f>
        <v>Alstroemeria aurea</v>
      </c>
    </row>
    <row r="111" spans="1:14" x14ac:dyDescent="0.3">
      <c r="A111" t="s">
        <v>233</v>
      </c>
      <c r="C111" t="s">
        <v>234</v>
      </c>
      <c r="D111" t="s">
        <v>234</v>
      </c>
      <c r="E111" t="s">
        <v>8</v>
      </c>
      <c r="F111" t="s">
        <v>49</v>
      </c>
      <c r="H111" s="23" t="str">
        <f>VLOOKUP(A111,Revisión!$A$2:$L$703,6,FALSE)</f>
        <v>Alstroemeria pallida</v>
      </c>
      <c r="I111" s="4" t="str">
        <f>VLOOKUP(A111,Revisión!$A$2:$L$703,7,FALSE)</f>
        <v>Alstroemeria pallida</v>
      </c>
      <c r="J111" s="4" t="str">
        <f>VLOOKUP(A111,Revisión!$A$2:$L$703,8,FALSE)</f>
        <v>Alstroemeria pallida</v>
      </c>
      <c r="K111" s="4" t="str">
        <f>VLOOKUP(A111,Revisión!$A$2:$L$703,9,FALSE)</f>
        <v>-</v>
      </c>
      <c r="L111" s="4" t="str">
        <f>VLOOKUP(A111,Revisión!$A$2:$L$703,10,FALSE)</f>
        <v>-</v>
      </c>
      <c r="M111" s="18">
        <f>VLOOKUP(A111,Revisión!$A$2:$L$703,11,FALSE)</f>
        <v>3</v>
      </c>
      <c r="N111" s="30" t="str">
        <f>IF(E111="Coinciden",D111,IF(E111="Revisar",VLOOKUP(A111,Revisión!$A$2:$L$703,12,FALSE),""))</f>
        <v>Alstroemeria pallida</v>
      </c>
    </row>
    <row r="112" spans="1:14" x14ac:dyDescent="0.3">
      <c r="A112" t="s">
        <v>235</v>
      </c>
      <c r="B112" t="s">
        <v>236</v>
      </c>
      <c r="D112" t="s">
        <v>236</v>
      </c>
      <c r="E112" t="s">
        <v>8</v>
      </c>
      <c r="F112" t="s">
        <v>34</v>
      </c>
      <c r="H112" s="23" t="str">
        <f>VLOOKUP(A112,Revisión!$A$2:$L$703,6,FALSE)</f>
        <v>Alternanthera ficoidea</v>
      </c>
      <c r="I112" s="4" t="str">
        <f>VLOOKUP(A112,Revisión!$A$2:$L$703,7,FALSE)</f>
        <v>Alternanthera ficoidea</v>
      </c>
      <c r="J112" s="4" t="str">
        <f>VLOOKUP(A112,Revisión!$A$2:$L$703,8,FALSE)</f>
        <v>Alternanthera ficoidea</v>
      </c>
      <c r="K112" s="4" t="str">
        <f>VLOOKUP(A112,Revisión!$A$2:$L$703,9,FALSE)</f>
        <v>-</v>
      </c>
      <c r="L112" s="4" t="str">
        <f>VLOOKUP(A112,Revisión!$A$2:$L$703,10,FALSE)</f>
        <v>-</v>
      </c>
      <c r="M112" s="18">
        <f>VLOOKUP(A112,Revisión!$A$2:$L$703,11,FALSE)</f>
        <v>3</v>
      </c>
      <c r="N112" s="30" t="str">
        <f>IF(E112="Coinciden",D112,IF(E112="Revisar",VLOOKUP(A112,Revisión!$A$2:$L$703,12,FALSE),""))</f>
        <v>Alternanthera ficoidea</v>
      </c>
    </row>
    <row r="113" spans="1:14" x14ac:dyDescent="0.3">
      <c r="A113" t="s">
        <v>237</v>
      </c>
      <c r="B113" t="s">
        <v>238</v>
      </c>
      <c r="C113" t="s">
        <v>238</v>
      </c>
      <c r="D113" t="s">
        <v>239</v>
      </c>
      <c r="E113" t="s">
        <v>8</v>
      </c>
      <c r="F113" t="s">
        <v>15</v>
      </c>
      <c r="H113" s="23" t="str">
        <f>VLOOKUP(A113,Revisión!$A$2:$L$703,6,FALSE)</f>
        <v> Lobularia maritima subsp. maritima</v>
      </c>
      <c r="I113" s="4" t="str">
        <f>VLOOKUP(A113,Revisión!$A$2:$L$703,7,FALSE)</f>
        <v> Lobularia maritima subsp. maritima</v>
      </c>
      <c r="J113" s="4" t="str">
        <f>VLOOKUP(A113,Revisión!$A$2:$L$703,8,FALSE)</f>
        <v>Lobularia maritima subsp. maritima</v>
      </c>
      <c r="K113" s="4" t="str">
        <f>VLOOKUP(A113,Revisión!$A$2:$L$703,9,FALSE)</f>
        <v>-</v>
      </c>
      <c r="L113" s="4" t="str">
        <f>VLOOKUP(A113,Revisión!$A$2:$L$703,10,FALSE)</f>
        <v>-</v>
      </c>
      <c r="M113" s="18">
        <f>VLOOKUP(A113,Revisión!$A$2:$L$703,11,FALSE)</f>
        <v>3</v>
      </c>
      <c r="N113" s="30" t="str">
        <f>IF(E113="Coinciden",D113,IF(E113="Revisar",VLOOKUP(A113,Revisión!$A$2:$L$703,12,FALSE),""))</f>
        <v> Lobularia maritima subsp. maritima</v>
      </c>
    </row>
    <row r="114" spans="1:14" x14ac:dyDescent="0.3">
      <c r="A114" t="s">
        <v>240</v>
      </c>
      <c r="B114" t="s">
        <v>241</v>
      </c>
      <c r="C114" t="s">
        <v>241</v>
      </c>
      <c r="D114" t="s">
        <v>241</v>
      </c>
      <c r="E114" t="s">
        <v>18</v>
      </c>
      <c r="F114" t="s">
        <v>19</v>
      </c>
      <c r="H114" s="23" t="e">
        <f>VLOOKUP(A114,Revisión!$A$2:$L$703,6,FALSE)</f>
        <v>#N/A</v>
      </c>
      <c r="I114" s="4" t="e">
        <f>VLOOKUP(A114,Revisión!$A$2:$L$703,7,FALSE)</f>
        <v>#N/A</v>
      </c>
      <c r="J114" s="4" t="e">
        <f>VLOOKUP(A114,Revisión!$A$2:$L$703,8,FALSE)</f>
        <v>#N/A</v>
      </c>
      <c r="K114" s="4" t="e">
        <f>VLOOKUP(A114,Revisión!$A$2:$L$703,9,FALSE)</f>
        <v>#N/A</v>
      </c>
      <c r="L114" s="4" t="e">
        <f>VLOOKUP(A114,Revisión!$A$2:$L$703,10,FALSE)</f>
        <v>#N/A</v>
      </c>
      <c r="M114" s="18" t="e">
        <f>VLOOKUP(A114,Revisión!$A$2:$L$703,11,FALSE)</f>
        <v>#N/A</v>
      </c>
      <c r="N114" s="30" t="str">
        <f>IF(E114="Coinciden",D114,IF(E114="Revisar",VLOOKUP(A114,Revisión!$A$2:$L$703,12,FALSE),""))</f>
        <v>Amaranthus spinosus</v>
      </c>
    </row>
    <row r="115" spans="1:14" x14ac:dyDescent="0.3">
      <c r="A115" t="s">
        <v>242</v>
      </c>
      <c r="B115" t="s">
        <v>243</v>
      </c>
      <c r="C115" t="s">
        <v>243</v>
      </c>
      <c r="D115" t="s">
        <v>243</v>
      </c>
      <c r="E115" t="s">
        <v>18</v>
      </c>
      <c r="F115" t="s">
        <v>19</v>
      </c>
      <c r="H115" s="23" t="e">
        <f>VLOOKUP(A115,Revisión!$A$2:$L$703,6,FALSE)</f>
        <v>#N/A</v>
      </c>
      <c r="I115" s="4" t="e">
        <f>VLOOKUP(A115,Revisión!$A$2:$L$703,7,FALSE)</f>
        <v>#N/A</v>
      </c>
      <c r="J115" s="4" t="e">
        <f>VLOOKUP(A115,Revisión!$A$2:$L$703,8,FALSE)</f>
        <v>#N/A</v>
      </c>
      <c r="K115" s="4" t="e">
        <f>VLOOKUP(A115,Revisión!$A$2:$L$703,9,FALSE)</f>
        <v>#N/A</v>
      </c>
      <c r="L115" s="4" t="e">
        <f>VLOOKUP(A115,Revisión!$A$2:$L$703,10,FALSE)</f>
        <v>#N/A</v>
      </c>
      <c r="M115" s="18" t="e">
        <f>VLOOKUP(A115,Revisión!$A$2:$L$703,11,FALSE)</f>
        <v>#N/A</v>
      </c>
      <c r="N115" s="30" t="str">
        <f>IF(E115="Coinciden",D115,IF(E115="Revisar",VLOOKUP(A115,Revisión!$A$2:$L$703,12,FALSE),""))</f>
        <v>Ambrosia trifida</v>
      </c>
    </row>
    <row r="116" spans="1:14" x14ac:dyDescent="0.3">
      <c r="A116" t="s">
        <v>244</v>
      </c>
      <c r="B116" t="s">
        <v>245</v>
      </c>
      <c r="D116" t="s">
        <v>245</v>
      </c>
      <c r="E116" t="s">
        <v>8</v>
      </c>
      <c r="F116" t="s">
        <v>34</v>
      </c>
      <c r="H116" s="23" t="str">
        <f>VLOOKUP(A116,Revisión!$A$2:$L$703,6,FALSE)</f>
        <v>Amelanchier canadensis</v>
      </c>
      <c r="I116" s="4" t="str">
        <f>VLOOKUP(A116,Revisión!$A$2:$L$703,7,FALSE)</f>
        <v>Amelanchier canadensis</v>
      </c>
      <c r="J116" s="4" t="str">
        <f>VLOOKUP(A116,Revisión!$A$2:$L$703,8,FALSE)</f>
        <v>Amelanchier canadensis</v>
      </c>
      <c r="K116" s="4" t="str">
        <f>VLOOKUP(A116,Revisión!$A$2:$L$703,9,FALSE)</f>
        <v>-</v>
      </c>
      <c r="L116" s="4" t="str">
        <f>VLOOKUP(A116,Revisión!$A$2:$L$703,10,FALSE)</f>
        <v>-</v>
      </c>
      <c r="M116" s="18">
        <f>VLOOKUP(A116,Revisión!$A$2:$L$703,11,FALSE)</f>
        <v>3</v>
      </c>
      <c r="N116" s="30" t="str">
        <f>IF(E116="Coinciden",D116,IF(E116="Revisar",VLOOKUP(A116,Revisión!$A$2:$L$703,12,FALSE),""))</f>
        <v>Amelanchier canadensis</v>
      </c>
    </row>
    <row r="117" spans="1:14" x14ac:dyDescent="0.3">
      <c r="A117" t="s">
        <v>246</v>
      </c>
      <c r="B117" t="s">
        <v>247</v>
      </c>
      <c r="D117" t="s">
        <v>247</v>
      </c>
      <c r="E117" t="s">
        <v>8</v>
      </c>
      <c r="F117" t="s">
        <v>34</v>
      </c>
      <c r="H117" s="23" t="str">
        <f>VLOOKUP(A117,Revisión!$A$2:$L$703,6,FALSE)</f>
        <v>Ammannia coccinea</v>
      </c>
      <c r="I117" s="4" t="str">
        <f>VLOOKUP(A117,Revisión!$A$2:$L$703,7,FALSE)</f>
        <v>Ammannia coccinea</v>
      </c>
      <c r="J117" s="4" t="str">
        <f>VLOOKUP(A117,Revisión!$A$2:$L$703,8,FALSE)</f>
        <v>Ammannia coccinea</v>
      </c>
      <c r="K117" s="4" t="str">
        <f>VLOOKUP(A117,Revisión!$A$2:$L$703,9,FALSE)</f>
        <v>-</v>
      </c>
      <c r="L117" s="4" t="str">
        <f>VLOOKUP(A117,Revisión!$A$2:$L$703,10,FALSE)</f>
        <v>-</v>
      </c>
      <c r="M117" s="18">
        <f>VLOOKUP(A117,Revisión!$A$2:$L$703,11,FALSE)</f>
        <v>3</v>
      </c>
      <c r="N117" s="30" t="str">
        <f>IF(E117="Coinciden",D117,IF(E117="Revisar",VLOOKUP(A117,Revisión!$A$2:$L$703,12,FALSE),""))</f>
        <v>Ammannia coccinea</v>
      </c>
    </row>
    <row r="118" spans="1:14" x14ac:dyDescent="0.3">
      <c r="A118" t="s">
        <v>248</v>
      </c>
      <c r="B118" t="s">
        <v>249</v>
      </c>
      <c r="C118" t="s">
        <v>249</v>
      </c>
      <c r="D118" t="s">
        <v>249</v>
      </c>
      <c r="E118" t="s">
        <v>18</v>
      </c>
      <c r="F118" t="s">
        <v>19</v>
      </c>
      <c r="H118" s="23" t="e">
        <f>VLOOKUP(A118,Revisión!$A$2:$L$703,6,FALSE)</f>
        <v>#N/A</v>
      </c>
      <c r="I118" s="4" t="e">
        <f>VLOOKUP(A118,Revisión!$A$2:$L$703,7,FALSE)</f>
        <v>#N/A</v>
      </c>
      <c r="J118" s="4" t="e">
        <f>VLOOKUP(A118,Revisión!$A$2:$L$703,8,FALSE)</f>
        <v>#N/A</v>
      </c>
      <c r="K118" s="4" t="e">
        <f>VLOOKUP(A118,Revisión!$A$2:$L$703,9,FALSE)</f>
        <v>#N/A</v>
      </c>
      <c r="L118" s="4" t="e">
        <f>VLOOKUP(A118,Revisión!$A$2:$L$703,10,FALSE)</f>
        <v>#N/A</v>
      </c>
      <c r="M118" s="18" t="e">
        <f>VLOOKUP(A118,Revisión!$A$2:$L$703,11,FALSE)</f>
        <v>#N/A</v>
      </c>
      <c r="N118" s="30" t="str">
        <f>IF(E118="Coinciden",D118,IF(E118="Revisar",VLOOKUP(A118,Revisión!$A$2:$L$703,12,FALSE),""))</f>
        <v>Amomyrtus luma</v>
      </c>
    </row>
    <row r="119" spans="1:14" x14ac:dyDescent="0.3">
      <c r="A119" t="s">
        <v>250</v>
      </c>
      <c r="B119" t="s">
        <v>251</v>
      </c>
      <c r="C119" t="s">
        <v>251</v>
      </c>
      <c r="D119" t="s">
        <v>251</v>
      </c>
      <c r="E119" t="s">
        <v>18</v>
      </c>
      <c r="F119" t="s">
        <v>19</v>
      </c>
      <c r="H119" s="23" t="e">
        <f>VLOOKUP(A119,Revisión!$A$2:$L$703,6,FALSE)</f>
        <v>#N/A</v>
      </c>
      <c r="I119" s="4" t="e">
        <f>VLOOKUP(A119,Revisión!$A$2:$L$703,7,FALSE)</f>
        <v>#N/A</v>
      </c>
      <c r="J119" s="4" t="e">
        <f>VLOOKUP(A119,Revisión!$A$2:$L$703,8,FALSE)</f>
        <v>#N/A</v>
      </c>
      <c r="K119" s="4" t="e">
        <f>VLOOKUP(A119,Revisión!$A$2:$L$703,9,FALSE)</f>
        <v>#N/A</v>
      </c>
      <c r="L119" s="4" t="e">
        <f>VLOOKUP(A119,Revisión!$A$2:$L$703,10,FALSE)</f>
        <v>#N/A</v>
      </c>
      <c r="M119" s="18" t="e">
        <f>VLOOKUP(A119,Revisión!$A$2:$L$703,11,FALSE)</f>
        <v>#N/A</v>
      </c>
      <c r="N119" s="30" t="str">
        <f>IF(E119="Coinciden",D119,IF(E119="Revisar",VLOOKUP(A119,Revisión!$A$2:$L$703,12,FALSE),""))</f>
        <v>Amomyrtus meli</v>
      </c>
    </row>
    <row r="120" spans="1:14" x14ac:dyDescent="0.3">
      <c r="A120" t="s">
        <v>252</v>
      </c>
      <c r="B120" t="s">
        <v>253</v>
      </c>
      <c r="D120" t="s">
        <v>253</v>
      </c>
      <c r="E120" t="s">
        <v>8</v>
      </c>
      <c r="F120" t="s">
        <v>34</v>
      </c>
      <c r="H120" s="23" t="str">
        <f>VLOOKUP(A120,Revisión!$A$2:$L$703,6,FALSE)</f>
        <v>Amorpha fruticosa</v>
      </c>
      <c r="I120" s="4" t="str">
        <f>VLOOKUP(A120,Revisión!$A$2:$L$703,7,FALSE)</f>
        <v>Amorpha fruticosa</v>
      </c>
      <c r="J120" s="4" t="str">
        <f>VLOOKUP(A120,Revisión!$A$2:$L$703,8,FALSE)</f>
        <v>Amorpha fruticosa</v>
      </c>
      <c r="K120" s="4" t="str">
        <f>VLOOKUP(A120,Revisión!$A$2:$L$703,9,FALSE)</f>
        <v>-</v>
      </c>
      <c r="L120" s="4" t="str">
        <f>VLOOKUP(A120,Revisión!$A$2:$L$703,10,FALSE)</f>
        <v>-</v>
      </c>
      <c r="M120" s="18">
        <f>VLOOKUP(A120,Revisión!$A$2:$L$703,11,FALSE)</f>
        <v>3</v>
      </c>
      <c r="N120" s="30" t="str">
        <f>IF(E120="Coinciden",D120,IF(E120="Revisar",VLOOKUP(A120,Revisión!$A$2:$L$703,12,FALSE),""))</f>
        <v>Amorpha fruticosa</v>
      </c>
    </row>
    <row r="121" spans="1:14" x14ac:dyDescent="0.3">
      <c r="A121" t="s">
        <v>254</v>
      </c>
      <c r="B121" t="s">
        <v>255</v>
      </c>
      <c r="C121" t="s">
        <v>255</v>
      </c>
      <c r="D121" t="s">
        <v>255</v>
      </c>
      <c r="E121" t="s">
        <v>18</v>
      </c>
      <c r="F121" t="s">
        <v>19</v>
      </c>
      <c r="H121" s="23" t="e">
        <f>VLOOKUP(A121,Revisión!$A$2:$L$703,6,FALSE)</f>
        <v>#N/A</v>
      </c>
      <c r="I121" s="4" t="e">
        <f>VLOOKUP(A121,Revisión!$A$2:$L$703,7,FALSE)</f>
        <v>#N/A</v>
      </c>
      <c r="J121" s="4" t="e">
        <f>VLOOKUP(A121,Revisión!$A$2:$L$703,8,FALSE)</f>
        <v>#N/A</v>
      </c>
      <c r="K121" s="4" t="e">
        <f>VLOOKUP(A121,Revisión!$A$2:$L$703,9,FALSE)</f>
        <v>#N/A</v>
      </c>
      <c r="L121" s="4" t="e">
        <f>VLOOKUP(A121,Revisión!$A$2:$L$703,10,FALSE)</f>
        <v>#N/A</v>
      </c>
      <c r="M121" s="18" t="e">
        <f>VLOOKUP(A121,Revisión!$A$2:$L$703,11,FALSE)</f>
        <v>#N/A</v>
      </c>
      <c r="N121" s="30" t="str">
        <f>IF(E121="Coinciden",D121,IF(E121="Revisar",VLOOKUP(A121,Revisión!$A$2:$L$703,12,FALSE),""))</f>
        <v>Amorpha canescens</v>
      </c>
    </row>
    <row r="122" spans="1:14" x14ac:dyDescent="0.3">
      <c r="A122" t="s">
        <v>256</v>
      </c>
      <c r="B122" t="s">
        <v>257</v>
      </c>
      <c r="C122" t="s">
        <v>258</v>
      </c>
      <c r="D122" t="s">
        <v>258</v>
      </c>
      <c r="E122" t="s">
        <v>8</v>
      </c>
      <c r="F122" t="s">
        <v>23</v>
      </c>
      <c r="H122" s="23" t="str">
        <f>VLOOKUP(A122,Revisión!$A$2:$L$703,6,FALSE)</f>
        <v>Ampelopsis glandulosa var. brevipedunculata</v>
      </c>
      <c r="I122" s="4" t="str">
        <f>VLOOKUP(A122,Revisión!$A$2:$L$703,7,FALSE)</f>
        <v>Ampelopsis glandulosa var. brevipedunculata</v>
      </c>
      <c r="J122" s="4" t="str">
        <f>VLOOKUP(A122,Revisión!$A$2:$L$703,8,FALSE)</f>
        <v>Ampelopsis glandulosa var. brevipedunculata</v>
      </c>
      <c r="K122" s="4" t="str">
        <f>VLOOKUP(A122,Revisión!$A$2:$L$703,9,FALSE)</f>
        <v>-</v>
      </c>
      <c r="L122" s="4" t="str">
        <f>VLOOKUP(A122,Revisión!$A$2:$L$703,10,FALSE)</f>
        <v>-</v>
      </c>
      <c r="M122" s="18">
        <f>VLOOKUP(A122,Revisión!$A$2:$L$703,11,FALSE)</f>
        <v>3</v>
      </c>
      <c r="N122" s="30" t="str">
        <f>IF(E122="Coinciden",D122,IF(E122="Revisar",VLOOKUP(A122,Revisión!$A$2:$L$703,12,FALSE),""))</f>
        <v>Ampelopsis glandulosa var. brevipedunculata</v>
      </c>
    </row>
    <row r="123" spans="1:14" x14ac:dyDescent="0.3">
      <c r="A123" t="s">
        <v>259</v>
      </c>
      <c r="C123" t="s">
        <v>260</v>
      </c>
      <c r="D123" t="s">
        <v>260</v>
      </c>
      <c r="E123" t="s">
        <v>8</v>
      </c>
      <c r="F123" t="s">
        <v>49</v>
      </c>
      <c r="H123" s="23" t="str">
        <f>VLOOKUP(A123,Revisión!$A$2:$L$703,6,FALSE)</f>
        <v>Amphicarpaea bracteata </v>
      </c>
      <c r="I123" s="4" t="str">
        <f>VLOOKUP(A123,Revisión!$A$2:$L$703,7,FALSE)</f>
        <v>Amphicarpaea bracteata</v>
      </c>
      <c r="J123" s="4" t="str">
        <f>VLOOKUP(A123,Revisión!$A$2:$L$703,8,FALSE)</f>
        <v>Amphicarpaea bracteata</v>
      </c>
      <c r="K123" s="4" t="str">
        <f>VLOOKUP(A123,Revisión!$A$2:$L$703,9,FALSE)</f>
        <v>-</v>
      </c>
      <c r="L123" s="4" t="str">
        <f>VLOOKUP(A123,Revisión!$A$2:$L$703,10,FALSE)</f>
        <v>-</v>
      </c>
      <c r="M123" s="18">
        <f>VLOOKUP(A123,Revisión!$A$2:$L$703,11,FALSE)</f>
        <v>3</v>
      </c>
      <c r="N123" s="30" t="str">
        <f>IF(E123="Coinciden",D123,IF(E123="Revisar",VLOOKUP(A123,Revisión!$A$2:$L$703,12,FALSE),""))</f>
        <v>Amphicarpaea bracteata </v>
      </c>
    </row>
    <row r="124" spans="1:14" x14ac:dyDescent="0.3">
      <c r="A124" t="s">
        <v>261</v>
      </c>
      <c r="B124" t="s">
        <v>260</v>
      </c>
      <c r="C124" t="s">
        <v>260</v>
      </c>
      <c r="D124" t="s">
        <v>260</v>
      </c>
      <c r="E124" t="s">
        <v>18</v>
      </c>
      <c r="F124" t="s">
        <v>19</v>
      </c>
      <c r="H124" s="23" t="e">
        <f>VLOOKUP(A124,Revisión!$A$2:$L$703,6,FALSE)</f>
        <v>#N/A</v>
      </c>
      <c r="I124" s="4" t="e">
        <f>VLOOKUP(A124,Revisión!$A$2:$L$703,7,FALSE)</f>
        <v>#N/A</v>
      </c>
      <c r="J124" s="4" t="e">
        <f>VLOOKUP(A124,Revisión!$A$2:$L$703,8,FALSE)</f>
        <v>#N/A</v>
      </c>
      <c r="K124" s="4" t="e">
        <f>VLOOKUP(A124,Revisión!$A$2:$L$703,9,FALSE)</f>
        <v>#N/A</v>
      </c>
      <c r="L124" s="4" t="e">
        <f>VLOOKUP(A124,Revisión!$A$2:$L$703,10,FALSE)</f>
        <v>#N/A</v>
      </c>
      <c r="M124" s="18" t="e">
        <f>VLOOKUP(A124,Revisión!$A$2:$L$703,11,FALSE)</f>
        <v>#N/A</v>
      </c>
      <c r="N124" s="30" t="str">
        <f>IF(E124="Coinciden",D124,IF(E124="Revisar",VLOOKUP(A124,Revisión!$A$2:$L$703,12,FALSE),""))</f>
        <v>Amphicarpaea bracteata</v>
      </c>
    </row>
    <row r="125" spans="1:14" x14ac:dyDescent="0.3">
      <c r="A125" t="s">
        <v>262</v>
      </c>
      <c r="B125" t="s">
        <v>263</v>
      </c>
      <c r="C125" t="s">
        <v>263</v>
      </c>
      <c r="D125" t="s">
        <v>264</v>
      </c>
      <c r="E125" t="s">
        <v>8</v>
      </c>
      <c r="F125" t="s">
        <v>15</v>
      </c>
      <c r="H125" s="23" t="str">
        <f>VLOOKUP(A125,Revisión!$A$2:$L$703,6,FALSE)</f>
        <v>Anacyclus radiatus</v>
      </c>
      <c r="I125" s="4" t="str">
        <f>VLOOKUP(A125,Revisión!$A$2:$L$703,7,FALSE)</f>
        <v>-</v>
      </c>
      <c r="J125" s="4" t="str">
        <f>VLOOKUP(A125,Revisión!$A$2:$L$703,8,FALSE)</f>
        <v>Anacyclus radiatus</v>
      </c>
      <c r="K125" s="4" t="str">
        <f>VLOOKUP(A125,Revisión!$A$2:$L$703,9,FALSE)</f>
        <v>-</v>
      </c>
      <c r="L125" s="4" t="str">
        <f>VLOOKUP(A125,Revisión!$A$2:$L$703,10,FALSE)</f>
        <v>-</v>
      </c>
      <c r="M125" s="18">
        <f>VLOOKUP(A125,Revisión!$A$2:$L$703,11,FALSE)</f>
        <v>2</v>
      </c>
      <c r="N125" s="30" t="str">
        <f>IF(E125="Coinciden",D125,IF(E125="Revisar",VLOOKUP(A125,Revisión!$A$2:$L$703,12,FALSE),""))</f>
        <v>Anacyclus radiatus</v>
      </c>
    </row>
    <row r="126" spans="1:14" x14ac:dyDescent="0.3">
      <c r="A126" t="s">
        <v>265</v>
      </c>
      <c r="B126" t="s">
        <v>266</v>
      </c>
      <c r="C126" t="s">
        <v>267</v>
      </c>
      <c r="D126" t="s">
        <v>267</v>
      </c>
      <c r="E126" t="s">
        <v>8</v>
      </c>
      <c r="F126" t="s">
        <v>23</v>
      </c>
      <c r="H126" s="23" t="str">
        <f>VLOOKUP(A126,Revisión!$A$2:$L$703,6,FALSE)</f>
        <v>Lysimachia lanceola</v>
      </c>
      <c r="I126" s="4" t="str">
        <f>VLOOKUP(A126,Revisión!$A$2:$L$703,7,FALSE)</f>
        <v>Lysimachia amoena</v>
      </c>
      <c r="J126" s="4" t="str">
        <f>VLOOKUP(A126,Revisión!$A$2:$L$703,8,FALSE)</f>
        <v>Lysimachia amoena</v>
      </c>
      <c r="K126" s="4" t="str">
        <f>VLOOKUP(A126,Revisión!$A$2:$L$703,9,FALSE)</f>
        <v>-</v>
      </c>
      <c r="L126" s="4" t="str">
        <f>VLOOKUP(A126,Revisión!$A$2:$L$703,10,FALSE)</f>
        <v>-</v>
      </c>
      <c r="M126" s="18">
        <f>VLOOKUP(A126,Revisión!$A$2:$L$703,11,FALSE)</f>
        <v>2</v>
      </c>
      <c r="N126" s="30" t="str">
        <f>IF(E126="Coinciden",D126,IF(E126="Revisar",VLOOKUP(A126,Revisión!$A$2:$L$703,12,FALSE),""))</f>
        <v>Lysimachia amoena</v>
      </c>
    </row>
    <row r="127" spans="1:14" x14ac:dyDescent="0.3">
      <c r="A127" t="s">
        <v>268</v>
      </c>
      <c r="B127" t="s">
        <v>269</v>
      </c>
      <c r="C127" t="s">
        <v>270</v>
      </c>
      <c r="D127" t="s">
        <v>270</v>
      </c>
      <c r="E127" t="s">
        <v>8</v>
      </c>
      <c r="F127" t="s">
        <v>23</v>
      </c>
      <c r="H127" s="23" t="str">
        <f>VLOOKUP(A127,Revisión!$A$2:$L$703,6,FALSE)</f>
        <v>Lysimachia arvensis</v>
      </c>
      <c r="I127" s="4" t="str">
        <f>VLOOKUP(A127,Revisión!$A$2:$L$703,7,FALSE)</f>
        <v>Lysimachia arvensis</v>
      </c>
      <c r="J127" s="4" t="str">
        <f>VLOOKUP(A127,Revisión!$A$2:$L$703,8,FALSE)</f>
        <v>Lysimachia arvensis</v>
      </c>
      <c r="K127" s="4" t="str">
        <f>VLOOKUP(A127,Revisión!$A$2:$L$703,9,FALSE)</f>
        <v>-</v>
      </c>
      <c r="L127" s="4" t="str">
        <f>VLOOKUP(A127,Revisión!$A$2:$L$703,10,FALSE)</f>
        <v>-</v>
      </c>
      <c r="M127" s="18">
        <f>VLOOKUP(A127,Revisión!$A$2:$L$703,11,FALSE)</f>
        <v>3</v>
      </c>
      <c r="N127" s="30" t="str">
        <f>IF(E127="Coinciden",D127,IF(E127="Revisar",VLOOKUP(A127,Revisión!$A$2:$L$703,12,FALSE),""))</f>
        <v>Lysimachia arvensis</v>
      </c>
    </row>
    <row r="128" spans="1:14" x14ac:dyDescent="0.3">
      <c r="A128" t="s">
        <v>271</v>
      </c>
      <c r="B128" t="s">
        <v>272</v>
      </c>
      <c r="C128" t="s">
        <v>272</v>
      </c>
      <c r="D128" t="s">
        <v>272</v>
      </c>
      <c r="E128" t="s">
        <v>18</v>
      </c>
      <c r="F128" t="s">
        <v>19</v>
      </c>
      <c r="H128" s="23" t="e">
        <f>VLOOKUP(A128,Revisión!$A$2:$L$703,6,FALSE)</f>
        <v>#N/A</v>
      </c>
      <c r="I128" s="4" t="e">
        <f>VLOOKUP(A128,Revisión!$A$2:$L$703,7,FALSE)</f>
        <v>#N/A</v>
      </c>
      <c r="J128" s="4" t="e">
        <f>VLOOKUP(A128,Revisión!$A$2:$L$703,8,FALSE)</f>
        <v>#N/A</v>
      </c>
      <c r="K128" s="4" t="e">
        <f>VLOOKUP(A128,Revisión!$A$2:$L$703,9,FALSE)</f>
        <v>#N/A</v>
      </c>
      <c r="L128" s="4" t="e">
        <f>VLOOKUP(A128,Revisión!$A$2:$L$703,10,FALSE)</f>
        <v>#N/A</v>
      </c>
      <c r="M128" s="18" t="e">
        <f>VLOOKUP(A128,Revisión!$A$2:$L$703,11,FALSE)</f>
        <v>#N/A</v>
      </c>
      <c r="N128" s="30" t="str">
        <f>IF(E128="Coinciden",D128,IF(E128="Revisar",VLOOKUP(A128,Revisión!$A$2:$L$703,12,FALSE),""))</f>
        <v>Anaphalis margaritacea</v>
      </c>
    </row>
    <row r="129" spans="1:14" x14ac:dyDescent="0.3">
      <c r="A129" t="s">
        <v>273</v>
      </c>
      <c r="B129" t="s">
        <v>274</v>
      </c>
      <c r="C129" t="s">
        <v>274</v>
      </c>
      <c r="D129" t="s">
        <v>274</v>
      </c>
      <c r="E129" t="s">
        <v>18</v>
      </c>
      <c r="F129" t="s">
        <v>19</v>
      </c>
      <c r="H129" s="23" t="e">
        <f>VLOOKUP(A129,Revisión!$A$2:$L$703,6,FALSE)</f>
        <v>#N/A</v>
      </c>
      <c r="I129" s="4" t="e">
        <f>VLOOKUP(A129,Revisión!$A$2:$L$703,7,FALSE)</f>
        <v>#N/A</v>
      </c>
      <c r="J129" s="4" t="e">
        <f>VLOOKUP(A129,Revisión!$A$2:$L$703,8,FALSE)</f>
        <v>#N/A</v>
      </c>
      <c r="K129" s="4" t="e">
        <f>VLOOKUP(A129,Revisión!$A$2:$L$703,9,FALSE)</f>
        <v>#N/A</v>
      </c>
      <c r="L129" s="4" t="e">
        <f>VLOOKUP(A129,Revisión!$A$2:$L$703,10,FALSE)</f>
        <v>#N/A</v>
      </c>
      <c r="M129" s="18" t="e">
        <f>VLOOKUP(A129,Revisión!$A$2:$L$703,11,FALSE)</f>
        <v>#N/A</v>
      </c>
      <c r="N129" s="30" t="str">
        <f>IF(E129="Coinciden",D129,IF(E129="Revisar",VLOOKUP(A129,Revisión!$A$2:$L$703,12,FALSE),""))</f>
        <v>Anarthrophyllum gayanum</v>
      </c>
    </row>
    <row r="130" spans="1:14" x14ac:dyDescent="0.3">
      <c r="A130" t="s">
        <v>275</v>
      </c>
      <c r="B130" t="s">
        <v>276</v>
      </c>
      <c r="C130" t="s">
        <v>276</v>
      </c>
      <c r="D130" t="s">
        <v>276</v>
      </c>
      <c r="E130" t="s">
        <v>18</v>
      </c>
      <c r="F130" t="s">
        <v>19</v>
      </c>
      <c r="H130" s="23" t="e">
        <f>VLOOKUP(A130,Revisión!$A$2:$L$703,6,FALSE)</f>
        <v>#N/A</v>
      </c>
      <c r="I130" s="4" t="e">
        <f>VLOOKUP(A130,Revisión!$A$2:$L$703,7,FALSE)</f>
        <v>#N/A</v>
      </c>
      <c r="J130" s="4" t="e">
        <f>VLOOKUP(A130,Revisión!$A$2:$L$703,8,FALSE)</f>
        <v>#N/A</v>
      </c>
      <c r="K130" s="4" t="e">
        <f>VLOOKUP(A130,Revisión!$A$2:$L$703,9,FALSE)</f>
        <v>#N/A</v>
      </c>
      <c r="L130" s="4" t="e">
        <f>VLOOKUP(A130,Revisión!$A$2:$L$703,10,FALSE)</f>
        <v>#N/A</v>
      </c>
      <c r="M130" s="18" t="e">
        <f>VLOOKUP(A130,Revisión!$A$2:$L$703,11,FALSE)</f>
        <v>#N/A</v>
      </c>
      <c r="N130" s="30" t="str">
        <f>IF(E130="Coinciden",D130,IF(E130="Revisar",VLOOKUP(A130,Revisión!$A$2:$L$703,12,FALSE),""))</f>
        <v>Anarthrophyllum cumingii</v>
      </c>
    </row>
    <row r="131" spans="1:14" x14ac:dyDescent="0.3">
      <c r="A131" t="s">
        <v>277</v>
      </c>
      <c r="B131" t="s">
        <v>278</v>
      </c>
      <c r="C131" t="s">
        <v>279</v>
      </c>
      <c r="D131" t="s">
        <v>279</v>
      </c>
      <c r="E131" t="s">
        <v>8</v>
      </c>
      <c r="F131" t="s">
        <v>23</v>
      </c>
      <c r="H131" s="23" t="str">
        <f>VLOOKUP(A131,Revisión!$A$2:$L$703,6,FALSE)</f>
        <v>Anchusella variegata</v>
      </c>
      <c r="I131" s="4" t="str">
        <f>VLOOKUP(A131,Revisión!$A$2:$L$703,7,FALSE)</f>
        <v>Anchusa variegata</v>
      </c>
      <c r="J131" s="4" t="str">
        <f>VLOOKUP(A131,Revisión!$A$2:$L$703,8,FALSE)</f>
        <v>Anchusa variegata</v>
      </c>
      <c r="K131" s="4" t="str">
        <f>VLOOKUP(A131,Revisión!$A$2:$L$703,9,FALSE)</f>
        <v>-</v>
      </c>
      <c r="L131" s="4" t="str">
        <f>VLOOKUP(A131,Revisión!$A$2:$L$703,10,FALSE)</f>
        <v>-</v>
      </c>
      <c r="M131" s="18">
        <f>VLOOKUP(A131,Revisión!$A$2:$L$703,11,FALSE)</f>
        <v>2</v>
      </c>
      <c r="N131" s="30" t="str">
        <f>IF(E131="Coinciden",D131,IF(E131="Revisar",VLOOKUP(A131,Revisión!$A$2:$L$703,12,FALSE),""))</f>
        <v>Anchusa variegata</v>
      </c>
    </row>
    <row r="132" spans="1:14" x14ac:dyDescent="0.3">
      <c r="A132" t="s">
        <v>280</v>
      </c>
      <c r="B132" t="s">
        <v>281</v>
      </c>
      <c r="D132" t="s">
        <v>281</v>
      </c>
      <c r="E132" t="s">
        <v>8</v>
      </c>
      <c r="F132" t="s">
        <v>34</v>
      </c>
      <c r="H132" s="23" t="str">
        <f>VLOOKUP(A132,Revisión!$A$2:$L$703,6,FALSE)</f>
        <v>Anchusa undulata</v>
      </c>
      <c r="I132" s="4" t="str">
        <f>VLOOKUP(A132,Revisión!$A$2:$L$703,7,FALSE)</f>
        <v>Anchusa undulata</v>
      </c>
      <c r="J132" s="4" t="str">
        <f>VLOOKUP(A132,Revisión!$A$2:$L$703,8,FALSE)</f>
        <v>Anchusa undulata</v>
      </c>
      <c r="K132" s="4" t="str">
        <f>VLOOKUP(A132,Revisión!$A$2:$L$703,9,FALSE)</f>
        <v>-</v>
      </c>
      <c r="L132" s="4" t="str">
        <f>VLOOKUP(A132,Revisión!$A$2:$L$703,10,FALSE)</f>
        <v>-</v>
      </c>
      <c r="M132" s="18">
        <f>VLOOKUP(A132,Revisión!$A$2:$L$703,11,FALSE)</f>
        <v>2</v>
      </c>
      <c r="N132" s="30" t="str">
        <f>IF(E132="Coinciden",D132,IF(E132="Revisar",VLOOKUP(A132,Revisión!$A$2:$L$703,12,FALSE),""))</f>
        <v>Anchusa undulata</v>
      </c>
    </row>
    <row r="133" spans="1:14" x14ac:dyDescent="0.3">
      <c r="A133" t="s">
        <v>282</v>
      </c>
      <c r="B133" t="s">
        <v>283</v>
      </c>
      <c r="C133" t="s">
        <v>283</v>
      </c>
      <c r="D133" t="s">
        <v>284</v>
      </c>
      <c r="E133" t="s">
        <v>8</v>
      </c>
      <c r="F133" t="s">
        <v>15</v>
      </c>
      <c r="H133" s="23" t="str">
        <f>VLOOKUP(A133,Revisión!$A$2:$L$703,6,FALSE)</f>
        <v>Andromeda polifolia var. latifolia</v>
      </c>
      <c r="I133" s="4" t="str">
        <f>VLOOKUP(A133,Revisión!$A$2:$L$703,7,FALSE)</f>
        <v>Andromeda polifolia var. latifolia</v>
      </c>
      <c r="J133" s="4" t="str">
        <f>VLOOKUP(A133,Revisión!$A$2:$L$703,8,FALSE)</f>
        <v>Andromeda polifolia var. latifolia</v>
      </c>
      <c r="K133" s="4" t="str">
        <f>VLOOKUP(A133,Revisión!$A$2:$L$703,9,FALSE)</f>
        <v>-</v>
      </c>
      <c r="L133" s="4" t="str">
        <f>VLOOKUP(A133,Revisión!$A$2:$L$703,10,FALSE)</f>
        <v>-</v>
      </c>
      <c r="M133" s="18">
        <f>VLOOKUP(A133,Revisión!$A$2:$L$703,11,FALSE)</f>
        <v>2</v>
      </c>
      <c r="N133" s="30" t="str">
        <f>IF(E133="Coinciden",D133,IF(E133="Revisar",VLOOKUP(A133,Revisión!$A$2:$L$703,12,FALSE),""))</f>
        <v>Andromeda polifolia var. latifolia</v>
      </c>
    </row>
    <row r="134" spans="1:14" x14ac:dyDescent="0.3">
      <c r="A134" t="s">
        <v>285</v>
      </c>
      <c r="B134" t="s">
        <v>286</v>
      </c>
      <c r="C134" t="s">
        <v>286</v>
      </c>
      <c r="D134" t="s">
        <v>286</v>
      </c>
      <c r="E134" t="s">
        <v>18</v>
      </c>
      <c r="F134" t="s">
        <v>19</v>
      </c>
      <c r="H134" s="23" t="e">
        <f>VLOOKUP(A134,Revisión!$A$2:$L$703,6,FALSE)</f>
        <v>#N/A</v>
      </c>
      <c r="I134" s="4" t="e">
        <f>VLOOKUP(A134,Revisión!$A$2:$L$703,7,FALSE)</f>
        <v>#N/A</v>
      </c>
      <c r="J134" s="4" t="e">
        <f>VLOOKUP(A134,Revisión!$A$2:$L$703,8,FALSE)</f>
        <v>#N/A</v>
      </c>
      <c r="K134" s="4" t="e">
        <f>VLOOKUP(A134,Revisión!$A$2:$L$703,9,FALSE)</f>
        <v>#N/A</v>
      </c>
      <c r="L134" s="4" t="e">
        <f>VLOOKUP(A134,Revisión!$A$2:$L$703,10,FALSE)</f>
        <v>#N/A</v>
      </c>
      <c r="M134" s="18" t="e">
        <f>VLOOKUP(A134,Revisión!$A$2:$L$703,11,FALSE)</f>
        <v>#N/A</v>
      </c>
      <c r="N134" s="30" t="str">
        <f>IF(E134="Coinciden",D134,IF(E134="Revisar",VLOOKUP(A134,Revisión!$A$2:$L$703,12,FALSE),""))</f>
        <v>Andryala pinnatifida</v>
      </c>
    </row>
    <row r="135" spans="1:14" x14ac:dyDescent="0.3">
      <c r="A135" t="s">
        <v>287</v>
      </c>
      <c r="B135" t="s">
        <v>288</v>
      </c>
      <c r="C135" t="s">
        <v>288</v>
      </c>
      <c r="D135" t="s">
        <v>288</v>
      </c>
      <c r="E135" t="s">
        <v>18</v>
      </c>
      <c r="F135" t="s">
        <v>19</v>
      </c>
      <c r="H135" s="23" t="e">
        <f>VLOOKUP(A135,Revisión!$A$2:$L$703,6,FALSE)</f>
        <v>#N/A</v>
      </c>
      <c r="I135" s="4" t="e">
        <f>VLOOKUP(A135,Revisión!$A$2:$L$703,7,FALSE)</f>
        <v>#N/A</v>
      </c>
      <c r="J135" s="4" t="e">
        <f>VLOOKUP(A135,Revisión!$A$2:$L$703,8,FALSE)</f>
        <v>#N/A</v>
      </c>
      <c r="K135" s="4" t="e">
        <f>VLOOKUP(A135,Revisión!$A$2:$L$703,9,FALSE)</f>
        <v>#N/A</v>
      </c>
      <c r="L135" s="4" t="e">
        <f>VLOOKUP(A135,Revisión!$A$2:$L$703,10,FALSE)</f>
        <v>#N/A</v>
      </c>
      <c r="M135" s="18" t="e">
        <f>VLOOKUP(A135,Revisión!$A$2:$L$703,11,FALSE)</f>
        <v>#N/A</v>
      </c>
      <c r="N135" s="30" t="str">
        <f>IF(E135="Coinciden",D135,IF(E135="Revisar",VLOOKUP(A135,Revisión!$A$2:$L$703,12,FALSE),""))</f>
        <v>Anemonastrum flaccidum</v>
      </c>
    </row>
    <row r="136" spans="1:14" x14ac:dyDescent="0.3">
      <c r="A136" t="s">
        <v>289</v>
      </c>
      <c r="B136" t="s">
        <v>290</v>
      </c>
      <c r="C136" t="s">
        <v>290</v>
      </c>
      <c r="D136" t="s">
        <v>290</v>
      </c>
      <c r="E136" t="s">
        <v>18</v>
      </c>
      <c r="F136" t="s">
        <v>19</v>
      </c>
      <c r="H136" s="23" t="e">
        <f>VLOOKUP(A136,Revisión!$A$2:$L$703,6,FALSE)</f>
        <v>#N/A</v>
      </c>
      <c r="I136" s="4" t="e">
        <f>VLOOKUP(A136,Revisión!$A$2:$L$703,7,FALSE)</f>
        <v>#N/A</v>
      </c>
      <c r="J136" s="4" t="e">
        <f>VLOOKUP(A136,Revisión!$A$2:$L$703,8,FALSE)</f>
        <v>#N/A</v>
      </c>
      <c r="K136" s="4" t="e">
        <f>VLOOKUP(A136,Revisión!$A$2:$L$703,9,FALSE)</f>
        <v>#N/A</v>
      </c>
      <c r="L136" s="4" t="e">
        <f>VLOOKUP(A136,Revisión!$A$2:$L$703,10,FALSE)</f>
        <v>#N/A</v>
      </c>
      <c r="M136" s="18" t="e">
        <f>VLOOKUP(A136,Revisión!$A$2:$L$703,11,FALSE)</f>
        <v>#N/A</v>
      </c>
      <c r="N136" s="30" t="str">
        <f>IF(E136="Coinciden",D136,IF(E136="Revisar",VLOOKUP(A136,Revisión!$A$2:$L$703,12,FALSE),""))</f>
        <v>Anemone coronaria</v>
      </c>
    </row>
    <row r="137" spans="1:14" x14ac:dyDescent="0.3">
      <c r="A137" t="s">
        <v>291</v>
      </c>
      <c r="B137" t="s">
        <v>292</v>
      </c>
      <c r="C137" t="s">
        <v>293</v>
      </c>
      <c r="D137" t="s">
        <v>294</v>
      </c>
      <c r="E137" t="s">
        <v>8</v>
      </c>
      <c r="F137" t="s">
        <v>295</v>
      </c>
      <c r="H137" s="23" t="str">
        <f>VLOOKUP(A137,Revisión!$A$2:$L$703,6,FALSE)</f>
        <v>Anemone hortensis</v>
      </c>
      <c r="I137" s="4" t="str">
        <f>VLOOKUP(A137,Revisión!$A$2:$L$703,7,FALSE)</f>
        <v>Anemone hortensis</v>
      </c>
      <c r="J137" s="4" t="str">
        <f>VLOOKUP(A137,Revisión!$A$2:$L$703,8,FALSE)</f>
        <v>Anemone hortensis</v>
      </c>
      <c r="K137" s="4" t="str">
        <f>VLOOKUP(A137,Revisión!$A$2:$L$703,9,FALSE)</f>
        <v>-</v>
      </c>
      <c r="L137" s="4" t="str">
        <f>VLOOKUP(A137,Revisión!$A$2:$L$703,10,FALSE)</f>
        <v>-</v>
      </c>
      <c r="M137" s="18">
        <f>VLOOKUP(A137,Revisión!$A$2:$L$703,11,FALSE)</f>
        <v>3</v>
      </c>
      <c r="N137" s="30" t="str">
        <f>IF(E137="Coinciden",D137,IF(E137="Revisar",VLOOKUP(A137,Revisión!$A$2:$L$703,12,FALSE),""))</f>
        <v>Anemone hortensis</v>
      </c>
    </row>
    <row r="138" spans="1:14" x14ac:dyDescent="0.3">
      <c r="A138" t="s">
        <v>296</v>
      </c>
      <c r="B138" t="s">
        <v>297</v>
      </c>
      <c r="C138" t="s">
        <v>298</v>
      </c>
      <c r="D138" t="s">
        <v>298</v>
      </c>
      <c r="E138" t="s">
        <v>8</v>
      </c>
      <c r="F138" t="s">
        <v>23</v>
      </c>
      <c r="H138" s="23" t="str">
        <f>VLOOKUP(A138,Revisión!$A$2:$L$703,6,FALSE)</f>
        <v>Thalictrum thalictroides</v>
      </c>
      <c r="I138" s="4" t="str">
        <f>VLOOKUP(A138,Revisión!$A$2:$L$703,7,FALSE)</f>
        <v>Anemonella thalictroides</v>
      </c>
      <c r="J138" s="4" t="str">
        <f>VLOOKUP(A138,Revisión!$A$2:$L$703,8,FALSE)</f>
        <v>Thalictrum thalictroides</v>
      </c>
      <c r="K138" s="4" t="str">
        <f>VLOOKUP(A138,Revisión!$A$2:$L$703,9,FALSE)</f>
        <v>-</v>
      </c>
      <c r="L138" s="4" t="str">
        <f>VLOOKUP(A138,Revisión!$A$2:$L$703,10,FALSE)</f>
        <v>-</v>
      </c>
      <c r="M138" s="18">
        <f>VLOOKUP(A138,Revisión!$A$2:$L$703,11,FALSE)</f>
        <v>2</v>
      </c>
      <c r="N138" s="30" t="str">
        <f>IF(E138="Coinciden",D138,IF(E138="Revisar",VLOOKUP(A138,Revisión!$A$2:$L$703,12,FALSE),""))</f>
        <v>Thalictrum thalictroides</v>
      </c>
    </row>
    <row r="139" spans="1:14" x14ac:dyDescent="0.3">
      <c r="A139" t="s">
        <v>299</v>
      </c>
      <c r="B139" t="s">
        <v>300</v>
      </c>
      <c r="D139" t="s">
        <v>300</v>
      </c>
      <c r="E139" t="s">
        <v>8</v>
      </c>
      <c r="F139" t="s">
        <v>34</v>
      </c>
      <c r="H139" s="23" t="str">
        <f>VLOOKUP(A139,Revisión!$A$2:$L$703,6,FALSE)</f>
        <v>Anethum graveolens</v>
      </c>
      <c r="I139" s="4" t="str">
        <f>VLOOKUP(A139,Revisión!$A$2:$L$703,7,FALSE)</f>
        <v>Anethum graveolens</v>
      </c>
      <c r="J139" s="4" t="str">
        <f>VLOOKUP(A139,Revisión!$A$2:$L$703,8,FALSE)</f>
        <v>Anethum graveolens</v>
      </c>
      <c r="K139" s="4" t="str">
        <f>VLOOKUP(A139,Revisión!$A$2:$L$703,9,FALSE)</f>
        <v>-</v>
      </c>
      <c r="L139" s="4" t="str">
        <f>VLOOKUP(A139,Revisión!$A$2:$L$703,10,FALSE)</f>
        <v>-</v>
      </c>
      <c r="M139" s="18">
        <f>VLOOKUP(A139,Revisión!$A$2:$L$703,11,FALSE)</f>
        <v>3</v>
      </c>
      <c r="N139" s="30" t="str">
        <f>IF(E139="Coinciden",D139,IF(E139="Revisar",VLOOKUP(A139,Revisión!$A$2:$L$703,12,FALSE),""))</f>
        <v>Anethum graveolens</v>
      </c>
    </row>
    <row r="140" spans="1:14" x14ac:dyDescent="0.3">
      <c r="A140" t="s">
        <v>301</v>
      </c>
      <c r="B140" t="s">
        <v>302</v>
      </c>
      <c r="C140" t="s">
        <v>302</v>
      </c>
      <c r="D140" t="s">
        <v>302</v>
      </c>
      <c r="E140" t="s">
        <v>18</v>
      </c>
      <c r="F140" t="s">
        <v>19</v>
      </c>
      <c r="H140" s="23" t="e">
        <f>VLOOKUP(A140,Revisión!$A$2:$L$703,6,FALSE)</f>
        <v>#N/A</v>
      </c>
      <c r="I140" s="4" t="e">
        <f>VLOOKUP(A140,Revisión!$A$2:$L$703,7,FALSE)</f>
        <v>#N/A</v>
      </c>
      <c r="J140" s="4" t="e">
        <f>VLOOKUP(A140,Revisión!$A$2:$L$703,8,FALSE)</f>
        <v>#N/A</v>
      </c>
      <c r="K140" s="4" t="e">
        <f>VLOOKUP(A140,Revisión!$A$2:$L$703,9,FALSE)</f>
        <v>#N/A</v>
      </c>
      <c r="L140" s="4" t="e">
        <f>VLOOKUP(A140,Revisión!$A$2:$L$703,10,FALSE)</f>
        <v>#N/A</v>
      </c>
      <c r="M140" s="18" t="e">
        <f>VLOOKUP(A140,Revisión!$A$2:$L$703,11,FALSE)</f>
        <v>#N/A</v>
      </c>
      <c r="N140" s="30" t="str">
        <f>IF(E140="Coinciden",D140,IF(E140="Revisar",VLOOKUP(A140,Revisión!$A$2:$L$703,12,FALSE),""))</f>
        <v>Angelica longeradiata</v>
      </c>
    </row>
    <row r="141" spans="1:14" x14ac:dyDescent="0.3">
      <c r="A141" t="s">
        <v>303</v>
      </c>
      <c r="B141" t="s">
        <v>304</v>
      </c>
      <c r="C141" t="s">
        <v>304</v>
      </c>
      <c r="D141" t="s">
        <v>304</v>
      </c>
      <c r="E141" t="s">
        <v>18</v>
      </c>
      <c r="F141" t="s">
        <v>19</v>
      </c>
      <c r="H141" s="23" t="e">
        <f>VLOOKUP(A141,Revisión!$A$2:$L$703,6,FALSE)</f>
        <v>#N/A</v>
      </c>
      <c r="I141" s="4" t="e">
        <f>VLOOKUP(A141,Revisión!$A$2:$L$703,7,FALSE)</f>
        <v>#N/A</v>
      </c>
      <c r="J141" s="4" t="e">
        <f>VLOOKUP(A141,Revisión!$A$2:$L$703,8,FALSE)</f>
        <v>#N/A</v>
      </c>
      <c r="K141" s="4" t="e">
        <f>VLOOKUP(A141,Revisión!$A$2:$L$703,9,FALSE)</f>
        <v>#N/A</v>
      </c>
      <c r="L141" s="4" t="e">
        <f>VLOOKUP(A141,Revisión!$A$2:$L$703,10,FALSE)</f>
        <v>#N/A</v>
      </c>
      <c r="M141" s="18" t="e">
        <f>VLOOKUP(A141,Revisión!$A$2:$L$703,11,FALSE)</f>
        <v>#N/A</v>
      </c>
      <c r="N141" s="30" t="str">
        <f>IF(E141="Coinciden",D141,IF(E141="Revisar",VLOOKUP(A141,Revisión!$A$2:$L$703,12,FALSE),""))</f>
        <v>Angelica sylvestris</v>
      </c>
    </row>
    <row r="142" spans="1:14" x14ac:dyDescent="0.3">
      <c r="A142" t="s">
        <v>305</v>
      </c>
      <c r="B142" t="s">
        <v>306</v>
      </c>
      <c r="C142" t="s">
        <v>306</v>
      </c>
      <c r="D142" t="s">
        <v>306</v>
      </c>
      <c r="E142" t="s">
        <v>18</v>
      </c>
      <c r="F142" t="s">
        <v>19</v>
      </c>
      <c r="H142" s="23" t="e">
        <f>VLOOKUP(A142,Revisión!$A$2:$L$703,6,FALSE)</f>
        <v>#N/A</v>
      </c>
      <c r="I142" s="4" t="e">
        <f>VLOOKUP(A142,Revisión!$A$2:$L$703,7,FALSE)</f>
        <v>#N/A</v>
      </c>
      <c r="J142" s="4" t="e">
        <f>VLOOKUP(A142,Revisión!$A$2:$L$703,8,FALSE)</f>
        <v>#N/A</v>
      </c>
      <c r="K142" s="4" t="e">
        <f>VLOOKUP(A142,Revisión!$A$2:$L$703,9,FALSE)</f>
        <v>#N/A</v>
      </c>
      <c r="L142" s="4" t="e">
        <f>VLOOKUP(A142,Revisión!$A$2:$L$703,10,FALSE)</f>
        <v>#N/A</v>
      </c>
      <c r="M142" s="18" t="e">
        <f>VLOOKUP(A142,Revisión!$A$2:$L$703,11,FALSE)</f>
        <v>#N/A</v>
      </c>
      <c r="N142" s="30" t="str">
        <f>IF(E142="Coinciden",D142,IF(E142="Revisar",VLOOKUP(A142,Revisión!$A$2:$L$703,12,FALSE),""))</f>
        <v>Angelica pubescens</v>
      </c>
    </row>
    <row r="143" spans="1:14" x14ac:dyDescent="0.3">
      <c r="A143" t="s">
        <v>307</v>
      </c>
      <c r="B143" t="s">
        <v>308</v>
      </c>
      <c r="C143" t="s">
        <v>308</v>
      </c>
      <c r="D143" t="s">
        <v>308</v>
      </c>
      <c r="E143" t="s">
        <v>18</v>
      </c>
      <c r="F143" t="s">
        <v>19</v>
      </c>
      <c r="H143" s="23" t="e">
        <f>VLOOKUP(A143,Revisión!$A$2:$L$703,6,FALSE)</f>
        <v>#N/A</v>
      </c>
      <c r="I143" s="4" t="e">
        <f>VLOOKUP(A143,Revisión!$A$2:$L$703,7,FALSE)</f>
        <v>#N/A</v>
      </c>
      <c r="J143" s="4" t="e">
        <f>VLOOKUP(A143,Revisión!$A$2:$L$703,8,FALSE)</f>
        <v>#N/A</v>
      </c>
      <c r="K143" s="4" t="e">
        <f>VLOOKUP(A143,Revisión!$A$2:$L$703,9,FALSE)</f>
        <v>#N/A</v>
      </c>
      <c r="L143" s="4" t="e">
        <f>VLOOKUP(A143,Revisión!$A$2:$L$703,10,FALSE)</f>
        <v>#N/A</v>
      </c>
      <c r="M143" s="18" t="e">
        <f>VLOOKUP(A143,Revisión!$A$2:$L$703,11,FALSE)</f>
        <v>#N/A</v>
      </c>
      <c r="N143" s="30" t="str">
        <f>IF(E143="Coinciden",D143,IF(E143="Revisar",VLOOKUP(A143,Revisión!$A$2:$L$703,12,FALSE),""))</f>
        <v>Angelica archangelica</v>
      </c>
    </row>
    <row r="144" spans="1:14" x14ac:dyDescent="0.3">
      <c r="A144" t="s">
        <v>309</v>
      </c>
      <c r="B144" t="s">
        <v>310</v>
      </c>
      <c r="C144" t="s">
        <v>310</v>
      </c>
      <c r="D144" t="s">
        <v>310</v>
      </c>
      <c r="E144" t="s">
        <v>18</v>
      </c>
      <c r="F144" t="s">
        <v>19</v>
      </c>
      <c r="H144" s="23" t="e">
        <f>VLOOKUP(A144,Revisión!$A$2:$L$703,6,FALSE)</f>
        <v>#N/A</v>
      </c>
      <c r="I144" s="4" t="e">
        <f>VLOOKUP(A144,Revisión!$A$2:$L$703,7,FALSE)</f>
        <v>#N/A</v>
      </c>
      <c r="J144" s="4" t="e">
        <f>VLOOKUP(A144,Revisión!$A$2:$L$703,8,FALSE)</f>
        <v>#N/A</v>
      </c>
      <c r="K144" s="4" t="e">
        <f>VLOOKUP(A144,Revisión!$A$2:$L$703,9,FALSE)</f>
        <v>#N/A</v>
      </c>
      <c r="L144" s="4" t="e">
        <f>VLOOKUP(A144,Revisión!$A$2:$L$703,10,FALSE)</f>
        <v>#N/A</v>
      </c>
      <c r="M144" s="18" t="e">
        <f>VLOOKUP(A144,Revisión!$A$2:$L$703,11,FALSE)</f>
        <v>#N/A</v>
      </c>
      <c r="N144" s="30" t="str">
        <f>IF(E144="Coinciden",D144,IF(E144="Revisar",VLOOKUP(A144,Revisión!$A$2:$L$703,12,FALSE),""))</f>
        <v>Angelica polymorpha</v>
      </c>
    </row>
    <row r="145" spans="1:14" x14ac:dyDescent="0.3">
      <c r="A145" t="s">
        <v>311</v>
      </c>
      <c r="B145" t="s">
        <v>312</v>
      </c>
      <c r="C145" t="s">
        <v>312</v>
      </c>
      <c r="D145" t="s">
        <v>312</v>
      </c>
      <c r="E145" t="s">
        <v>18</v>
      </c>
      <c r="F145" t="s">
        <v>19</v>
      </c>
      <c r="H145" s="23" t="e">
        <f>VLOOKUP(A145,Revisión!$A$2:$L$703,6,FALSE)</f>
        <v>#N/A</v>
      </c>
      <c r="I145" s="4" t="e">
        <f>VLOOKUP(A145,Revisión!$A$2:$L$703,7,FALSE)</f>
        <v>#N/A</v>
      </c>
      <c r="J145" s="4" t="e">
        <f>VLOOKUP(A145,Revisión!$A$2:$L$703,8,FALSE)</f>
        <v>#N/A</v>
      </c>
      <c r="K145" s="4" t="e">
        <f>VLOOKUP(A145,Revisión!$A$2:$L$703,9,FALSE)</f>
        <v>#N/A</v>
      </c>
      <c r="L145" s="4" t="e">
        <f>VLOOKUP(A145,Revisión!$A$2:$L$703,10,FALSE)</f>
        <v>#N/A</v>
      </c>
      <c r="M145" s="18" t="e">
        <f>VLOOKUP(A145,Revisión!$A$2:$L$703,11,FALSE)</f>
        <v>#N/A</v>
      </c>
      <c r="N145" s="30" t="str">
        <f>IF(E145="Coinciden",D145,IF(E145="Revisar",VLOOKUP(A145,Revisión!$A$2:$L$703,12,FALSE),""))</f>
        <v>Angelica cartilaginomarginata</v>
      </c>
    </row>
    <row r="146" spans="1:14" x14ac:dyDescent="0.3">
      <c r="A146" t="s">
        <v>313</v>
      </c>
      <c r="B146" t="s">
        <v>314</v>
      </c>
      <c r="C146" t="s">
        <v>314</v>
      </c>
      <c r="D146" t="s">
        <v>314</v>
      </c>
      <c r="E146" t="s">
        <v>18</v>
      </c>
      <c r="F146" t="s">
        <v>19</v>
      </c>
      <c r="H146" s="23" t="e">
        <f>VLOOKUP(A146,Revisión!$A$2:$L$703,6,FALSE)</f>
        <v>#N/A</v>
      </c>
      <c r="I146" s="4" t="e">
        <f>VLOOKUP(A146,Revisión!$A$2:$L$703,7,FALSE)</f>
        <v>#N/A</v>
      </c>
      <c r="J146" s="4" t="e">
        <f>VLOOKUP(A146,Revisión!$A$2:$L$703,8,FALSE)</f>
        <v>#N/A</v>
      </c>
      <c r="K146" s="4" t="e">
        <f>VLOOKUP(A146,Revisión!$A$2:$L$703,9,FALSE)</f>
        <v>#N/A</v>
      </c>
      <c r="L146" s="4" t="e">
        <f>VLOOKUP(A146,Revisión!$A$2:$L$703,10,FALSE)</f>
        <v>#N/A</v>
      </c>
      <c r="M146" s="18" t="e">
        <f>VLOOKUP(A146,Revisión!$A$2:$L$703,11,FALSE)</f>
        <v>#N/A</v>
      </c>
      <c r="N146" s="30" t="str">
        <f>IF(E146="Coinciden",D146,IF(E146="Revisar",VLOOKUP(A146,Revisión!$A$2:$L$703,12,FALSE),""))</f>
        <v>Anisotome flexuosa</v>
      </c>
    </row>
    <row r="147" spans="1:14" x14ac:dyDescent="0.3">
      <c r="A147" t="s">
        <v>315</v>
      </c>
      <c r="B147" t="s">
        <v>316</v>
      </c>
      <c r="C147" t="s">
        <v>316</v>
      </c>
      <c r="D147" t="s">
        <v>316</v>
      </c>
      <c r="E147" t="s">
        <v>18</v>
      </c>
      <c r="F147" t="s">
        <v>19</v>
      </c>
      <c r="H147" s="23" t="e">
        <f>VLOOKUP(A147,Revisión!$A$2:$L$703,6,FALSE)</f>
        <v>#N/A</v>
      </c>
      <c r="I147" s="4" t="e">
        <f>VLOOKUP(A147,Revisión!$A$2:$L$703,7,FALSE)</f>
        <v>#N/A</v>
      </c>
      <c r="J147" s="4" t="e">
        <f>VLOOKUP(A147,Revisión!$A$2:$L$703,8,FALSE)</f>
        <v>#N/A</v>
      </c>
      <c r="K147" s="4" t="e">
        <f>VLOOKUP(A147,Revisión!$A$2:$L$703,9,FALSE)</f>
        <v>#N/A</v>
      </c>
      <c r="L147" s="4" t="e">
        <f>VLOOKUP(A147,Revisión!$A$2:$L$703,10,FALSE)</f>
        <v>#N/A</v>
      </c>
      <c r="M147" s="18" t="e">
        <f>VLOOKUP(A147,Revisión!$A$2:$L$703,11,FALSE)</f>
        <v>#N/A</v>
      </c>
      <c r="N147" s="30" t="str">
        <f>IF(E147="Coinciden",D147,IF(E147="Revisar",VLOOKUP(A147,Revisión!$A$2:$L$703,12,FALSE),""))</f>
        <v>Anisotome aromatica</v>
      </c>
    </row>
    <row r="148" spans="1:14" x14ac:dyDescent="0.3">
      <c r="A148" t="s">
        <v>317</v>
      </c>
      <c r="B148" t="s">
        <v>318</v>
      </c>
      <c r="C148" t="s">
        <v>318</v>
      </c>
      <c r="D148" t="s">
        <v>318</v>
      </c>
      <c r="E148" t="s">
        <v>18</v>
      </c>
      <c r="F148" t="s">
        <v>19</v>
      </c>
      <c r="H148" s="23" t="e">
        <f>VLOOKUP(A148,Revisión!$A$2:$L$703,6,FALSE)</f>
        <v>#N/A</v>
      </c>
      <c r="I148" s="4" t="e">
        <f>VLOOKUP(A148,Revisión!$A$2:$L$703,7,FALSE)</f>
        <v>#N/A</v>
      </c>
      <c r="J148" s="4" t="e">
        <f>VLOOKUP(A148,Revisión!$A$2:$L$703,8,FALSE)</f>
        <v>#N/A</v>
      </c>
      <c r="K148" s="4" t="e">
        <f>VLOOKUP(A148,Revisión!$A$2:$L$703,9,FALSE)</f>
        <v>#N/A</v>
      </c>
      <c r="L148" s="4" t="e">
        <f>VLOOKUP(A148,Revisión!$A$2:$L$703,10,FALSE)</f>
        <v>#N/A</v>
      </c>
      <c r="M148" s="18" t="e">
        <f>VLOOKUP(A148,Revisión!$A$2:$L$703,11,FALSE)</f>
        <v>#N/A</v>
      </c>
      <c r="N148" s="30" t="str">
        <f>IF(E148="Coinciden",D148,IF(E148="Revisar",VLOOKUP(A148,Revisión!$A$2:$L$703,12,FALSE),""))</f>
        <v>Antennaria plantaginifolia</v>
      </c>
    </row>
    <row r="149" spans="1:14" x14ac:dyDescent="0.3">
      <c r="A149" t="s">
        <v>319</v>
      </c>
      <c r="B149" t="s">
        <v>320</v>
      </c>
      <c r="C149" t="s">
        <v>320</v>
      </c>
      <c r="D149" t="s">
        <v>320</v>
      </c>
      <c r="E149" t="s">
        <v>18</v>
      </c>
      <c r="F149" t="s">
        <v>19</v>
      </c>
      <c r="H149" s="23" t="e">
        <f>VLOOKUP(A149,Revisión!$A$2:$L$703,6,FALSE)</f>
        <v>#N/A</v>
      </c>
      <c r="I149" s="4" t="e">
        <f>VLOOKUP(A149,Revisión!$A$2:$L$703,7,FALSE)</f>
        <v>#N/A</v>
      </c>
      <c r="J149" s="4" t="e">
        <f>VLOOKUP(A149,Revisión!$A$2:$L$703,8,FALSE)</f>
        <v>#N/A</v>
      </c>
      <c r="K149" s="4" t="e">
        <f>VLOOKUP(A149,Revisión!$A$2:$L$703,9,FALSE)</f>
        <v>#N/A</v>
      </c>
      <c r="L149" s="4" t="e">
        <f>VLOOKUP(A149,Revisión!$A$2:$L$703,10,FALSE)</f>
        <v>#N/A</v>
      </c>
      <c r="M149" s="18" t="e">
        <f>VLOOKUP(A149,Revisión!$A$2:$L$703,11,FALSE)</f>
        <v>#N/A</v>
      </c>
      <c r="N149" s="30" t="str">
        <f>IF(E149="Coinciden",D149,IF(E149="Revisar",VLOOKUP(A149,Revisión!$A$2:$L$703,12,FALSE),""))</f>
        <v>Antennaria alpina</v>
      </c>
    </row>
    <row r="150" spans="1:14" x14ac:dyDescent="0.3">
      <c r="A150" t="s">
        <v>321</v>
      </c>
      <c r="B150" t="s">
        <v>322</v>
      </c>
      <c r="C150" t="s">
        <v>322</v>
      </c>
      <c r="E150" t="s">
        <v>8</v>
      </c>
      <c r="F150" t="s">
        <v>323</v>
      </c>
      <c r="H150" s="23" t="str">
        <f>VLOOKUP(A150,Revisión!$A$2:$L$703,6,FALSE)</f>
        <v>Persicaria filiformis</v>
      </c>
      <c r="I150" s="4" t="str">
        <f>VLOOKUP(A150,Revisión!$A$2:$L$703,7,FALSE)</f>
        <v>-</v>
      </c>
      <c r="J150" s="4" t="str">
        <f>VLOOKUP(A150,Revisión!$A$2:$L$703,8,FALSE)</f>
        <v>Persicaria filiformis </v>
      </c>
      <c r="K150" s="4" t="str">
        <f>VLOOKUP(A150,Revisión!$A$2:$L$703,9,FALSE)</f>
        <v>-</v>
      </c>
      <c r="L150" s="4" t="str">
        <f>VLOOKUP(A150,Revisión!$A$2:$L$703,10,FALSE)</f>
        <v>-</v>
      </c>
      <c r="M150" s="18">
        <f>VLOOKUP(A150,Revisión!$A$2:$L$703,11,FALSE)</f>
        <v>2</v>
      </c>
      <c r="N150" s="30" t="str">
        <f>IF(E150="Coinciden",D150,IF(E150="Revisar",VLOOKUP(A150,Revisión!$A$2:$L$703,12,FALSE),""))</f>
        <v>Persicaria filiformis </v>
      </c>
    </row>
    <row r="151" spans="1:14" x14ac:dyDescent="0.3">
      <c r="A151" t="s">
        <v>324</v>
      </c>
      <c r="B151" t="s">
        <v>325</v>
      </c>
      <c r="D151" t="s">
        <v>325</v>
      </c>
      <c r="E151" t="s">
        <v>8</v>
      </c>
      <c r="F151" t="s">
        <v>34</v>
      </c>
      <c r="H151" s="23" t="str">
        <f>VLOOKUP(A151,Revisión!$A$2:$L$703,6,FALSE)</f>
        <v>Anthemis cotula</v>
      </c>
      <c r="I151" s="4" t="str">
        <f>VLOOKUP(A151,Revisión!$A$2:$L$703,7,FALSE)</f>
        <v>Anthemis cotula</v>
      </c>
      <c r="J151" s="4" t="str">
        <f>VLOOKUP(A151,Revisión!$A$2:$L$703,8,FALSE)</f>
        <v>Anthemis cotula</v>
      </c>
      <c r="K151" s="4" t="str">
        <f>VLOOKUP(A151,Revisión!$A$2:$L$703,9,FALSE)</f>
        <v>-</v>
      </c>
      <c r="L151" s="4" t="str">
        <f>VLOOKUP(A151,Revisión!$A$2:$L$703,10,FALSE)</f>
        <v>-</v>
      </c>
      <c r="M151" s="18">
        <f>VLOOKUP(A151,Revisión!$A$2:$L$703,11,FALSE)</f>
        <v>3</v>
      </c>
      <c r="N151" s="30" t="str">
        <f>IF(E151="Coinciden",D151,IF(E151="Revisar",VLOOKUP(A151,Revisión!$A$2:$L$703,12,FALSE),""))</f>
        <v>Anthemis cotula</v>
      </c>
    </row>
    <row r="152" spans="1:14" x14ac:dyDescent="0.3">
      <c r="A152" t="s">
        <v>326</v>
      </c>
      <c r="B152" t="s">
        <v>327</v>
      </c>
      <c r="C152" t="s">
        <v>327</v>
      </c>
      <c r="D152" t="s">
        <v>327</v>
      </c>
      <c r="E152" t="s">
        <v>18</v>
      </c>
      <c r="F152" t="s">
        <v>19</v>
      </c>
      <c r="H152" s="23" t="e">
        <f>VLOOKUP(A152,Revisión!$A$2:$L$703,6,FALSE)</f>
        <v>#N/A</v>
      </c>
      <c r="I152" s="4" t="e">
        <f>VLOOKUP(A152,Revisión!$A$2:$L$703,7,FALSE)</f>
        <v>#N/A</v>
      </c>
      <c r="J152" s="4" t="e">
        <f>VLOOKUP(A152,Revisión!$A$2:$L$703,8,FALSE)</f>
        <v>#N/A</v>
      </c>
      <c r="K152" s="4" t="e">
        <f>VLOOKUP(A152,Revisión!$A$2:$L$703,9,FALSE)</f>
        <v>#N/A</v>
      </c>
      <c r="L152" s="4" t="e">
        <f>VLOOKUP(A152,Revisión!$A$2:$L$703,10,FALSE)</f>
        <v>#N/A</v>
      </c>
      <c r="M152" s="18" t="e">
        <f>VLOOKUP(A152,Revisión!$A$2:$L$703,11,FALSE)</f>
        <v>#N/A</v>
      </c>
      <c r="N152" s="30" t="str">
        <f>IF(E152="Coinciden",D152,IF(E152="Revisar",VLOOKUP(A152,Revisión!$A$2:$L$703,12,FALSE),""))</f>
        <v>Anthriscus sylvestris</v>
      </c>
    </row>
    <row r="153" spans="1:14" x14ac:dyDescent="0.3">
      <c r="A153" t="s">
        <v>328</v>
      </c>
      <c r="B153" t="s">
        <v>329</v>
      </c>
      <c r="C153" t="s">
        <v>329</v>
      </c>
      <c r="D153" t="s">
        <v>329</v>
      </c>
      <c r="E153" t="s">
        <v>18</v>
      </c>
      <c r="F153" t="s">
        <v>19</v>
      </c>
      <c r="H153" s="23" t="e">
        <f>VLOOKUP(A153,Revisión!$A$2:$L$703,6,FALSE)</f>
        <v>#N/A</v>
      </c>
      <c r="I153" s="4" t="e">
        <f>VLOOKUP(A153,Revisión!$A$2:$L$703,7,FALSE)</f>
        <v>#N/A</v>
      </c>
      <c r="J153" s="4" t="e">
        <f>VLOOKUP(A153,Revisión!$A$2:$L$703,8,FALSE)</f>
        <v>#N/A</v>
      </c>
      <c r="K153" s="4" t="e">
        <f>VLOOKUP(A153,Revisión!$A$2:$L$703,9,FALSE)</f>
        <v>#N/A</v>
      </c>
      <c r="L153" s="4" t="e">
        <f>VLOOKUP(A153,Revisión!$A$2:$L$703,10,FALSE)</f>
        <v>#N/A</v>
      </c>
      <c r="M153" s="18" t="e">
        <f>VLOOKUP(A153,Revisión!$A$2:$L$703,11,FALSE)</f>
        <v>#N/A</v>
      </c>
      <c r="N153" s="30" t="str">
        <f>IF(E153="Coinciden",D153,IF(E153="Revisar",VLOOKUP(A153,Revisión!$A$2:$L$703,12,FALSE),""))</f>
        <v>Anthyllis hermanniae</v>
      </c>
    </row>
    <row r="154" spans="1:14" x14ac:dyDescent="0.3">
      <c r="A154" t="s">
        <v>330</v>
      </c>
      <c r="C154" t="s">
        <v>331</v>
      </c>
      <c r="D154" t="s">
        <v>331</v>
      </c>
      <c r="E154" t="s">
        <v>8</v>
      </c>
      <c r="F154" t="s">
        <v>49</v>
      </c>
      <c r="H154" s="23" t="str">
        <f>VLOOKUP(A154,Revisión!$A$2:$L$703,6,FALSE)</f>
        <v>Antidesma japonicum</v>
      </c>
      <c r="I154" s="4" t="str">
        <f>VLOOKUP(A154,Revisión!$A$2:$L$703,7,FALSE)</f>
        <v>Antidesma japonicum</v>
      </c>
      <c r="J154" s="4" t="str">
        <f>VLOOKUP(A154,Revisión!$A$2:$L$703,8,FALSE)</f>
        <v>Antidesma japonicum</v>
      </c>
      <c r="K154" s="4" t="str">
        <f>VLOOKUP(A154,Revisión!$A$2:$L$703,9,FALSE)</f>
        <v>-</v>
      </c>
      <c r="L154" s="4" t="str">
        <f>VLOOKUP(A154,Revisión!$A$2:$L$703,10,FALSE)</f>
        <v>-</v>
      </c>
      <c r="M154" s="18">
        <f>VLOOKUP(A154,Revisión!$A$2:$L$703,11,FALSE)</f>
        <v>3</v>
      </c>
      <c r="N154" s="30" t="str">
        <f>IF(E154="Coinciden",D154,IF(E154="Revisar",VLOOKUP(A154,Revisión!$A$2:$L$703,12,FALSE),""))</f>
        <v>Antidesma japonicum </v>
      </c>
    </row>
    <row r="155" spans="1:14" x14ac:dyDescent="0.3">
      <c r="A155" t="s">
        <v>332</v>
      </c>
      <c r="B155" t="s">
        <v>333</v>
      </c>
      <c r="C155" t="s">
        <v>333</v>
      </c>
      <c r="D155" t="s">
        <v>333</v>
      </c>
      <c r="E155" t="s">
        <v>18</v>
      </c>
      <c r="F155" t="s">
        <v>19</v>
      </c>
      <c r="H155" s="23" t="e">
        <f>VLOOKUP(A155,Revisión!$A$2:$L$703,6,FALSE)</f>
        <v>#N/A</v>
      </c>
      <c r="I155" s="4" t="e">
        <f>VLOOKUP(A155,Revisión!$A$2:$L$703,7,FALSE)</f>
        <v>#N/A</v>
      </c>
      <c r="J155" s="4" t="e">
        <f>VLOOKUP(A155,Revisión!$A$2:$L$703,8,FALSE)</f>
        <v>#N/A</v>
      </c>
      <c r="K155" s="4" t="e">
        <f>VLOOKUP(A155,Revisión!$A$2:$L$703,9,FALSE)</f>
        <v>#N/A</v>
      </c>
      <c r="L155" s="4" t="e">
        <f>VLOOKUP(A155,Revisión!$A$2:$L$703,10,FALSE)</f>
        <v>#N/A</v>
      </c>
      <c r="M155" s="18" t="e">
        <f>VLOOKUP(A155,Revisión!$A$2:$L$703,11,FALSE)</f>
        <v>#N/A</v>
      </c>
      <c r="N155" s="30" t="str">
        <f>IF(E155="Coinciden",D155,IF(E155="Revisar",VLOOKUP(A155,Revisión!$A$2:$L$703,12,FALSE),""))</f>
        <v>Antidesma madagascariense</v>
      </c>
    </row>
    <row r="156" spans="1:14" x14ac:dyDescent="0.3">
      <c r="A156" t="s">
        <v>334</v>
      </c>
      <c r="B156" t="s">
        <v>335</v>
      </c>
      <c r="C156" t="s">
        <v>335</v>
      </c>
      <c r="D156" t="s">
        <v>335</v>
      </c>
      <c r="E156" t="s">
        <v>18</v>
      </c>
      <c r="F156" t="s">
        <v>19</v>
      </c>
      <c r="H156" s="23" t="e">
        <f>VLOOKUP(A156,Revisión!$A$2:$L$703,6,FALSE)</f>
        <v>#N/A</v>
      </c>
      <c r="I156" s="4" t="e">
        <f>VLOOKUP(A156,Revisión!$A$2:$L$703,7,FALSE)</f>
        <v>#N/A</v>
      </c>
      <c r="J156" s="4" t="e">
        <f>VLOOKUP(A156,Revisión!$A$2:$L$703,8,FALSE)</f>
        <v>#N/A</v>
      </c>
      <c r="K156" s="4" t="e">
        <f>VLOOKUP(A156,Revisión!$A$2:$L$703,9,FALSE)</f>
        <v>#N/A</v>
      </c>
      <c r="L156" s="4" t="e">
        <f>VLOOKUP(A156,Revisión!$A$2:$L$703,10,FALSE)</f>
        <v>#N/A</v>
      </c>
      <c r="M156" s="18" t="e">
        <f>VLOOKUP(A156,Revisión!$A$2:$L$703,11,FALSE)</f>
        <v>#N/A</v>
      </c>
      <c r="N156" s="30" t="str">
        <f>IF(E156="Coinciden",D156,IF(E156="Revisar",VLOOKUP(A156,Revisión!$A$2:$L$703,12,FALSE),""))</f>
        <v>Antirhea borbonica</v>
      </c>
    </row>
    <row r="157" spans="1:14" x14ac:dyDescent="0.3">
      <c r="A157" t="s">
        <v>336</v>
      </c>
      <c r="B157" t="s">
        <v>337</v>
      </c>
      <c r="C157" t="s">
        <v>337</v>
      </c>
      <c r="D157" t="s">
        <v>337</v>
      </c>
      <c r="E157" t="s">
        <v>18</v>
      </c>
      <c r="F157" t="s">
        <v>19</v>
      </c>
      <c r="H157" s="23" t="e">
        <f>VLOOKUP(A157,Revisión!$A$2:$L$703,6,FALSE)</f>
        <v>#N/A</v>
      </c>
      <c r="I157" s="4" t="e">
        <f>VLOOKUP(A157,Revisión!$A$2:$L$703,7,FALSE)</f>
        <v>#N/A</v>
      </c>
      <c r="J157" s="4" t="e">
        <f>VLOOKUP(A157,Revisión!$A$2:$L$703,8,FALSE)</f>
        <v>#N/A</v>
      </c>
      <c r="K157" s="4" t="e">
        <f>VLOOKUP(A157,Revisión!$A$2:$L$703,9,FALSE)</f>
        <v>#N/A</v>
      </c>
      <c r="L157" s="4" t="e">
        <f>VLOOKUP(A157,Revisión!$A$2:$L$703,10,FALSE)</f>
        <v>#N/A</v>
      </c>
      <c r="M157" s="18" t="e">
        <f>VLOOKUP(A157,Revisión!$A$2:$L$703,11,FALSE)</f>
        <v>#N/A</v>
      </c>
      <c r="N157" s="30" t="str">
        <f>IF(E157="Coinciden",D157,IF(E157="Revisar",VLOOKUP(A157,Revisión!$A$2:$L$703,12,FALSE),""))</f>
        <v>Aphloia theiformis</v>
      </c>
    </row>
    <row r="158" spans="1:14" x14ac:dyDescent="0.3">
      <c r="A158" t="s">
        <v>338</v>
      </c>
      <c r="B158" t="s">
        <v>339</v>
      </c>
      <c r="C158" t="s">
        <v>339</v>
      </c>
      <c r="D158" t="s">
        <v>339</v>
      </c>
      <c r="E158" t="s">
        <v>18</v>
      </c>
      <c r="F158" t="s">
        <v>19</v>
      </c>
      <c r="H158" s="23" t="e">
        <f>VLOOKUP(A158,Revisión!$A$2:$L$703,6,FALSE)</f>
        <v>#N/A</v>
      </c>
      <c r="I158" s="4" t="e">
        <f>VLOOKUP(A158,Revisión!$A$2:$L$703,7,FALSE)</f>
        <v>#N/A</v>
      </c>
      <c r="J158" s="4" t="e">
        <f>VLOOKUP(A158,Revisión!$A$2:$L$703,8,FALSE)</f>
        <v>#N/A</v>
      </c>
      <c r="K158" s="4" t="e">
        <f>VLOOKUP(A158,Revisión!$A$2:$L$703,9,FALSE)</f>
        <v>#N/A</v>
      </c>
      <c r="L158" s="4" t="e">
        <f>VLOOKUP(A158,Revisión!$A$2:$L$703,10,FALSE)</f>
        <v>#N/A</v>
      </c>
      <c r="M158" s="18" t="e">
        <f>VLOOKUP(A158,Revisión!$A$2:$L$703,11,FALSE)</f>
        <v>#N/A</v>
      </c>
      <c r="N158" s="30" t="str">
        <f>IF(E158="Coinciden",D158,IF(E158="Revisar",VLOOKUP(A158,Revisión!$A$2:$L$703,12,FALSE),""))</f>
        <v>Apios americana</v>
      </c>
    </row>
    <row r="159" spans="1:14" x14ac:dyDescent="0.3">
      <c r="A159" t="s">
        <v>340</v>
      </c>
      <c r="B159" t="s">
        <v>341</v>
      </c>
      <c r="C159" t="s">
        <v>341</v>
      </c>
      <c r="D159" t="s">
        <v>341</v>
      </c>
      <c r="E159" t="s">
        <v>18</v>
      </c>
      <c r="F159" t="s">
        <v>19</v>
      </c>
      <c r="H159" s="23" t="e">
        <f>VLOOKUP(A159,Revisión!$A$2:$L$703,6,FALSE)</f>
        <v>#N/A</v>
      </c>
      <c r="I159" s="4" t="e">
        <f>VLOOKUP(A159,Revisión!$A$2:$L$703,7,FALSE)</f>
        <v>#N/A</v>
      </c>
      <c r="J159" s="4" t="e">
        <f>VLOOKUP(A159,Revisión!$A$2:$L$703,8,FALSE)</f>
        <v>#N/A</v>
      </c>
      <c r="K159" s="4" t="e">
        <f>VLOOKUP(A159,Revisión!$A$2:$L$703,9,FALSE)</f>
        <v>#N/A</v>
      </c>
      <c r="L159" s="4" t="e">
        <f>VLOOKUP(A159,Revisión!$A$2:$L$703,10,FALSE)</f>
        <v>#N/A</v>
      </c>
      <c r="M159" s="18" t="e">
        <f>VLOOKUP(A159,Revisión!$A$2:$L$703,11,FALSE)</f>
        <v>#N/A</v>
      </c>
      <c r="N159" s="30" t="str">
        <f>IF(E159="Coinciden",D159,IF(E159="Revisar",VLOOKUP(A159,Revisión!$A$2:$L$703,12,FALSE),""))</f>
        <v>Apocynum androsaemifolium</v>
      </c>
    </row>
    <row r="160" spans="1:14" x14ac:dyDescent="0.3">
      <c r="A160" t="s">
        <v>342</v>
      </c>
      <c r="B160" t="s">
        <v>343</v>
      </c>
      <c r="C160" t="s">
        <v>343</v>
      </c>
      <c r="D160" t="s">
        <v>343</v>
      </c>
      <c r="E160" t="s">
        <v>18</v>
      </c>
      <c r="F160" t="s">
        <v>19</v>
      </c>
      <c r="H160" s="23" t="e">
        <f>VLOOKUP(A160,Revisión!$A$2:$L$703,6,FALSE)</f>
        <v>#N/A</v>
      </c>
      <c r="I160" s="4" t="e">
        <f>VLOOKUP(A160,Revisión!$A$2:$L$703,7,FALSE)</f>
        <v>#N/A</v>
      </c>
      <c r="J160" s="4" t="e">
        <f>VLOOKUP(A160,Revisión!$A$2:$L$703,8,FALSE)</f>
        <v>#N/A</v>
      </c>
      <c r="K160" s="4" t="e">
        <f>VLOOKUP(A160,Revisión!$A$2:$L$703,9,FALSE)</f>
        <v>#N/A</v>
      </c>
      <c r="L160" s="4" t="e">
        <f>VLOOKUP(A160,Revisión!$A$2:$L$703,10,FALSE)</f>
        <v>#N/A</v>
      </c>
      <c r="M160" s="18" t="e">
        <f>VLOOKUP(A160,Revisión!$A$2:$L$703,11,FALSE)</f>
        <v>#N/A</v>
      </c>
      <c r="N160" s="30" t="str">
        <f>IF(E160="Coinciden",D160,IF(E160="Revisar",VLOOKUP(A160,Revisión!$A$2:$L$703,12,FALSE),""))</f>
        <v>Apocynum cannabinum</v>
      </c>
    </row>
    <row r="161" spans="1:14" x14ac:dyDescent="0.3">
      <c r="A161" t="s">
        <v>344</v>
      </c>
      <c r="B161" t="s">
        <v>345</v>
      </c>
      <c r="C161" t="s">
        <v>345</v>
      </c>
      <c r="D161" t="s">
        <v>345</v>
      </c>
      <c r="E161" t="s">
        <v>18</v>
      </c>
      <c r="F161" t="s">
        <v>19</v>
      </c>
      <c r="H161" s="23" t="e">
        <f>VLOOKUP(A161,Revisión!$A$2:$L$703,6,FALSE)</f>
        <v>#N/A</v>
      </c>
      <c r="I161" s="4" t="e">
        <f>VLOOKUP(A161,Revisión!$A$2:$L$703,7,FALSE)</f>
        <v>#N/A</v>
      </c>
      <c r="J161" s="4" t="e">
        <f>VLOOKUP(A161,Revisión!$A$2:$L$703,8,FALSE)</f>
        <v>#N/A</v>
      </c>
      <c r="K161" s="4" t="e">
        <f>VLOOKUP(A161,Revisión!$A$2:$L$703,9,FALSE)</f>
        <v>#N/A</v>
      </c>
      <c r="L161" s="4" t="e">
        <f>VLOOKUP(A161,Revisión!$A$2:$L$703,10,FALSE)</f>
        <v>#N/A</v>
      </c>
      <c r="M161" s="18" t="e">
        <f>VLOOKUP(A161,Revisión!$A$2:$L$703,11,FALSE)</f>
        <v>#N/A</v>
      </c>
      <c r="N161" s="30" t="str">
        <f>IF(E161="Coinciden",D161,IF(E161="Revisar",VLOOKUP(A161,Revisión!$A$2:$L$703,12,FALSE),""))</f>
        <v>Apodanthera sagittifolia</v>
      </c>
    </row>
    <row r="162" spans="1:14" x14ac:dyDescent="0.3">
      <c r="A162" t="s">
        <v>346</v>
      </c>
      <c r="C162" t="s">
        <v>347</v>
      </c>
      <c r="D162" t="s">
        <v>347</v>
      </c>
      <c r="E162" t="s">
        <v>8</v>
      </c>
      <c r="F162" t="s">
        <v>49</v>
      </c>
      <c r="H162" s="23" t="str">
        <f>VLOOKUP(A162,Revisión!$A$2:$L$703,6,FALSE)</f>
        <v>Apollonias barbujana</v>
      </c>
      <c r="I162" s="4" t="str">
        <f>VLOOKUP(A162,Revisión!$A$2:$L$703,7,FALSE)</f>
        <v>Persea barbujana</v>
      </c>
      <c r="J162" s="4" t="str">
        <f>VLOOKUP(A162,Revisión!$A$2:$L$703,8,FALSE)</f>
        <v>Persea barbujana</v>
      </c>
      <c r="K162" s="4" t="str">
        <f>VLOOKUP(A162,Revisión!$A$2:$L$703,9,FALSE)</f>
        <v>-</v>
      </c>
      <c r="L162" s="4" t="str">
        <f>VLOOKUP(A162,Revisión!$A$2:$L$703,10,FALSE)</f>
        <v>-</v>
      </c>
      <c r="M162" s="18">
        <f>VLOOKUP(A162,Revisión!$A$2:$L$703,11,FALSE)</f>
        <v>2</v>
      </c>
      <c r="N162" s="30" t="str">
        <f>IF(E162="Coinciden",D162,IF(E162="Revisar",VLOOKUP(A162,Revisión!$A$2:$L$703,12,FALSE),""))</f>
        <v>Persea barbujana</v>
      </c>
    </row>
    <row r="163" spans="1:14" x14ac:dyDescent="0.3">
      <c r="A163" t="s">
        <v>348</v>
      </c>
      <c r="B163" t="s">
        <v>349</v>
      </c>
      <c r="D163" t="s">
        <v>349</v>
      </c>
      <c r="E163" t="s">
        <v>8</v>
      </c>
      <c r="F163" t="s">
        <v>34</v>
      </c>
      <c r="H163" s="23" t="str">
        <f>VLOOKUP(A163,Revisión!$A$2:$L$703,6,FALSE)</f>
        <v>Aquilegia canadensis</v>
      </c>
      <c r="I163" s="4" t="str">
        <f>VLOOKUP(A163,Revisión!$A$2:$L$703,7,FALSE)</f>
        <v>Aquilegia canadensis</v>
      </c>
      <c r="J163" s="4" t="str">
        <f>VLOOKUP(A163,Revisión!$A$2:$L$703,8,FALSE)</f>
        <v>Aquilegia canadensis</v>
      </c>
      <c r="K163" s="4" t="str">
        <f>VLOOKUP(A163,Revisión!$A$2:$L$703,9,FALSE)</f>
        <v>-</v>
      </c>
      <c r="L163" s="4" t="str">
        <f>VLOOKUP(A163,Revisión!$A$2:$L$703,10,FALSE)</f>
        <v>-</v>
      </c>
      <c r="M163" s="18">
        <f>VLOOKUP(A163,Revisión!$A$2:$L$703,11,FALSE)</f>
        <v>2</v>
      </c>
      <c r="N163" s="30" t="str">
        <f>IF(E163="Coinciden",D163,IF(E163="Revisar",VLOOKUP(A163,Revisión!$A$2:$L$703,12,FALSE),""))</f>
        <v>Aquilegia canadensis</v>
      </c>
    </row>
    <row r="164" spans="1:14" x14ac:dyDescent="0.3">
      <c r="A164" t="s">
        <v>350</v>
      </c>
      <c r="B164" t="s">
        <v>351</v>
      </c>
      <c r="C164" t="s">
        <v>351</v>
      </c>
      <c r="D164" t="s">
        <v>351</v>
      </c>
      <c r="E164" t="s">
        <v>18</v>
      </c>
      <c r="F164" t="s">
        <v>19</v>
      </c>
      <c r="H164" s="23" t="e">
        <f>VLOOKUP(A164,Revisión!$A$2:$L$703,6,FALSE)</f>
        <v>#N/A</v>
      </c>
      <c r="I164" s="4" t="e">
        <f>VLOOKUP(A164,Revisión!$A$2:$L$703,7,FALSE)</f>
        <v>#N/A</v>
      </c>
      <c r="J164" s="4" t="e">
        <f>VLOOKUP(A164,Revisión!$A$2:$L$703,8,FALSE)</f>
        <v>#N/A</v>
      </c>
      <c r="K164" s="4" t="e">
        <f>VLOOKUP(A164,Revisión!$A$2:$L$703,9,FALSE)</f>
        <v>#N/A</v>
      </c>
      <c r="L164" s="4" t="e">
        <f>VLOOKUP(A164,Revisión!$A$2:$L$703,10,FALSE)</f>
        <v>#N/A</v>
      </c>
      <c r="M164" s="18" t="e">
        <f>VLOOKUP(A164,Revisión!$A$2:$L$703,11,FALSE)</f>
        <v>#N/A</v>
      </c>
      <c r="N164" s="30" t="str">
        <f>IF(E164="Coinciden",D164,IF(E164="Revisar",VLOOKUP(A164,Revisión!$A$2:$L$703,12,FALSE),""))</f>
        <v>Aquilegia buergeriana</v>
      </c>
    </row>
    <row r="165" spans="1:14" x14ac:dyDescent="0.3">
      <c r="A165" t="s">
        <v>352</v>
      </c>
      <c r="B165" t="s">
        <v>353</v>
      </c>
      <c r="C165" t="s">
        <v>353</v>
      </c>
      <c r="D165" t="s">
        <v>353</v>
      </c>
      <c r="E165" t="s">
        <v>18</v>
      </c>
      <c r="F165" t="s">
        <v>19</v>
      </c>
      <c r="H165" s="23" t="e">
        <f>VLOOKUP(A165,Revisión!$A$2:$L$703,6,FALSE)</f>
        <v>#N/A</v>
      </c>
      <c r="I165" s="4" t="e">
        <f>VLOOKUP(A165,Revisión!$A$2:$L$703,7,FALSE)</f>
        <v>#N/A</v>
      </c>
      <c r="J165" s="4" t="e">
        <f>VLOOKUP(A165,Revisión!$A$2:$L$703,8,FALSE)</f>
        <v>#N/A</v>
      </c>
      <c r="K165" s="4" t="e">
        <f>VLOOKUP(A165,Revisión!$A$2:$L$703,9,FALSE)</f>
        <v>#N/A</v>
      </c>
      <c r="L165" s="4" t="e">
        <f>VLOOKUP(A165,Revisión!$A$2:$L$703,10,FALSE)</f>
        <v>#N/A</v>
      </c>
      <c r="M165" s="18" t="e">
        <f>VLOOKUP(A165,Revisión!$A$2:$L$703,11,FALSE)</f>
        <v>#N/A</v>
      </c>
      <c r="N165" s="30" t="str">
        <f>IF(E165="Coinciden",D165,IF(E165="Revisar",VLOOKUP(A165,Revisión!$A$2:$L$703,12,FALSE),""))</f>
        <v>Aquilegia coerulea</v>
      </c>
    </row>
    <row r="166" spans="1:14" x14ac:dyDescent="0.3">
      <c r="A166" t="s">
        <v>354</v>
      </c>
      <c r="B166" t="s">
        <v>355</v>
      </c>
      <c r="C166" t="s">
        <v>355</v>
      </c>
      <c r="D166" t="s">
        <v>355</v>
      </c>
      <c r="E166" t="s">
        <v>18</v>
      </c>
      <c r="F166" t="s">
        <v>19</v>
      </c>
      <c r="H166" s="23" t="e">
        <f>VLOOKUP(A166,Revisión!$A$2:$L$703,6,FALSE)</f>
        <v>#N/A</v>
      </c>
      <c r="I166" s="4" t="e">
        <f>VLOOKUP(A166,Revisión!$A$2:$L$703,7,FALSE)</f>
        <v>#N/A</v>
      </c>
      <c r="J166" s="4" t="e">
        <f>VLOOKUP(A166,Revisión!$A$2:$L$703,8,FALSE)</f>
        <v>#N/A</v>
      </c>
      <c r="K166" s="4" t="e">
        <f>VLOOKUP(A166,Revisión!$A$2:$L$703,9,FALSE)</f>
        <v>#N/A</v>
      </c>
      <c r="L166" s="4" t="e">
        <f>VLOOKUP(A166,Revisión!$A$2:$L$703,10,FALSE)</f>
        <v>#N/A</v>
      </c>
      <c r="M166" s="18" t="e">
        <f>VLOOKUP(A166,Revisión!$A$2:$L$703,11,FALSE)</f>
        <v>#N/A</v>
      </c>
      <c r="N166" s="30" t="str">
        <f>IF(E166="Coinciden",D166,IF(E166="Revisar",VLOOKUP(A166,Revisión!$A$2:$L$703,12,FALSE),""))</f>
        <v>Aquilegia brevistyla</v>
      </c>
    </row>
    <row r="167" spans="1:14" x14ac:dyDescent="0.3">
      <c r="A167" t="s">
        <v>356</v>
      </c>
      <c r="D167" t="s">
        <v>357</v>
      </c>
      <c r="E167" t="s">
        <v>8</v>
      </c>
      <c r="F167" t="s">
        <v>9</v>
      </c>
      <c r="H167" s="23" t="str">
        <f>VLOOKUP(A167,Revisión!$A$2:$L$703,6,FALSE)</f>
        <v>-</v>
      </c>
      <c r="I167" s="4" t="str">
        <f>VLOOKUP(A167,Revisión!$A$2:$L$703,7,FALSE)</f>
        <v>Borodinia dentata</v>
      </c>
      <c r="J167" s="4" t="str">
        <f>VLOOKUP(A167,Revisión!$A$2:$L$703,8,FALSE)</f>
        <v>Borodinia dentata</v>
      </c>
      <c r="K167" s="4" t="str">
        <f>VLOOKUP(A167,Revisión!$A$2:$L$703,9,FALSE)</f>
        <v>-</v>
      </c>
      <c r="L167" s="4" t="str">
        <f>VLOOKUP(A167,Revisión!$A$2:$L$703,10,FALSE)</f>
        <v>-</v>
      </c>
      <c r="M167" s="18">
        <f>VLOOKUP(A167,Revisión!$A$2:$L$703,11,FALSE)</f>
        <v>2</v>
      </c>
      <c r="N167" s="30" t="str">
        <f>IF(E167="Coinciden",D167,IF(E167="Revisar",VLOOKUP(A167,Revisión!$A$2:$L$703,12,FALSE),""))</f>
        <v>Borodinia dentata</v>
      </c>
    </row>
    <row r="168" spans="1:14" x14ac:dyDescent="0.3">
      <c r="A168" t="s">
        <v>358</v>
      </c>
      <c r="B168" t="s">
        <v>359</v>
      </c>
      <c r="D168" t="s">
        <v>359</v>
      </c>
      <c r="E168" t="s">
        <v>8</v>
      </c>
      <c r="F168" t="s">
        <v>34</v>
      </c>
      <c r="H168" s="23" t="str">
        <f>VLOOKUP(A168,Revisión!$A$2:$L$703,6,FALSE)</f>
        <v>Arabis alpina</v>
      </c>
      <c r="I168" s="4" t="str">
        <f>VLOOKUP(A168,Revisión!$A$2:$L$703,7,FALSE)</f>
        <v>Arabis alpina</v>
      </c>
      <c r="J168" s="4" t="str">
        <f>VLOOKUP(A168,Revisión!$A$2:$L$703,8,FALSE)</f>
        <v>Arabis alpina</v>
      </c>
      <c r="K168" s="4" t="str">
        <f>VLOOKUP(A168,Revisión!$A$2:$L$703,9,FALSE)</f>
        <v>-</v>
      </c>
      <c r="L168" s="4" t="str">
        <f>VLOOKUP(A168,Revisión!$A$2:$L$703,10,FALSE)</f>
        <v>-</v>
      </c>
      <c r="M168" s="18">
        <f>VLOOKUP(A168,Revisión!$A$2:$L$703,11,FALSE)</f>
        <v>3</v>
      </c>
      <c r="N168" s="30" t="str">
        <f>IF(E168="Coinciden",D168,IF(E168="Revisar",VLOOKUP(A168,Revisión!$A$2:$L$703,12,FALSE),""))</f>
        <v>Arabis alpina</v>
      </c>
    </row>
    <row r="169" spans="1:14" x14ac:dyDescent="0.3">
      <c r="A169" t="s">
        <v>360</v>
      </c>
      <c r="B169" t="s">
        <v>361</v>
      </c>
      <c r="C169" t="s">
        <v>361</v>
      </c>
      <c r="D169" t="s">
        <v>362</v>
      </c>
      <c r="E169" t="s">
        <v>8</v>
      </c>
      <c r="F169" t="s">
        <v>15</v>
      </c>
      <c r="H169" s="23" t="str">
        <f>VLOOKUP(A169,Revisión!$A$2:$L$703,6,FALSE)</f>
        <v>Arabidopsis lyrata subsp. kamchatica</v>
      </c>
      <c r="I169" s="4" t="str">
        <f>VLOOKUP(A169,Revisión!$A$2:$L$703,7,FALSE)</f>
        <v>Arabidopsis kamchatica subsp. kamchatica</v>
      </c>
      <c r="J169" s="4" t="str">
        <f>VLOOKUP(A169,Revisión!$A$2:$L$703,8,FALSE)</f>
        <v>Arabidopsis lyrata subsp. kamchatica </v>
      </c>
      <c r="K169" s="4" t="str">
        <f>VLOOKUP(A169,Revisión!$A$2:$L$703,9,FALSE)</f>
        <v>-</v>
      </c>
      <c r="L169" s="4" t="str">
        <f>VLOOKUP(A169,Revisión!$A$2:$L$703,10,FALSE)</f>
        <v>-</v>
      </c>
      <c r="M169" s="18">
        <f>VLOOKUP(A169,Revisión!$A$2:$L$703,11,FALSE)</f>
        <v>2</v>
      </c>
      <c r="N169" s="30" t="str">
        <f>IF(E169="Coinciden",D169,IF(E169="Revisar",VLOOKUP(A169,Revisión!$A$2:$L$703,12,FALSE),""))</f>
        <v>Arabidopsis lyrata subsp. kamchatica </v>
      </c>
    </row>
    <row r="170" spans="1:14" x14ac:dyDescent="0.3">
      <c r="A170" t="s">
        <v>363</v>
      </c>
      <c r="B170" t="s">
        <v>364</v>
      </c>
      <c r="D170" t="s">
        <v>365</v>
      </c>
      <c r="E170" t="s">
        <v>8</v>
      </c>
      <c r="F170" t="s">
        <v>9</v>
      </c>
      <c r="H170" s="23" t="str">
        <f>VLOOKUP(A170,Revisión!$A$2:$L$703,6,FALSE)</f>
        <v>Borodinia laevigata</v>
      </c>
      <c r="I170" s="4" t="str">
        <f>VLOOKUP(A170,Revisión!$A$2:$L$703,7,FALSE)</f>
        <v>Borodinia laevigata</v>
      </c>
      <c r="J170" s="4" t="str">
        <f>VLOOKUP(A170,Revisión!$A$2:$L$703,8,FALSE)</f>
        <v>Borodinia laevigata</v>
      </c>
      <c r="K170" s="4" t="str">
        <f>VLOOKUP(A170,Revisión!$A$2:$L$703,9,FALSE)</f>
        <v>-</v>
      </c>
      <c r="L170" s="4" t="str">
        <f>VLOOKUP(A170,Revisión!$A$2:$L$703,10,FALSE)</f>
        <v>-</v>
      </c>
      <c r="M170" s="18">
        <f>VLOOKUP(A170,Revisión!$A$2:$L$703,11,FALSE)</f>
        <v>3</v>
      </c>
      <c r="N170" s="30" t="str">
        <f>IF(E170="Coinciden",D170,IF(E170="Revisar",VLOOKUP(A170,Revisión!$A$2:$L$703,12,FALSE),""))</f>
        <v>Borodinia laevigata</v>
      </c>
    </row>
    <row r="171" spans="1:14" x14ac:dyDescent="0.3">
      <c r="A171" t="s">
        <v>366</v>
      </c>
      <c r="B171" t="s">
        <v>367</v>
      </c>
      <c r="C171" t="s">
        <v>368</v>
      </c>
      <c r="D171" t="s">
        <v>368</v>
      </c>
      <c r="E171" t="s">
        <v>8</v>
      </c>
      <c r="F171" t="s">
        <v>23</v>
      </c>
      <c r="H171" s="23" t="str">
        <f>VLOOKUP(A171,Revisión!$A$2:$L$703,6,FALSE)</f>
        <v>Planodes virginicum</v>
      </c>
      <c r="I171" s="4" t="str">
        <f>VLOOKUP(A171,Revisión!$A$2:$L$703,7,FALSE)</f>
        <v>Planodes virginicum</v>
      </c>
      <c r="J171" s="4" t="str">
        <f>VLOOKUP(A171,Revisión!$A$2:$L$703,8,FALSE)</f>
        <v>Planodes virginicum</v>
      </c>
      <c r="K171" s="4" t="str">
        <f>VLOOKUP(A171,Revisión!$A$2:$L$703,9,FALSE)</f>
        <v>-</v>
      </c>
      <c r="L171" s="4" t="str">
        <f>VLOOKUP(A171,Revisión!$A$2:$L$703,10,FALSE)</f>
        <v>-</v>
      </c>
      <c r="M171" s="18">
        <f>VLOOKUP(A171,Revisión!$A$2:$L$703,11,FALSE)</f>
        <v>3</v>
      </c>
      <c r="N171" s="30" t="str">
        <f>IF(E171="Coinciden",D171,IF(E171="Revisar",VLOOKUP(A171,Revisión!$A$2:$L$703,12,FALSE),""))</f>
        <v>Planodes virginicum</v>
      </c>
    </row>
    <row r="172" spans="1:14" x14ac:dyDescent="0.3">
      <c r="A172" t="s">
        <v>369</v>
      </c>
      <c r="B172" t="s">
        <v>370</v>
      </c>
      <c r="C172" t="s">
        <v>370</v>
      </c>
      <c r="D172" t="s">
        <v>370</v>
      </c>
      <c r="E172" t="s">
        <v>18</v>
      </c>
      <c r="F172" t="s">
        <v>19</v>
      </c>
      <c r="H172" s="23" t="str">
        <f>VLOOKUP(A172,Revisión!$A$2:$L$703,6,FALSE)</f>
        <v>Turritis glabra</v>
      </c>
      <c r="I172" s="4" t="str">
        <f>VLOOKUP(A172,Revisión!$A$2:$L$703,7,FALSE)</f>
        <v>Turritis glabra</v>
      </c>
      <c r="J172" s="4" t="str">
        <f>VLOOKUP(A172,Revisión!$A$2:$L$703,8,FALSE)</f>
        <v>Turritis glabra</v>
      </c>
      <c r="K172" s="4" t="str">
        <f>VLOOKUP(A172,Revisión!$A$2:$L$703,9,FALSE)</f>
        <v>-</v>
      </c>
      <c r="L172" s="4" t="str">
        <f>VLOOKUP(A172,Revisión!$A$2:$L$703,10,FALSE)</f>
        <v>-</v>
      </c>
      <c r="M172" s="18">
        <f>VLOOKUP(A172,Revisión!$A$2:$L$703,11,FALSE)</f>
        <v>3</v>
      </c>
      <c r="N172" s="30" t="str">
        <f>IF(E172="Coinciden",D172,IF(E172="Revisar",VLOOKUP(A172,Revisión!$A$2:$L$703,12,FALSE),""))</f>
        <v>Turritis glabra</v>
      </c>
    </row>
    <row r="173" spans="1:14" x14ac:dyDescent="0.3">
      <c r="A173" t="s">
        <v>371</v>
      </c>
      <c r="B173" t="s">
        <v>372</v>
      </c>
      <c r="D173" t="s">
        <v>372</v>
      </c>
      <c r="E173" t="s">
        <v>8</v>
      </c>
      <c r="F173" t="s">
        <v>34</v>
      </c>
      <c r="H173" s="23" t="str">
        <f>VLOOKUP(A173,Revisión!$A$2:$L$703,6,FALSE)</f>
        <v>Arabis hirsuta</v>
      </c>
      <c r="I173" s="4" t="str">
        <f>VLOOKUP(A173,Revisión!$A$2:$L$703,7,FALSE)</f>
        <v>Arabis hirsuta</v>
      </c>
      <c r="J173" s="4" t="str">
        <f>VLOOKUP(A173,Revisión!$A$2:$L$703,8,FALSE)</f>
        <v>Arabis hirsuta</v>
      </c>
      <c r="K173" s="4" t="str">
        <f>VLOOKUP(A173,Revisión!$A$2:$L$703,9,FALSE)</f>
        <v>-</v>
      </c>
      <c r="L173" s="4" t="str">
        <f>VLOOKUP(A173,Revisión!$A$2:$L$703,10,FALSE)</f>
        <v>-</v>
      </c>
      <c r="M173" s="18">
        <f>VLOOKUP(A173,Revisión!$A$2:$L$703,11,FALSE)</f>
        <v>3</v>
      </c>
      <c r="N173" s="30" t="str">
        <f>IF(E173="Coinciden",D173,IF(E173="Revisar",VLOOKUP(A173,Revisión!$A$2:$L$703,12,FALSE),""))</f>
        <v>Arabis hirsuta</v>
      </c>
    </row>
    <row r="174" spans="1:14" x14ac:dyDescent="0.3">
      <c r="A174" t="s">
        <v>373</v>
      </c>
      <c r="C174" t="s">
        <v>374</v>
      </c>
      <c r="D174" t="s">
        <v>374</v>
      </c>
      <c r="E174" t="s">
        <v>8</v>
      </c>
      <c r="F174" t="s">
        <v>49</v>
      </c>
      <c r="H174" s="23" t="str">
        <f>VLOOKUP(A174,Revisión!$A$2:$L$703,6,FALSE)</f>
        <v>Oxytropis lambertii var. lambertii</v>
      </c>
      <c r="I174" s="4" t="str">
        <f>VLOOKUP(A174,Revisión!$A$2:$L$703,7,FALSE)</f>
        <v>Oxytropis lambertii var. lambertii</v>
      </c>
      <c r="J174" s="4" t="str">
        <f>VLOOKUP(A174,Revisión!$A$2:$L$703,8,FALSE)</f>
        <v>Oxytropis lambertii var. lambertii</v>
      </c>
      <c r="K174" s="4" t="str">
        <f>VLOOKUP(A174,Revisión!$A$2:$L$703,9,FALSE)</f>
        <v>-</v>
      </c>
      <c r="L174" s="4" t="str">
        <f>VLOOKUP(A174,Revisión!$A$2:$L$703,10,FALSE)</f>
        <v>-</v>
      </c>
      <c r="M174" s="18">
        <f>VLOOKUP(A174,Revisión!$A$2:$L$703,11,FALSE)</f>
        <v>3</v>
      </c>
      <c r="N174" s="30" t="str">
        <f>IF(E174="Coinciden",D174,IF(E174="Revisar",VLOOKUP(A174,Revisión!$A$2:$L$703,12,FALSE),""))</f>
        <v>Oxytropis lambertii var. lambertii</v>
      </c>
    </row>
    <row r="175" spans="1:14" x14ac:dyDescent="0.3">
      <c r="A175" t="s">
        <v>375</v>
      </c>
      <c r="B175" t="s">
        <v>376</v>
      </c>
      <c r="D175" t="s">
        <v>376</v>
      </c>
      <c r="E175" t="s">
        <v>8</v>
      </c>
      <c r="F175" t="s">
        <v>34</v>
      </c>
      <c r="H175" s="23" t="str">
        <f>VLOOKUP(A175,Revisión!$A$2:$L$703,6,FALSE)</f>
        <v>Aralia nudicaulis</v>
      </c>
      <c r="I175" s="4" t="str">
        <f>VLOOKUP(A175,Revisión!$A$2:$L$703,7,FALSE)</f>
        <v>Aralia nudicaulis</v>
      </c>
      <c r="J175" s="4" t="str">
        <f>VLOOKUP(A175,Revisión!$A$2:$L$703,8,FALSE)</f>
        <v>Aralia nudicaulis</v>
      </c>
      <c r="K175" s="4" t="str">
        <f>VLOOKUP(A175,Revisión!$A$2:$L$703,9,FALSE)</f>
        <v>-</v>
      </c>
      <c r="L175" s="4" t="str">
        <f>VLOOKUP(A175,Revisión!$A$2:$L$703,10,FALSE)</f>
        <v>-</v>
      </c>
      <c r="M175" s="18">
        <f>VLOOKUP(A175,Revisión!$A$2:$L$703,11,FALSE)</f>
        <v>3</v>
      </c>
      <c r="N175" s="30" t="str">
        <f>IF(E175="Coinciden",D175,IF(E175="Revisar",VLOOKUP(A175,Revisión!$A$2:$L$703,12,FALSE),""))</f>
        <v>Aralia nudicaulis</v>
      </c>
    </row>
    <row r="176" spans="1:14" x14ac:dyDescent="0.3">
      <c r="A176" t="s">
        <v>377</v>
      </c>
      <c r="B176" t="s">
        <v>378</v>
      </c>
      <c r="C176" t="s">
        <v>378</v>
      </c>
      <c r="D176" t="s">
        <v>378</v>
      </c>
      <c r="E176" t="s">
        <v>18</v>
      </c>
      <c r="F176" t="s">
        <v>19</v>
      </c>
      <c r="H176" s="23" t="e">
        <f>VLOOKUP(A176,Revisión!$A$2:$L$703,6,FALSE)</f>
        <v>#N/A</v>
      </c>
      <c r="I176" s="4" t="e">
        <f>VLOOKUP(A176,Revisión!$A$2:$L$703,7,FALSE)</f>
        <v>#N/A</v>
      </c>
      <c r="J176" s="4" t="e">
        <f>VLOOKUP(A176,Revisión!$A$2:$L$703,8,FALSE)</f>
        <v>#N/A</v>
      </c>
      <c r="K176" s="4" t="e">
        <f>VLOOKUP(A176,Revisión!$A$2:$L$703,9,FALSE)</f>
        <v>#N/A</v>
      </c>
      <c r="L176" s="4" t="e">
        <f>VLOOKUP(A176,Revisión!$A$2:$L$703,10,FALSE)</f>
        <v>#N/A</v>
      </c>
      <c r="M176" s="18" t="e">
        <f>VLOOKUP(A176,Revisión!$A$2:$L$703,11,FALSE)</f>
        <v>#N/A</v>
      </c>
      <c r="N176" s="30" t="str">
        <f>IF(E176="Coinciden",D176,IF(E176="Revisar",VLOOKUP(A176,Revisión!$A$2:$L$703,12,FALSE),""))</f>
        <v>Aralia cordata</v>
      </c>
    </row>
    <row r="177" spans="1:14" x14ac:dyDescent="0.3">
      <c r="A177" t="s">
        <v>379</v>
      </c>
      <c r="C177" t="s">
        <v>380</v>
      </c>
      <c r="D177" t="s">
        <v>380</v>
      </c>
      <c r="E177" t="s">
        <v>8</v>
      </c>
      <c r="F177" t="s">
        <v>49</v>
      </c>
      <c r="H177" s="23" t="str">
        <f>VLOOKUP(A177,Revisión!$A$2:$L$703,6,FALSE)</f>
        <v>Aralia elata</v>
      </c>
      <c r="I177" s="4" t="str">
        <f>VLOOKUP(A177,Revisión!$A$2:$L$703,7,FALSE)</f>
        <v>Aralia elata</v>
      </c>
      <c r="J177" s="4" t="str">
        <f>VLOOKUP(A177,Revisión!$A$2:$L$703,8,FALSE)</f>
        <v>Aralia elata</v>
      </c>
      <c r="K177" s="4" t="str">
        <f>VLOOKUP(A177,Revisión!$A$2:$L$703,9,FALSE)</f>
        <v>-</v>
      </c>
      <c r="L177" s="4" t="str">
        <f>VLOOKUP(A177,Revisión!$A$2:$L$703,10,FALSE)</f>
        <v>-</v>
      </c>
      <c r="M177" s="18">
        <f>VLOOKUP(A177,Revisión!$A$2:$L$703,11,FALSE)</f>
        <v>3</v>
      </c>
      <c r="N177" s="30" t="str">
        <f>IF(E177="Coinciden",D177,IF(E177="Revisar",VLOOKUP(A177,Revisión!$A$2:$L$703,12,FALSE),""))</f>
        <v>Aralia elata</v>
      </c>
    </row>
    <row r="178" spans="1:14" x14ac:dyDescent="0.3">
      <c r="A178" t="s">
        <v>381</v>
      </c>
      <c r="B178" t="s">
        <v>382</v>
      </c>
      <c r="C178" t="s">
        <v>382</v>
      </c>
      <c r="D178" t="s">
        <v>382</v>
      </c>
      <c r="E178" t="s">
        <v>18</v>
      </c>
      <c r="F178" t="s">
        <v>19</v>
      </c>
      <c r="H178" s="23" t="e">
        <f>VLOOKUP(A178,Revisión!$A$2:$L$703,6,FALSE)</f>
        <v>#N/A</v>
      </c>
      <c r="I178" s="4" t="e">
        <f>VLOOKUP(A178,Revisión!$A$2:$L$703,7,FALSE)</f>
        <v>#N/A</v>
      </c>
      <c r="J178" s="4" t="e">
        <f>VLOOKUP(A178,Revisión!$A$2:$L$703,8,FALSE)</f>
        <v>#N/A</v>
      </c>
      <c r="K178" s="4" t="e">
        <f>VLOOKUP(A178,Revisión!$A$2:$L$703,9,FALSE)</f>
        <v>#N/A</v>
      </c>
      <c r="L178" s="4" t="e">
        <f>VLOOKUP(A178,Revisión!$A$2:$L$703,10,FALSE)</f>
        <v>#N/A</v>
      </c>
      <c r="M178" s="18" t="e">
        <f>VLOOKUP(A178,Revisión!$A$2:$L$703,11,FALSE)</f>
        <v>#N/A</v>
      </c>
      <c r="N178" s="30" t="str">
        <f>IF(E178="Coinciden",D178,IF(E178="Revisar",VLOOKUP(A178,Revisión!$A$2:$L$703,12,FALSE),""))</f>
        <v>Arctium minus</v>
      </c>
    </row>
    <row r="179" spans="1:14" x14ac:dyDescent="0.3">
      <c r="A179" t="s">
        <v>383</v>
      </c>
      <c r="C179" t="s">
        <v>384</v>
      </c>
      <c r="D179" t="s">
        <v>384</v>
      </c>
      <c r="E179" t="s">
        <v>8</v>
      </c>
      <c r="F179" t="s">
        <v>49</v>
      </c>
      <c r="H179" s="23" t="str">
        <f>VLOOKUP(A179,Revisión!$A$2:$L$703,6,FALSE)</f>
        <v>Arctostaphylos uva-ursi</v>
      </c>
      <c r="I179" s="4" t="str">
        <f>VLOOKUP(A179,Revisión!$A$2:$L$703,7,FALSE)</f>
        <v>Arctostaphylos uva-ursi</v>
      </c>
      <c r="J179" s="4" t="str">
        <f>VLOOKUP(A179,Revisión!$A$2:$L$703,8,FALSE)</f>
        <v>Arctostaphylos uva-ursi</v>
      </c>
      <c r="K179" s="4" t="str">
        <f>VLOOKUP(A179,Revisión!$A$2:$L$703,9,FALSE)</f>
        <v>-</v>
      </c>
      <c r="L179" s="4" t="str">
        <f>VLOOKUP(A179,Revisión!$A$2:$L$703,10,FALSE)</f>
        <v>-</v>
      </c>
      <c r="M179" s="18">
        <f>VLOOKUP(A179,Revisión!$A$2:$L$703,11,FALSE)</f>
        <v>3</v>
      </c>
      <c r="N179" s="30" t="str">
        <f>IF(E179="Coinciden",D179,IF(E179="Revisar",VLOOKUP(A179,Revisión!$A$2:$L$703,12,FALSE),""))</f>
        <v>Arctostaphylos uva-ursi</v>
      </c>
    </row>
    <row r="180" spans="1:14" x14ac:dyDescent="0.3">
      <c r="A180" t="s">
        <v>385</v>
      </c>
      <c r="B180" t="s">
        <v>386</v>
      </c>
      <c r="C180" t="s">
        <v>386</v>
      </c>
      <c r="D180" t="s">
        <v>386</v>
      </c>
      <c r="E180" t="s">
        <v>18</v>
      </c>
      <c r="F180" t="s">
        <v>19</v>
      </c>
      <c r="H180" s="23" t="e">
        <f>VLOOKUP(A180,Revisión!$A$2:$L$703,6,FALSE)</f>
        <v>#N/A</v>
      </c>
      <c r="I180" s="4" t="e">
        <f>VLOOKUP(A180,Revisión!$A$2:$L$703,7,FALSE)</f>
        <v>#N/A</v>
      </c>
      <c r="J180" s="4" t="e">
        <f>VLOOKUP(A180,Revisión!$A$2:$L$703,8,FALSE)</f>
        <v>#N/A</v>
      </c>
      <c r="K180" s="4" t="e">
        <f>VLOOKUP(A180,Revisión!$A$2:$L$703,9,FALSE)</f>
        <v>#N/A</v>
      </c>
      <c r="L180" s="4" t="e">
        <f>VLOOKUP(A180,Revisión!$A$2:$L$703,10,FALSE)</f>
        <v>#N/A</v>
      </c>
      <c r="M180" s="18" t="e">
        <f>VLOOKUP(A180,Revisión!$A$2:$L$703,11,FALSE)</f>
        <v>#N/A</v>
      </c>
      <c r="N180" s="30" t="str">
        <f>IF(E180="Coinciden",D180,IF(E180="Revisar",VLOOKUP(A180,Revisión!$A$2:$L$703,12,FALSE),""))</f>
        <v>Ardisia pusilla</v>
      </c>
    </row>
    <row r="181" spans="1:14" x14ac:dyDescent="0.3">
      <c r="A181" t="s">
        <v>387</v>
      </c>
      <c r="B181" t="s">
        <v>388</v>
      </c>
      <c r="C181" t="s">
        <v>388</v>
      </c>
      <c r="D181" t="s">
        <v>388</v>
      </c>
      <c r="E181" t="s">
        <v>18</v>
      </c>
      <c r="F181" t="s">
        <v>19</v>
      </c>
      <c r="H181" s="23" t="e">
        <f>VLOOKUP(A181,Revisión!$A$2:$L$703,6,FALSE)</f>
        <v>#N/A</v>
      </c>
      <c r="I181" s="4" t="e">
        <f>VLOOKUP(A181,Revisión!$A$2:$L$703,7,FALSE)</f>
        <v>#N/A</v>
      </c>
      <c r="J181" s="4" t="e">
        <f>VLOOKUP(A181,Revisión!$A$2:$L$703,8,FALSE)</f>
        <v>#N/A</v>
      </c>
      <c r="K181" s="4" t="e">
        <f>VLOOKUP(A181,Revisión!$A$2:$L$703,9,FALSE)</f>
        <v>#N/A</v>
      </c>
      <c r="L181" s="4" t="e">
        <f>VLOOKUP(A181,Revisión!$A$2:$L$703,10,FALSE)</f>
        <v>#N/A</v>
      </c>
      <c r="M181" s="18" t="e">
        <f>VLOOKUP(A181,Revisión!$A$2:$L$703,11,FALSE)</f>
        <v>#N/A</v>
      </c>
      <c r="N181" s="30" t="str">
        <f>IF(E181="Coinciden",D181,IF(E181="Revisar",VLOOKUP(A181,Revisión!$A$2:$L$703,12,FALSE),""))</f>
        <v>Ardisia sieboldii</v>
      </c>
    </row>
    <row r="182" spans="1:14" x14ac:dyDescent="0.3">
      <c r="A182" t="s">
        <v>389</v>
      </c>
      <c r="B182" t="s">
        <v>390</v>
      </c>
      <c r="C182" t="s">
        <v>390</v>
      </c>
      <c r="D182" t="s">
        <v>390</v>
      </c>
      <c r="E182" t="s">
        <v>18</v>
      </c>
      <c r="F182" t="s">
        <v>19</v>
      </c>
      <c r="H182" s="23" t="e">
        <f>VLOOKUP(A182,Revisión!$A$2:$L$703,6,FALSE)</f>
        <v>#N/A</v>
      </c>
      <c r="I182" s="4" t="e">
        <f>VLOOKUP(A182,Revisión!$A$2:$L$703,7,FALSE)</f>
        <v>#N/A</v>
      </c>
      <c r="J182" s="4" t="e">
        <f>VLOOKUP(A182,Revisión!$A$2:$L$703,8,FALSE)</f>
        <v>#N/A</v>
      </c>
      <c r="K182" s="4" t="e">
        <f>VLOOKUP(A182,Revisión!$A$2:$L$703,9,FALSE)</f>
        <v>#N/A</v>
      </c>
      <c r="L182" s="4" t="e">
        <f>VLOOKUP(A182,Revisión!$A$2:$L$703,10,FALSE)</f>
        <v>#N/A</v>
      </c>
      <c r="M182" s="18" t="e">
        <f>VLOOKUP(A182,Revisión!$A$2:$L$703,11,FALSE)</f>
        <v>#N/A</v>
      </c>
      <c r="N182" s="30" t="str">
        <f>IF(E182="Coinciden",D182,IF(E182="Revisar",VLOOKUP(A182,Revisión!$A$2:$L$703,12,FALSE),""))</f>
        <v>Ardisia quinquegona</v>
      </c>
    </row>
    <row r="183" spans="1:14" x14ac:dyDescent="0.3">
      <c r="A183" t="s">
        <v>391</v>
      </c>
      <c r="B183" t="s">
        <v>392</v>
      </c>
      <c r="C183" t="s">
        <v>392</v>
      </c>
      <c r="D183" t="s">
        <v>392</v>
      </c>
      <c r="E183" t="s">
        <v>18</v>
      </c>
      <c r="F183" t="s">
        <v>19</v>
      </c>
      <c r="H183" s="23" t="e">
        <f>VLOOKUP(A183,Revisión!$A$2:$L$703,6,FALSE)</f>
        <v>#N/A</v>
      </c>
      <c r="I183" s="4" t="e">
        <f>VLOOKUP(A183,Revisión!$A$2:$L$703,7,FALSE)</f>
        <v>#N/A</v>
      </c>
      <c r="J183" s="4" t="e">
        <f>VLOOKUP(A183,Revisión!$A$2:$L$703,8,FALSE)</f>
        <v>#N/A</v>
      </c>
      <c r="K183" s="4" t="e">
        <f>VLOOKUP(A183,Revisión!$A$2:$L$703,9,FALSE)</f>
        <v>#N/A</v>
      </c>
      <c r="L183" s="4" t="e">
        <f>VLOOKUP(A183,Revisión!$A$2:$L$703,10,FALSE)</f>
        <v>#N/A</v>
      </c>
      <c r="M183" s="18" t="e">
        <f>VLOOKUP(A183,Revisión!$A$2:$L$703,11,FALSE)</f>
        <v>#N/A</v>
      </c>
      <c r="N183" s="30" t="str">
        <f>IF(E183="Coinciden",D183,IF(E183="Revisar",VLOOKUP(A183,Revisión!$A$2:$L$703,12,FALSE),""))</f>
        <v>Arenaria pseudofrigida</v>
      </c>
    </row>
    <row r="184" spans="1:14" x14ac:dyDescent="0.3">
      <c r="A184" t="s">
        <v>393</v>
      </c>
      <c r="B184" t="s">
        <v>394</v>
      </c>
      <c r="C184" t="s">
        <v>395</v>
      </c>
      <c r="D184" t="s">
        <v>395</v>
      </c>
      <c r="E184" t="s">
        <v>8</v>
      </c>
      <c r="F184" t="s">
        <v>23</v>
      </c>
      <c r="H184" s="23" t="str">
        <f>VLOOKUP(A184,Revisión!$A$2:$L$703,6,FALSE)</f>
        <v>Heliotropium velutinum</v>
      </c>
      <c r="I184" s="4" t="str">
        <f>VLOOKUP(A184,Revisión!$A$2:$L$703,7,FALSE)</f>
        <v>Heliotropium arboreum</v>
      </c>
      <c r="J184" s="4" t="str">
        <f>VLOOKUP(A184,Revisión!$A$2:$L$703,8,FALSE)</f>
        <v>Heliotropium arboreum</v>
      </c>
      <c r="K184" s="4" t="str">
        <f>VLOOKUP(A184,Revisión!$A$2:$L$703,9,FALSE)</f>
        <v>-</v>
      </c>
      <c r="L184" s="4" t="str">
        <f>VLOOKUP(A184,Revisión!$A$2:$L$703,10,FALSE)</f>
        <v>-</v>
      </c>
      <c r="M184" s="18">
        <f>VLOOKUP(A184,Revisión!$A$2:$L$703,11,FALSE)</f>
        <v>2</v>
      </c>
      <c r="N184" s="30" t="str">
        <f>IF(E184="Coinciden",D184,IF(E184="Revisar",VLOOKUP(A184,Revisión!$A$2:$L$703,12,FALSE),""))</f>
        <v>Heliotropium arboreum</v>
      </c>
    </row>
    <row r="185" spans="1:14" x14ac:dyDescent="0.3">
      <c r="A185" t="s">
        <v>396</v>
      </c>
      <c r="B185" t="s">
        <v>397</v>
      </c>
      <c r="C185" t="s">
        <v>397</v>
      </c>
      <c r="D185" t="s">
        <v>397</v>
      </c>
      <c r="E185" t="s">
        <v>18</v>
      </c>
      <c r="F185" t="s">
        <v>19</v>
      </c>
      <c r="H185" s="23" t="e">
        <f>VLOOKUP(A185,Revisión!$A$2:$L$703,6,FALSE)</f>
        <v>#N/A</v>
      </c>
      <c r="I185" s="4" t="e">
        <f>VLOOKUP(A185,Revisión!$A$2:$L$703,7,FALSE)</f>
        <v>#N/A</v>
      </c>
      <c r="J185" s="4" t="e">
        <f>VLOOKUP(A185,Revisión!$A$2:$L$703,8,FALSE)</f>
        <v>#N/A</v>
      </c>
      <c r="K185" s="4" t="e">
        <f>VLOOKUP(A185,Revisión!$A$2:$L$703,9,FALSE)</f>
        <v>#N/A</v>
      </c>
      <c r="L185" s="4" t="e">
        <f>VLOOKUP(A185,Revisión!$A$2:$L$703,10,FALSE)</f>
        <v>#N/A</v>
      </c>
      <c r="M185" s="18" t="e">
        <f>VLOOKUP(A185,Revisión!$A$2:$L$703,11,FALSE)</f>
        <v>#N/A</v>
      </c>
      <c r="N185" s="30" t="str">
        <f>IF(E185="Coinciden",D185,IF(E185="Revisar",VLOOKUP(A185,Revisión!$A$2:$L$703,12,FALSE),""))</f>
        <v>Argyranthemum broussonetii</v>
      </c>
    </row>
    <row r="186" spans="1:14" x14ac:dyDescent="0.3">
      <c r="A186" t="s">
        <v>398</v>
      </c>
      <c r="B186" t="s">
        <v>399</v>
      </c>
      <c r="C186" t="s">
        <v>399</v>
      </c>
      <c r="D186" t="s">
        <v>399</v>
      </c>
      <c r="E186" t="s">
        <v>18</v>
      </c>
      <c r="F186" t="s">
        <v>19</v>
      </c>
      <c r="H186" s="23" t="e">
        <f>VLOOKUP(A186,Revisión!$A$2:$L$703,6,FALSE)</f>
        <v>#N/A</v>
      </c>
      <c r="I186" s="4" t="e">
        <f>VLOOKUP(A186,Revisión!$A$2:$L$703,7,FALSE)</f>
        <v>#N/A</v>
      </c>
      <c r="J186" s="4" t="e">
        <f>VLOOKUP(A186,Revisión!$A$2:$L$703,8,FALSE)</f>
        <v>#N/A</v>
      </c>
      <c r="K186" s="4" t="e">
        <f>VLOOKUP(A186,Revisión!$A$2:$L$703,9,FALSE)</f>
        <v>#N/A</v>
      </c>
      <c r="L186" s="4" t="e">
        <f>VLOOKUP(A186,Revisión!$A$2:$L$703,10,FALSE)</f>
        <v>#N/A</v>
      </c>
      <c r="M186" s="18" t="e">
        <f>VLOOKUP(A186,Revisión!$A$2:$L$703,11,FALSE)</f>
        <v>#N/A</v>
      </c>
      <c r="N186" s="30" t="str">
        <f>IF(E186="Coinciden",D186,IF(E186="Revisar",VLOOKUP(A186,Revisión!$A$2:$L$703,12,FALSE),""))</f>
        <v>Argyranthemum frutescens</v>
      </c>
    </row>
    <row r="187" spans="1:14" x14ac:dyDescent="0.3">
      <c r="A187" t="s">
        <v>400</v>
      </c>
      <c r="B187" t="s">
        <v>401</v>
      </c>
      <c r="C187" t="s">
        <v>401</v>
      </c>
      <c r="D187" t="s">
        <v>401</v>
      </c>
      <c r="E187" t="s">
        <v>18</v>
      </c>
      <c r="F187" t="s">
        <v>19</v>
      </c>
      <c r="H187" s="23" t="e">
        <f>VLOOKUP(A187,Revisión!$A$2:$L$703,6,FALSE)</f>
        <v>#N/A</v>
      </c>
      <c r="I187" s="4" t="e">
        <f>VLOOKUP(A187,Revisión!$A$2:$L$703,7,FALSE)</f>
        <v>#N/A</v>
      </c>
      <c r="J187" s="4" t="e">
        <f>VLOOKUP(A187,Revisión!$A$2:$L$703,8,FALSE)</f>
        <v>#N/A</v>
      </c>
      <c r="K187" s="4" t="e">
        <f>VLOOKUP(A187,Revisión!$A$2:$L$703,9,FALSE)</f>
        <v>#N/A</v>
      </c>
      <c r="L187" s="4" t="e">
        <f>VLOOKUP(A187,Revisión!$A$2:$L$703,10,FALSE)</f>
        <v>#N/A</v>
      </c>
      <c r="M187" s="18" t="e">
        <f>VLOOKUP(A187,Revisión!$A$2:$L$703,11,FALSE)</f>
        <v>#N/A</v>
      </c>
      <c r="N187" s="30" t="str">
        <f>IF(E187="Coinciden",D187,IF(E187="Revisar",VLOOKUP(A187,Revisión!$A$2:$L$703,12,FALSE),""))</f>
        <v>Argyranthemum tenerifae</v>
      </c>
    </row>
    <row r="188" spans="1:14" x14ac:dyDescent="0.3">
      <c r="A188" t="s">
        <v>402</v>
      </c>
      <c r="B188" t="s">
        <v>403</v>
      </c>
      <c r="C188" t="s">
        <v>403</v>
      </c>
      <c r="D188" t="s">
        <v>403</v>
      </c>
      <c r="E188" t="s">
        <v>18</v>
      </c>
      <c r="F188" t="s">
        <v>19</v>
      </c>
      <c r="H188" s="23" t="e">
        <f>VLOOKUP(A188,Revisión!$A$2:$L$703,6,FALSE)</f>
        <v>#N/A</v>
      </c>
      <c r="I188" s="4" t="e">
        <f>VLOOKUP(A188,Revisión!$A$2:$L$703,7,FALSE)</f>
        <v>#N/A</v>
      </c>
      <c r="J188" s="4" t="e">
        <f>VLOOKUP(A188,Revisión!$A$2:$L$703,8,FALSE)</f>
        <v>#N/A</v>
      </c>
      <c r="K188" s="4" t="e">
        <f>VLOOKUP(A188,Revisión!$A$2:$L$703,9,FALSE)</f>
        <v>#N/A</v>
      </c>
      <c r="L188" s="4" t="e">
        <f>VLOOKUP(A188,Revisión!$A$2:$L$703,10,FALSE)</f>
        <v>#N/A</v>
      </c>
      <c r="M188" s="18" t="e">
        <f>VLOOKUP(A188,Revisión!$A$2:$L$703,11,FALSE)</f>
        <v>#N/A</v>
      </c>
      <c r="N188" s="30" t="str">
        <f>IF(E188="Coinciden",D188,IF(E188="Revisar",VLOOKUP(A188,Revisión!$A$2:$L$703,12,FALSE),""))</f>
        <v>Argythamnia candicans</v>
      </c>
    </row>
    <row r="189" spans="1:14" x14ac:dyDescent="0.3">
      <c r="A189" t="s">
        <v>404</v>
      </c>
      <c r="B189" t="s">
        <v>405</v>
      </c>
      <c r="C189" t="s">
        <v>405</v>
      </c>
      <c r="D189" t="s">
        <v>405</v>
      </c>
      <c r="E189" t="s">
        <v>18</v>
      </c>
      <c r="F189" t="s">
        <v>19</v>
      </c>
      <c r="H189" s="23" t="e">
        <f>VLOOKUP(A189,Revisión!$A$2:$L$703,6,FALSE)</f>
        <v>#N/A</v>
      </c>
      <c r="I189" s="4" t="e">
        <f>VLOOKUP(A189,Revisión!$A$2:$L$703,7,FALSE)</f>
        <v>#N/A</v>
      </c>
      <c r="J189" s="4" t="e">
        <f>VLOOKUP(A189,Revisión!$A$2:$L$703,8,FALSE)</f>
        <v>#N/A</v>
      </c>
      <c r="K189" s="4" t="e">
        <f>VLOOKUP(A189,Revisión!$A$2:$L$703,9,FALSE)</f>
        <v>#N/A</v>
      </c>
      <c r="L189" s="4" t="e">
        <f>VLOOKUP(A189,Revisión!$A$2:$L$703,10,FALSE)</f>
        <v>#N/A</v>
      </c>
      <c r="M189" s="18" t="e">
        <f>VLOOKUP(A189,Revisión!$A$2:$L$703,11,FALSE)</f>
        <v>#N/A</v>
      </c>
      <c r="N189" s="30" t="str">
        <f>IF(E189="Coinciden",D189,IF(E189="Revisar",VLOOKUP(A189,Revisión!$A$2:$L$703,12,FALSE),""))</f>
        <v>Arisaema triphyllum</v>
      </c>
    </row>
    <row r="190" spans="1:14" x14ac:dyDescent="0.3">
      <c r="A190" t="s">
        <v>406</v>
      </c>
      <c r="B190" t="s">
        <v>407</v>
      </c>
      <c r="C190" t="s">
        <v>407</v>
      </c>
      <c r="D190" t="s">
        <v>407</v>
      </c>
      <c r="E190" t="s">
        <v>18</v>
      </c>
      <c r="F190" t="s">
        <v>19</v>
      </c>
      <c r="H190" s="23" t="e">
        <f>VLOOKUP(A190,Revisión!$A$2:$L$703,6,FALSE)</f>
        <v>#N/A</v>
      </c>
      <c r="I190" s="4" t="e">
        <f>VLOOKUP(A190,Revisión!$A$2:$L$703,7,FALSE)</f>
        <v>#N/A</v>
      </c>
      <c r="J190" s="4" t="e">
        <f>VLOOKUP(A190,Revisión!$A$2:$L$703,8,FALSE)</f>
        <v>#N/A</v>
      </c>
      <c r="K190" s="4" t="e">
        <f>VLOOKUP(A190,Revisión!$A$2:$L$703,9,FALSE)</f>
        <v>#N/A</v>
      </c>
      <c r="L190" s="4" t="e">
        <f>VLOOKUP(A190,Revisión!$A$2:$L$703,10,FALSE)</f>
        <v>#N/A</v>
      </c>
      <c r="M190" s="18" t="e">
        <f>VLOOKUP(A190,Revisión!$A$2:$L$703,11,FALSE)</f>
        <v>#N/A</v>
      </c>
      <c r="N190" s="30" t="str">
        <f>IF(E190="Coinciden",D190,IF(E190="Revisar",VLOOKUP(A190,Revisión!$A$2:$L$703,12,FALSE),""))</f>
        <v>Arisaema japonicum</v>
      </c>
    </row>
    <row r="191" spans="1:14" x14ac:dyDescent="0.3">
      <c r="A191" t="s">
        <v>408</v>
      </c>
      <c r="B191" t="s">
        <v>409</v>
      </c>
      <c r="C191" t="s">
        <v>409</v>
      </c>
      <c r="D191" t="s">
        <v>409</v>
      </c>
      <c r="E191" t="s">
        <v>18</v>
      </c>
      <c r="F191" t="s">
        <v>19</v>
      </c>
      <c r="H191" s="23" t="e">
        <f>VLOOKUP(A191,Revisión!$A$2:$L$703,6,FALSE)</f>
        <v>#N/A</v>
      </c>
      <c r="I191" s="4" t="e">
        <f>VLOOKUP(A191,Revisión!$A$2:$L$703,7,FALSE)</f>
        <v>#N/A</v>
      </c>
      <c r="J191" s="4" t="e">
        <f>VLOOKUP(A191,Revisión!$A$2:$L$703,8,FALSE)</f>
        <v>#N/A</v>
      </c>
      <c r="K191" s="4" t="e">
        <f>VLOOKUP(A191,Revisión!$A$2:$L$703,9,FALSE)</f>
        <v>#N/A</v>
      </c>
      <c r="L191" s="4" t="e">
        <f>VLOOKUP(A191,Revisión!$A$2:$L$703,10,FALSE)</f>
        <v>#N/A</v>
      </c>
      <c r="M191" s="18" t="e">
        <f>VLOOKUP(A191,Revisión!$A$2:$L$703,11,FALSE)</f>
        <v>#N/A</v>
      </c>
      <c r="N191" s="30" t="str">
        <f>IF(E191="Coinciden",D191,IF(E191="Revisar",VLOOKUP(A191,Revisión!$A$2:$L$703,12,FALSE),""))</f>
        <v>Arisarum vulgare</v>
      </c>
    </row>
    <row r="192" spans="1:14" x14ac:dyDescent="0.3">
      <c r="A192" t="s">
        <v>410</v>
      </c>
      <c r="B192" t="s">
        <v>411</v>
      </c>
      <c r="C192" t="s">
        <v>412</v>
      </c>
      <c r="D192" t="s">
        <v>412</v>
      </c>
      <c r="E192" t="s">
        <v>8</v>
      </c>
      <c r="F192" t="s">
        <v>23</v>
      </c>
      <c r="H192" s="23" t="str">
        <f>VLOOKUP(A192,Revisión!$A$2:$L$703,6,FALSE)</f>
        <v>Isotrema tomentosum</v>
      </c>
      <c r="I192" s="4" t="str">
        <f>VLOOKUP(A192,Revisión!$A$2:$L$703,7,FALSE)</f>
        <v>Aristolochia tomentosa</v>
      </c>
      <c r="J192" s="4" t="str">
        <f>VLOOKUP(A192,Revisión!$A$2:$L$703,8,FALSE)</f>
        <v>Aristolochia tomentosa</v>
      </c>
      <c r="K192" s="4" t="str">
        <f>VLOOKUP(A192,Revisión!$A$2:$L$703,9,FALSE)</f>
        <v>-</v>
      </c>
      <c r="L192" s="4" t="str">
        <f>VLOOKUP(A192,Revisión!$A$2:$L$703,10,FALSE)</f>
        <v>-</v>
      </c>
      <c r="M192" s="18">
        <f>VLOOKUP(A192,Revisión!$A$2:$L$703,11,FALSE)</f>
        <v>2</v>
      </c>
      <c r="N192" s="30" t="str">
        <f>IF(E192="Coinciden",D192,IF(E192="Revisar",VLOOKUP(A192,Revisión!$A$2:$L$703,12,FALSE),""))</f>
        <v>Aristolochia tomentosa</v>
      </c>
    </row>
    <row r="193" spans="1:14" x14ac:dyDescent="0.3">
      <c r="A193" t="s">
        <v>413</v>
      </c>
      <c r="B193" t="s">
        <v>414</v>
      </c>
      <c r="C193" t="s">
        <v>414</v>
      </c>
      <c r="D193" t="s">
        <v>414</v>
      </c>
      <c r="E193" t="s">
        <v>18</v>
      </c>
      <c r="F193" t="s">
        <v>19</v>
      </c>
      <c r="H193" s="23" t="e">
        <f>VLOOKUP(A193,Revisión!$A$2:$L$703,6,FALSE)</f>
        <v>#N/A</v>
      </c>
      <c r="I193" s="4" t="e">
        <f>VLOOKUP(A193,Revisión!$A$2:$L$703,7,FALSE)</f>
        <v>#N/A</v>
      </c>
      <c r="J193" s="4" t="e">
        <f>VLOOKUP(A193,Revisión!$A$2:$L$703,8,FALSE)</f>
        <v>#N/A</v>
      </c>
      <c r="K193" s="4" t="e">
        <f>VLOOKUP(A193,Revisión!$A$2:$L$703,9,FALSE)</f>
        <v>#N/A</v>
      </c>
      <c r="L193" s="4" t="e">
        <f>VLOOKUP(A193,Revisión!$A$2:$L$703,10,FALSE)</f>
        <v>#N/A</v>
      </c>
      <c r="M193" s="18" t="e">
        <f>VLOOKUP(A193,Revisión!$A$2:$L$703,11,FALSE)</f>
        <v>#N/A</v>
      </c>
      <c r="N193" s="30" t="str">
        <f>IF(E193="Coinciden",D193,IF(E193="Revisar",VLOOKUP(A193,Revisión!$A$2:$L$703,12,FALSE),""))</f>
        <v>Aristotelia chilensis</v>
      </c>
    </row>
    <row r="194" spans="1:14" x14ac:dyDescent="0.3">
      <c r="A194" t="s">
        <v>415</v>
      </c>
      <c r="B194" t="s">
        <v>416</v>
      </c>
      <c r="C194" t="s">
        <v>416</v>
      </c>
      <c r="D194" t="s">
        <v>416</v>
      </c>
      <c r="E194" t="s">
        <v>18</v>
      </c>
      <c r="F194" t="s">
        <v>19</v>
      </c>
      <c r="H194" s="23" t="e">
        <f>VLOOKUP(A194,Revisión!$A$2:$L$703,6,FALSE)</f>
        <v>#N/A</v>
      </c>
      <c r="I194" s="4" t="e">
        <f>VLOOKUP(A194,Revisión!$A$2:$L$703,7,FALSE)</f>
        <v>#N/A</v>
      </c>
      <c r="J194" s="4" t="e">
        <f>VLOOKUP(A194,Revisión!$A$2:$L$703,8,FALSE)</f>
        <v>#N/A</v>
      </c>
      <c r="K194" s="4" t="e">
        <f>VLOOKUP(A194,Revisión!$A$2:$L$703,9,FALSE)</f>
        <v>#N/A</v>
      </c>
      <c r="L194" s="4" t="e">
        <f>VLOOKUP(A194,Revisión!$A$2:$L$703,10,FALSE)</f>
        <v>#N/A</v>
      </c>
      <c r="M194" s="18" t="e">
        <f>VLOOKUP(A194,Revisión!$A$2:$L$703,11,FALSE)</f>
        <v>#N/A</v>
      </c>
      <c r="N194" s="30" t="str">
        <f>IF(E194="Coinciden",D194,IF(E194="Revisar",VLOOKUP(A194,Revisión!$A$2:$L$703,12,FALSE),""))</f>
        <v>Arjona patagonica</v>
      </c>
    </row>
    <row r="195" spans="1:14" x14ac:dyDescent="0.3">
      <c r="A195" t="s">
        <v>417</v>
      </c>
      <c r="B195" t="s">
        <v>418</v>
      </c>
      <c r="C195" t="s">
        <v>418</v>
      </c>
      <c r="D195" t="s">
        <v>418</v>
      </c>
      <c r="E195" t="s">
        <v>18</v>
      </c>
      <c r="F195" t="s">
        <v>19</v>
      </c>
      <c r="H195" s="23" t="e">
        <f>VLOOKUP(A195,Revisión!$A$2:$L$703,6,FALSE)</f>
        <v>#N/A</v>
      </c>
      <c r="I195" s="4" t="e">
        <f>VLOOKUP(A195,Revisión!$A$2:$L$703,7,FALSE)</f>
        <v>#N/A</v>
      </c>
      <c r="J195" s="4" t="e">
        <f>VLOOKUP(A195,Revisión!$A$2:$L$703,8,FALSE)</f>
        <v>#N/A</v>
      </c>
      <c r="K195" s="4" t="e">
        <f>VLOOKUP(A195,Revisión!$A$2:$L$703,9,FALSE)</f>
        <v>#N/A</v>
      </c>
      <c r="L195" s="4" t="e">
        <f>VLOOKUP(A195,Revisión!$A$2:$L$703,10,FALSE)</f>
        <v>#N/A</v>
      </c>
      <c r="M195" s="18" t="e">
        <f>VLOOKUP(A195,Revisión!$A$2:$L$703,11,FALSE)</f>
        <v>#N/A</v>
      </c>
      <c r="N195" s="30" t="str">
        <f>IF(E195="Coinciden",D195,IF(E195="Revisar",VLOOKUP(A195,Revisión!$A$2:$L$703,12,FALSE),""))</f>
        <v>Arjona tuberosa</v>
      </c>
    </row>
    <row r="196" spans="1:14" x14ac:dyDescent="0.3">
      <c r="A196" t="s">
        <v>419</v>
      </c>
      <c r="B196" t="s">
        <v>420</v>
      </c>
      <c r="D196" t="s">
        <v>421</v>
      </c>
      <c r="E196" t="s">
        <v>8</v>
      </c>
      <c r="F196" t="s">
        <v>9</v>
      </c>
      <c r="H196" s="23" t="str">
        <f>VLOOKUP(A196,Revisión!$A$2:$L$703,6,FALSE)</f>
        <v>Armeria scabra</v>
      </c>
      <c r="I196" s="4" t="str">
        <f>VLOOKUP(A196,Revisión!$A$2:$L$703,7,FALSE)</f>
        <v>Armeria maritima subsp. sibirica </v>
      </c>
      <c r="J196" s="4" t="str">
        <f>VLOOKUP(A196,Revisión!$A$2:$L$703,8,FALSE)</f>
        <v>Armeria maritima subsp. sibirica </v>
      </c>
      <c r="K196" s="4" t="str">
        <f>VLOOKUP(A196,Revisión!$A$2:$L$703,9,FALSE)</f>
        <v>-</v>
      </c>
      <c r="L196" s="4" t="str">
        <f>VLOOKUP(A196,Revisión!$A$2:$L$703,10,FALSE)</f>
        <v>-</v>
      </c>
      <c r="M196" s="18">
        <f>VLOOKUP(A196,Revisión!$A$2:$L$703,11,FALSE)</f>
        <v>2</v>
      </c>
      <c r="N196" s="30" t="str">
        <f>IF(E196="Coinciden",D196,IF(E196="Revisar",VLOOKUP(A196,Revisión!$A$2:$L$703,12,FALSE),""))</f>
        <v>Armeria maritima subsp. sibirica </v>
      </c>
    </row>
    <row r="197" spans="1:14" x14ac:dyDescent="0.3">
      <c r="A197" t="s">
        <v>422</v>
      </c>
      <c r="B197" t="s">
        <v>423</v>
      </c>
      <c r="C197" t="s">
        <v>423</v>
      </c>
      <c r="D197" t="s">
        <v>423</v>
      </c>
      <c r="E197" t="s">
        <v>18</v>
      </c>
      <c r="F197" t="s">
        <v>19</v>
      </c>
      <c r="H197" s="23" t="e">
        <f>VLOOKUP(A197,Revisión!$A$2:$L$703,6,FALSE)</f>
        <v>#N/A</v>
      </c>
      <c r="I197" s="4" t="e">
        <f>VLOOKUP(A197,Revisión!$A$2:$L$703,7,FALSE)</f>
        <v>#N/A</v>
      </c>
      <c r="J197" s="4" t="e">
        <f>VLOOKUP(A197,Revisión!$A$2:$L$703,8,FALSE)</f>
        <v>#N/A</v>
      </c>
      <c r="K197" s="4" t="e">
        <f>VLOOKUP(A197,Revisión!$A$2:$L$703,9,FALSE)</f>
        <v>#N/A</v>
      </c>
      <c r="L197" s="4" t="e">
        <f>VLOOKUP(A197,Revisión!$A$2:$L$703,10,FALSE)</f>
        <v>#N/A</v>
      </c>
      <c r="M197" s="18" t="e">
        <f>VLOOKUP(A197,Revisión!$A$2:$L$703,11,FALSE)</f>
        <v>#N/A</v>
      </c>
      <c r="N197" s="30" t="str">
        <f>IF(E197="Coinciden",D197,IF(E197="Revisar",VLOOKUP(A197,Revisión!$A$2:$L$703,12,FALSE),""))</f>
        <v>Armeria velutina</v>
      </c>
    </row>
    <row r="198" spans="1:14" x14ac:dyDescent="0.3">
      <c r="A198" t="s">
        <v>424</v>
      </c>
      <c r="E198" t="s">
        <v>8</v>
      </c>
      <c r="F198" t="s">
        <v>11</v>
      </c>
      <c r="H198" s="23" t="e">
        <f>VLOOKUP(A198,Revisión!$A$2:$L$703,6,FALSE)</f>
        <v>#N/A</v>
      </c>
      <c r="I198" s="4" t="e">
        <f>VLOOKUP(A198,Revisión!$A$2:$L$703,7,FALSE)</f>
        <v>#N/A</v>
      </c>
      <c r="J198" s="4" t="e">
        <f>VLOOKUP(A198,Revisión!$A$2:$L$703,8,FALSE)</f>
        <v>#N/A</v>
      </c>
      <c r="K198" s="4" t="e">
        <f>VLOOKUP(A198,Revisión!$A$2:$L$703,9,FALSE)</f>
        <v>#N/A</v>
      </c>
      <c r="L198" s="4" t="e">
        <f>VLOOKUP(A198,Revisión!$A$2:$L$703,10,FALSE)</f>
        <v>#N/A</v>
      </c>
      <c r="M198" s="18" t="e">
        <f>VLOOKUP(A198,Revisión!$A$2:$L$703,11,FALSE)</f>
        <v>#N/A</v>
      </c>
      <c r="N198" s="30" t="e">
        <f>IF(E198="Coinciden",D198,IF(E198="Revisar",VLOOKUP(A198,Revisión!$A$2:$L$703,12,FALSE),""))</f>
        <v>#N/A</v>
      </c>
    </row>
    <row r="199" spans="1:14" x14ac:dyDescent="0.3">
      <c r="A199" t="s">
        <v>425</v>
      </c>
      <c r="B199" t="s">
        <v>426</v>
      </c>
      <c r="D199" t="s">
        <v>426</v>
      </c>
      <c r="E199" t="s">
        <v>8</v>
      </c>
      <c r="F199" t="s">
        <v>34</v>
      </c>
      <c r="H199" s="23" t="str">
        <f>VLOOKUP(A199,Revisión!$A$2:$L$703,6,FALSE)</f>
        <v>Arnica angustifolia</v>
      </c>
      <c r="I199" s="4" t="str">
        <f>VLOOKUP(A199,Revisión!$A$2:$L$703,7,FALSE)</f>
        <v>Arnica angustifolia</v>
      </c>
      <c r="J199" s="4" t="str">
        <f>VLOOKUP(A199,Revisión!$A$2:$L$703,8,FALSE)</f>
        <v>Arnica angustifolia</v>
      </c>
      <c r="K199" s="4" t="str">
        <f>VLOOKUP(A199,Revisión!$A$2:$L$703,9,FALSE)</f>
        <v>-</v>
      </c>
      <c r="L199" s="4" t="str">
        <f>VLOOKUP(A199,Revisión!$A$2:$L$703,10,FALSE)</f>
        <v>-</v>
      </c>
      <c r="M199" s="18">
        <f>VLOOKUP(A199,Revisión!$A$2:$L$703,11,FALSE)</f>
        <v>3</v>
      </c>
      <c r="N199" s="30" t="str">
        <f>IF(E199="Coinciden",D199,IF(E199="Revisar",VLOOKUP(A199,Revisión!$A$2:$L$703,12,FALSE),""))</f>
        <v>Arnica angustifolia</v>
      </c>
    </row>
    <row r="200" spans="1:14" x14ac:dyDescent="0.3">
      <c r="A200" t="s">
        <v>427</v>
      </c>
      <c r="D200" t="s">
        <v>428</v>
      </c>
      <c r="E200" t="s">
        <v>8</v>
      </c>
      <c r="F200" t="s">
        <v>9</v>
      </c>
      <c r="H200" s="23" t="str">
        <f>VLOOKUP(A200,Revisión!$A$2:$L$703,6,FALSE)</f>
        <v>Arnica angustifolia subsp. alpina</v>
      </c>
      <c r="I200" s="4" t="str">
        <f>VLOOKUP(A200,Revisión!$A$2:$L$703,7,FALSE)</f>
        <v>Arnica angustifolia subsp. alpina</v>
      </c>
      <c r="J200" s="4" t="str">
        <f>VLOOKUP(A200,Revisión!$A$2:$L$703,8,FALSE)</f>
        <v>Arnica angustifolia subsp. alpina</v>
      </c>
      <c r="K200" s="4" t="str">
        <f>VLOOKUP(A200,Revisión!$A$2:$L$703,9,FALSE)</f>
        <v>-</v>
      </c>
      <c r="L200" s="4" t="str">
        <f>VLOOKUP(A200,Revisión!$A$2:$L$703,10,FALSE)</f>
        <v>-</v>
      </c>
      <c r="M200" s="18">
        <f>VLOOKUP(A200,Revisión!$A$2:$L$703,11,FALSE)</f>
        <v>3</v>
      </c>
      <c r="N200" s="30" t="str">
        <f>IF(E200="Coinciden",D200,IF(E200="Revisar",VLOOKUP(A200,Revisión!$A$2:$L$703,12,FALSE),""))</f>
        <v>Arnica angustifolia subsp. alpina</v>
      </c>
    </row>
    <row r="201" spans="1:14" x14ac:dyDescent="0.3">
      <c r="A201" t="s">
        <v>429</v>
      </c>
      <c r="B201" t="s">
        <v>430</v>
      </c>
      <c r="C201" t="s">
        <v>430</v>
      </c>
      <c r="D201" t="s">
        <v>430</v>
      </c>
      <c r="E201" t="s">
        <v>18</v>
      </c>
      <c r="F201" t="s">
        <v>19</v>
      </c>
      <c r="H201" s="23" t="e">
        <f>VLOOKUP(A201,Revisión!$A$2:$L$703,6,FALSE)</f>
        <v>#N/A</v>
      </c>
      <c r="I201" s="4" t="e">
        <f>VLOOKUP(A201,Revisión!$A$2:$L$703,7,FALSE)</f>
        <v>#N/A</v>
      </c>
      <c r="J201" s="4" t="e">
        <f>VLOOKUP(A201,Revisión!$A$2:$L$703,8,FALSE)</f>
        <v>#N/A</v>
      </c>
      <c r="K201" s="4" t="e">
        <f>VLOOKUP(A201,Revisión!$A$2:$L$703,9,FALSE)</f>
        <v>#N/A</v>
      </c>
      <c r="L201" s="4" t="e">
        <f>VLOOKUP(A201,Revisión!$A$2:$L$703,10,FALSE)</f>
        <v>#N/A</v>
      </c>
      <c r="M201" s="18" t="e">
        <f>VLOOKUP(A201,Revisión!$A$2:$L$703,11,FALSE)</f>
        <v>#N/A</v>
      </c>
      <c r="N201" s="30" t="str">
        <f>IF(E201="Coinciden",D201,IF(E201="Revisar",VLOOKUP(A201,Revisión!$A$2:$L$703,12,FALSE),""))</f>
        <v>Aronia melanocarpa</v>
      </c>
    </row>
    <row r="202" spans="1:14" x14ac:dyDescent="0.3">
      <c r="A202" t="s">
        <v>431</v>
      </c>
      <c r="B202" t="s">
        <v>432</v>
      </c>
      <c r="C202" t="s">
        <v>432</v>
      </c>
      <c r="D202" t="s">
        <v>432</v>
      </c>
      <c r="E202" t="s">
        <v>18</v>
      </c>
      <c r="F202" t="s">
        <v>19</v>
      </c>
      <c r="H202" s="23" t="e">
        <f>VLOOKUP(A202,Revisión!$A$2:$L$703,6,FALSE)</f>
        <v>#N/A</v>
      </c>
      <c r="I202" s="4" t="e">
        <f>VLOOKUP(A202,Revisión!$A$2:$L$703,7,FALSE)</f>
        <v>#N/A</v>
      </c>
      <c r="J202" s="4" t="e">
        <f>VLOOKUP(A202,Revisión!$A$2:$L$703,8,FALSE)</f>
        <v>#N/A</v>
      </c>
      <c r="K202" s="4" t="e">
        <f>VLOOKUP(A202,Revisión!$A$2:$L$703,9,FALSE)</f>
        <v>#N/A</v>
      </c>
      <c r="L202" s="4" t="e">
        <f>VLOOKUP(A202,Revisión!$A$2:$L$703,10,FALSE)</f>
        <v>#N/A</v>
      </c>
      <c r="M202" s="18" t="e">
        <f>VLOOKUP(A202,Revisión!$A$2:$L$703,11,FALSE)</f>
        <v>#N/A</v>
      </c>
      <c r="N202" s="30" t="str">
        <f>IF(E202="Coinciden",D202,IF(E202="Revisar",VLOOKUP(A202,Revisión!$A$2:$L$703,12,FALSE),""))</f>
        <v>Aruncus dioicus</v>
      </c>
    </row>
    <row r="203" spans="1:14" x14ac:dyDescent="0.3">
      <c r="A203" t="s">
        <v>433</v>
      </c>
      <c r="B203" t="s">
        <v>434</v>
      </c>
      <c r="C203" t="s">
        <v>434</v>
      </c>
      <c r="D203" t="s">
        <v>434</v>
      </c>
      <c r="E203" t="s">
        <v>18</v>
      </c>
      <c r="F203" t="s">
        <v>19</v>
      </c>
      <c r="H203" s="23" t="e">
        <f>VLOOKUP(A203,Revisión!$A$2:$L$703,6,FALSE)</f>
        <v>#N/A</v>
      </c>
      <c r="I203" s="4" t="e">
        <f>VLOOKUP(A203,Revisión!$A$2:$L$703,7,FALSE)</f>
        <v>#N/A</v>
      </c>
      <c r="J203" s="4" t="e">
        <f>VLOOKUP(A203,Revisión!$A$2:$L$703,8,FALSE)</f>
        <v>#N/A</v>
      </c>
      <c r="K203" s="4" t="e">
        <f>VLOOKUP(A203,Revisión!$A$2:$L$703,9,FALSE)</f>
        <v>#N/A</v>
      </c>
      <c r="L203" s="4" t="e">
        <f>VLOOKUP(A203,Revisión!$A$2:$L$703,10,FALSE)</f>
        <v>#N/A</v>
      </c>
      <c r="M203" s="18" t="e">
        <f>VLOOKUP(A203,Revisión!$A$2:$L$703,11,FALSE)</f>
        <v>#N/A</v>
      </c>
      <c r="N203" s="30" t="str">
        <f>IF(E203="Coinciden",D203,IF(E203="Revisar",VLOOKUP(A203,Revisión!$A$2:$L$703,12,FALSE),""))</f>
        <v>Aruncus sylvester</v>
      </c>
    </row>
    <row r="204" spans="1:14" x14ac:dyDescent="0.3">
      <c r="A204" t="s">
        <v>435</v>
      </c>
      <c r="C204" t="s">
        <v>436</v>
      </c>
      <c r="D204" t="s">
        <v>436</v>
      </c>
      <c r="E204" t="s">
        <v>8</v>
      </c>
      <c r="F204" t="s">
        <v>49</v>
      </c>
      <c r="H204" s="23" t="str">
        <f>VLOOKUP(A204,Revisión!$A$2:$L$703,6,FALSE)</f>
        <v>-</v>
      </c>
      <c r="I204" s="4" t="str">
        <f>VLOOKUP(A204,Revisión!$A$2:$L$703,7,FALSE)</f>
        <v>Asclepias longifolia</v>
      </c>
      <c r="J204" s="4" t="str">
        <f>VLOOKUP(A204,Revisión!$A$2:$L$703,8,FALSE)</f>
        <v>Asclepias longifolia</v>
      </c>
      <c r="K204" s="4" t="str">
        <f>VLOOKUP(A204,Revisión!$A$2:$L$703,9,FALSE)</f>
        <v>-</v>
      </c>
      <c r="L204" s="4" t="str">
        <f>VLOOKUP(A204,Revisión!$A$2:$L$703,10,FALSE)</f>
        <v>-</v>
      </c>
      <c r="M204" s="18">
        <f>VLOOKUP(A204,Revisión!$A$2:$L$703,11,FALSE)</f>
        <v>2</v>
      </c>
      <c r="N204" s="30" t="str">
        <f>IF(E204="Coinciden",D204,IF(E204="Revisar",VLOOKUP(A204,Revisión!$A$2:$L$703,12,FALSE),""))</f>
        <v>Asclepias longifolia</v>
      </c>
    </row>
    <row r="205" spans="1:14" x14ac:dyDescent="0.3">
      <c r="A205" t="s">
        <v>437</v>
      </c>
      <c r="C205" t="s">
        <v>438</v>
      </c>
      <c r="D205" t="s">
        <v>438</v>
      </c>
      <c r="E205" t="s">
        <v>8</v>
      </c>
      <c r="F205" t="s">
        <v>49</v>
      </c>
      <c r="H205" s="23" t="str">
        <f>VLOOKUP(A205,Revisión!$A$2:$L$703,6,FALSE)</f>
        <v>Asclepias viridiflora</v>
      </c>
      <c r="I205" s="4" t="str">
        <f>VLOOKUP(A205,Revisión!$A$2:$L$703,7,FALSE)</f>
        <v>Asclepias viridiflora</v>
      </c>
      <c r="J205" s="4" t="str">
        <f>VLOOKUP(A205,Revisión!$A$2:$L$703,8,FALSE)</f>
        <v>Asclepias viridiflora</v>
      </c>
      <c r="K205" s="4" t="str">
        <f>VLOOKUP(A205,Revisión!$A$2:$L$703,9,FALSE)</f>
        <v>-</v>
      </c>
      <c r="L205" s="4" t="str">
        <f>VLOOKUP(A205,Revisión!$A$2:$L$703,10,FALSE)</f>
        <v>-</v>
      </c>
      <c r="M205" s="18">
        <f>VLOOKUP(A205,Revisión!$A$2:$L$703,11,FALSE)</f>
        <v>3</v>
      </c>
      <c r="N205" s="30" t="str">
        <f>IF(E205="Coinciden",D205,IF(E205="Revisar",VLOOKUP(A205,Revisión!$A$2:$L$703,12,FALSE),""))</f>
        <v>Asclepias viridiflora</v>
      </c>
    </row>
    <row r="206" spans="1:14" x14ac:dyDescent="0.3">
      <c r="A206" t="s">
        <v>439</v>
      </c>
      <c r="B206" t="s">
        <v>440</v>
      </c>
      <c r="C206" t="s">
        <v>440</v>
      </c>
      <c r="D206" t="s">
        <v>440</v>
      </c>
      <c r="E206" t="s">
        <v>18</v>
      </c>
      <c r="F206" t="s">
        <v>19</v>
      </c>
      <c r="H206" s="23" t="e">
        <f>VLOOKUP(A206,Revisión!$A$2:$L$703,6,FALSE)</f>
        <v>#N/A</v>
      </c>
      <c r="I206" s="4" t="e">
        <f>VLOOKUP(A206,Revisión!$A$2:$L$703,7,FALSE)</f>
        <v>#N/A</v>
      </c>
      <c r="J206" s="4" t="e">
        <f>VLOOKUP(A206,Revisión!$A$2:$L$703,8,FALSE)</f>
        <v>#N/A</v>
      </c>
      <c r="K206" s="4" t="e">
        <f>VLOOKUP(A206,Revisión!$A$2:$L$703,9,FALSE)</f>
        <v>#N/A</v>
      </c>
      <c r="L206" s="4" t="e">
        <f>VLOOKUP(A206,Revisión!$A$2:$L$703,10,FALSE)</f>
        <v>#N/A</v>
      </c>
      <c r="M206" s="18" t="e">
        <f>VLOOKUP(A206,Revisión!$A$2:$L$703,11,FALSE)</f>
        <v>#N/A</v>
      </c>
      <c r="N206" s="30" t="str">
        <f>IF(E206="Coinciden",D206,IF(E206="Revisar",VLOOKUP(A206,Revisión!$A$2:$L$703,12,FALSE),""))</f>
        <v>Asclepias speciosa</v>
      </c>
    </row>
    <row r="207" spans="1:14" x14ac:dyDescent="0.3">
      <c r="A207" t="s">
        <v>441</v>
      </c>
      <c r="B207" t="s">
        <v>442</v>
      </c>
      <c r="C207" t="s">
        <v>442</v>
      </c>
      <c r="D207" t="s">
        <v>442</v>
      </c>
      <c r="E207" t="s">
        <v>18</v>
      </c>
      <c r="F207" t="s">
        <v>19</v>
      </c>
      <c r="H207" s="23" t="e">
        <f>VLOOKUP(A207,Revisión!$A$2:$L$703,6,FALSE)</f>
        <v>#N/A</v>
      </c>
      <c r="I207" s="4" t="e">
        <f>VLOOKUP(A207,Revisión!$A$2:$L$703,7,FALSE)</f>
        <v>#N/A</v>
      </c>
      <c r="J207" s="4" t="e">
        <f>VLOOKUP(A207,Revisión!$A$2:$L$703,8,FALSE)</f>
        <v>#N/A</v>
      </c>
      <c r="K207" s="4" t="e">
        <f>VLOOKUP(A207,Revisión!$A$2:$L$703,9,FALSE)</f>
        <v>#N/A</v>
      </c>
      <c r="L207" s="4" t="e">
        <f>VLOOKUP(A207,Revisión!$A$2:$L$703,10,FALSE)</f>
        <v>#N/A</v>
      </c>
      <c r="M207" s="18" t="e">
        <f>VLOOKUP(A207,Revisión!$A$2:$L$703,11,FALSE)</f>
        <v>#N/A</v>
      </c>
      <c r="N207" s="30" t="str">
        <f>IF(E207="Coinciden",D207,IF(E207="Revisar",VLOOKUP(A207,Revisión!$A$2:$L$703,12,FALSE),""))</f>
        <v>Asclepias syriaca</v>
      </c>
    </row>
    <row r="208" spans="1:14" x14ac:dyDescent="0.3">
      <c r="A208" t="s">
        <v>443</v>
      </c>
      <c r="B208" t="s">
        <v>444</v>
      </c>
      <c r="C208" t="s">
        <v>444</v>
      </c>
      <c r="D208" t="s">
        <v>444</v>
      </c>
      <c r="E208" t="s">
        <v>18</v>
      </c>
      <c r="F208" t="s">
        <v>19</v>
      </c>
      <c r="H208" s="23" t="e">
        <f>VLOOKUP(A208,Revisión!$A$2:$L$703,6,FALSE)</f>
        <v>#N/A</v>
      </c>
      <c r="I208" s="4" t="e">
        <f>VLOOKUP(A208,Revisión!$A$2:$L$703,7,FALSE)</f>
        <v>#N/A</v>
      </c>
      <c r="J208" s="4" t="e">
        <f>VLOOKUP(A208,Revisión!$A$2:$L$703,8,FALSE)</f>
        <v>#N/A</v>
      </c>
      <c r="K208" s="4" t="e">
        <f>VLOOKUP(A208,Revisión!$A$2:$L$703,9,FALSE)</f>
        <v>#N/A</v>
      </c>
      <c r="L208" s="4" t="e">
        <f>VLOOKUP(A208,Revisión!$A$2:$L$703,10,FALSE)</f>
        <v>#N/A</v>
      </c>
      <c r="M208" s="18" t="e">
        <f>VLOOKUP(A208,Revisión!$A$2:$L$703,11,FALSE)</f>
        <v>#N/A</v>
      </c>
      <c r="N208" s="30" t="str">
        <f>IF(E208="Coinciden",D208,IF(E208="Revisar",VLOOKUP(A208,Revisión!$A$2:$L$703,12,FALSE),""))</f>
        <v>Asclepias woodii</v>
      </c>
    </row>
    <row r="209" spans="1:14" x14ac:dyDescent="0.3">
      <c r="A209" t="s">
        <v>445</v>
      </c>
      <c r="B209" t="s">
        <v>446</v>
      </c>
      <c r="D209" t="s">
        <v>446</v>
      </c>
      <c r="E209" t="s">
        <v>8</v>
      </c>
      <c r="F209" t="s">
        <v>34</v>
      </c>
      <c r="H209" s="23" t="str">
        <f>VLOOKUP(A209,Revisión!$A$2:$L$703,6,FALSE)</f>
        <v>Asclepias sullivantii</v>
      </c>
      <c r="I209" s="4" t="str">
        <f>VLOOKUP(A209,Revisión!$A$2:$L$703,7,FALSE)</f>
        <v>Asclepias sullivantii</v>
      </c>
      <c r="J209" s="4" t="str">
        <f>VLOOKUP(A209,Revisión!$A$2:$L$703,8,FALSE)</f>
        <v>Asclepias sullivantii</v>
      </c>
      <c r="K209" s="4" t="str">
        <f>VLOOKUP(A209,Revisión!$A$2:$L$703,9,FALSE)</f>
        <v>-</v>
      </c>
      <c r="L209" s="4" t="str">
        <f>VLOOKUP(A209,Revisión!$A$2:$L$703,10,FALSE)</f>
        <v>-</v>
      </c>
      <c r="M209" s="18">
        <f>VLOOKUP(A209,Revisión!$A$2:$L$703,11,FALSE)</f>
        <v>3</v>
      </c>
      <c r="N209" s="30" t="str">
        <f>IF(E209="Coinciden",D209,IF(E209="Revisar",VLOOKUP(A209,Revisión!$A$2:$L$703,12,FALSE),""))</f>
        <v>Asclepias sullivantii</v>
      </c>
    </row>
    <row r="210" spans="1:14" x14ac:dyDescent="0.3">
      <c r="A210" t="s">
        <v>447</v>
      </c>
      <c r="B210" t="s">
        <v>448</v>
      </c>
      <c r="C210" t="s">
        <v>448</v>
      </c>
      <c r="D210" t="s">
        <v>448</v>
      </c>
      <c r="E210" t="s">
        <v>18</v>
      </c>
      <c r="F210" t="s">
        <v>19</v>
      </c>
      <c r="H210" s="23" t="e">
        <f>VLOOKUP(A210,Revisión!$A$2:$L$703,6,FALSE)</f>
        <v>#N/A</v>
      </c>
      <c r="I210" s="4" t="e">
        <f>VLOOKUP(A210,Revisión!$A$2:$L$703,7,FALSE)</f>
        <v>#N/A</v>
      </c>
      <c r="J210" s="4" t="e">
        <f>VLOOKUP(A210,Revisión!$A$2:$L$703,8,FALSE)</f>
        <v>#N/A</v>
      </c>
      <c r="K210" s="4" t="e">
        <f>VLOOKUP(A210,Revisión!$A$2:$L$703,9,FALSE)</f>
        <v>#N/A</v>
      </c>
      <c r="L210" s="4" t="e">
        <f>VLOOKUP(A210,Revisión!$A$2:$L$703,10,FALSE)</f>
        <v>#N/A</v>
      </c>
      <c r="M210" s="18" t="e">
        <f>VLOOKUP(A210,Revisión!$A$2:$L$703,11,FALSE)</f>
        <v>#N/A</v>
      </c>
      <c r="N210" s="30" t="str">
        <f>IF(E210="Coinciden",D210,IF(E210="Revisar",VLOOKUP(A210,Revisión!$A$2:$L$703,12,FALSE),""))</f>
        <v>Asclepias incarnata</v>
      </c>
    </row>
    <row r="211" spans="1:14" x14ac:dyDescent="0.3">
      <c r="A211" t="s">
        <v>449</v>
      </c>
      <c r="B211" t="s">
        <v>450</v>
      </c>
      <c r="C211" t="s">
        <v>450</v>
      </c>
      <c r="D211" t="s">
        <v>450</v>
      </c>
      <c r="E211" t="s">
        <v>18</v>
      </c>
      <c r="F211" t="s">
        <v>19</v>
      </c>
      <c r="H211" s="23" t="e">
        <f>VLOOKUP(A211,Revisión!$A$2:$L$703,6,FALSE)</f>
        <v>#N/A</v>
      </c>
      <c r="I211" s="4" t="e">
        <f>VLOOKUP(A211,Revisión!$A$2:$L$703,7,FALSE)</f>
        <v>#N/A</v>
      </c>
      <c r="J211" s="4" t="e">
        <f>VLOOKUP(A211,Revisión!$A$2:$L$703,8,FALSE)</f>
        <v>#N/A</v>
      </c>
      <c r="K211" s="4" t="e">
        <f>VLOOKUP(A211,Revisión!$A$2:$L$703,9,FALSE)</f>
        <v>#N/A</v>
      </c>
      <c r="L211" s="4" t="e">
        <f>VLOOKUP(A211,Revisión!$A$2:$L$703,10,FALSE)</f>
        <v>#N/A</v>
      </c>
      <c r="M211" s="18" t="e">
        <f>VLOOKUP(A211,Revisión!$A$2:$L$703,11,FALSE)</f>
        <v>#N/A</v>
      </c>
      <c r="N211" s="30" t="str">
        <f>IF(E211="Coinciden",D211,IF(E211="Revisar",VLOOKUP(A211,Revisión!$A$2:$L$703,12,FALSE),""))</f>
        <v>Asclepias verticillata</v>
      </c>
    </row>
    <row r="212" spans="1:14" x14ac:dyDescent="0.3">
      <c r="A212" t="s">
        <v>451</v>
      </c>
      <c r="B212" t="s">
        <v>452</v>
      </c>
      <c r="C212" t="s">
        <v>452</v>
      </c>
      <c r="D212" t="s">
        <v>452</v>
      </c>
      <c r="E212" t="s">
        <v>18</v>
      </c>
      <c r="F212" t="s">
        <v>19</v>
      </c>
      <c r="H212" s="23" t="e">
        <f>VLOOKUP(A212,Revisión!$A$2:$L$703,6,FALSE)</f>
        <v>#N/A</v>
      </c>
      <c r="I212" s="4" t="e">
        <f>VLOOKUP(A212,Revisión!$A$2:$L$703,7,FALSE)</f>
        <v>#N/A</v>
      </c>
      <c r="J212" s="4" t="e">
        <f>VLOOKUP(A212,Revisión!$A$2:$L$703,8,FALSE)</f>
        <v>#N/A</v>
      </c>
      <c r="K212" s="4" t="e">
        <f>VLOOKUP(A212,Revisión!$A$2:$L$703,9,FALSE)</f>
        <v>#N/A</v>
      </c>
      <c r="L212" s="4" t="e">
        <f>VLOOKUP(A212,Revisión!$A$2:$L$703,10,FALSE)</f>
        <v>#N/A</v>
      </c>
      <c r="M212" s="18" t="e">
        <f>VLOOKUP(A212,Revisión!$A$2:$L$703,11,FALSE)</f>
        <v>#N/A</v>
      </c>
      <c r="N212" s="30" t="str">
        <f>IF(E212="Coinciden",D212,IF(E212="Revisar",VLOOKUP(A212,Revisión!$A$2:$L$703,12,FALSE),""))</f>
        <v>Asclepias cucullata</v>
      </c>
    </row>
    <row r="213" spans="1:14" x14ac:dyDescent="0.3">
      <c r="A213" t="s">
        <v>453</v>
      </c>
      <c r="B213" t="s">
        <v>454</v>
      </c>
      <c r="D213" t="s">
        <v>454</v>
      </c>
      <c r="E213" t="s">
        <v>8</v>
      </c>
      <c r="F213" t="s">
        <v>34</v>
      </c>
      <c r="H213" s="23" t="str">
        <f>VLOOKUP(A213,Revisión!$A$2:$L$703,6,FALSE)</f>
        <v>Asclepias purpurascens</v>
      </c>
      <c r="I213" s="4" t="str">
        <f>VLOOKUP(A213,Revisión!$A$2:$L$703,7,FALSE)</f>
        <v>Asclepias purpurascens</v>
      </c>
      <c r="J213" s="4" t="str">
        <f>VLOOKUP(A213,Revisión!$A$2:$L$703,8,FALSE)</f>
        <v>Asclepias purpurascens</v>
      </c>
      <c r="K213" s="4" t="str">
        <f>VLOOKUP(A213,Revisión!$A$2:$L$703,9,FALSE)</f>
        <v>-</v>
      </c>
      <c r="L213" s="4" t="str">
        <f>VLOOKUP(A213,Revisión!$A$2:$L$703,10,FALSE)</f>
        <v>-</v>
      </c>
      <c r="M213" s="18">
        <f>VLOOKUP(A213,Revisión!$A$2:$L$703,11,FALSE)</f>
        <v>3</v>
      </c>
      <c r="N213" s="30" t="str">
        <f>IF(E213="Coinciden",D213,IF(E213="Revisar",VLOOKUP(A213,Revisión!$A$2:$L$703,12,FALSE),""))</f>
        <v>Asclepias purpurascens</v>
      </c>
    </row>
    <row r="214" spans="1:14" x14ac:dyDescent="0.3">
      <c r="A214" t="s">
        <v>455</v>
      </c>
      <c r="B214" t="s">
        <v>456</v>
      </c>
      <c r="C214" t="s">
        <v>456</v>
      </c>
      <c r="D214" t="s">
        <v>456</v>
      </c>
      <c r="E214" t="s">
        <v>18</v>
      </c>
      <c r="F214" t="s">
        <v>19</v>
      </c>
      <c r="H214" s="23" t="e">
        <f>VLOOKUP(A214,Revisión!$A$2:$L$703,6,FALSE)</f>
        <v>#N/A</v>
      </c>
      <c r="I214" s="4" t="e">
        <f>VLOOKUP(A214,Revisión!$A$2:$L$703,7,FALSE)</f>
        <v>#N/A</v>
      </c>
      <c r="J214" s="4" t="e">
        <f>VLOOKUP(A214,Revisión!$A$2:$L$703,8,FALSE)</f>
        <v>#N/A</v>
      </c>
      <c r="K214" s="4" t="e">
        <f>VLOOKUP(A214,Revisión!$A$2:$L$703,9,FALSE)</f>
        <v>#N/A</v>
      </c>
      <c r="L214" s="4" t="e">
        <f>VLOOKUP(A214,Revisión!$A$2:$L$703,10,FALSE)</f>
        <v>#N/A</v>
      </c>
      <c r="M214" s="18" t="e">
        <f>VLOOKUP(A214,Revisión!$A$2:$L$703,11,FALSE)</f>
        <v>#N/A</v>
      </c>
      <c r="N214" s="30" t="str">
        <f>IF(E214="Coinciden",D214,IF(E214="Revisar",VLOOKUP(A214,Revisión!$A$2:$L$703,12,FALSE),""))</f>
        <v>Asclepias hallii</v>
      </c>
    </row>
    <row r="215" spans="1:14" x14ac:dyDescent="0.3">
      <c r="A215" t="s">
        <v>457</v>
      </c>
      <c r="B215" t="s">
        <v>458</v>
      </c>
      <c r="C215" t="s">
        <v>458</v>
      </c>
      <c r="D215" t="s">
        <v>458</v>
      </c>
      <c r="E215" t="s">
        <v>18</v>
      </c>
      <c r="F215" t="s">
        <v>19</v>
      </c>
      <c r="H215" s="23" t="e">
        <f>VLOOKUP(A215,Revisión!$A$2:$L$703,6,FALSE)</f>
        <v>#N/A</v>
      </c>
      <c r="I215" s="4" t="e">
        <f>VLOOKUP(A215,Revisión!$A$2:$L$703,7,FALSE)</f>
        <v>#N/A</v>
      </c>
      <c r="J215" s="4" t="e">
        <f>VLOOKUP(A215,Revisión!$A$2:$L$703,8,FALSE)</f>
        <v>#N/A</v>
      </c>
      <c r="K215" s="4" t="e">
        <f>VLOOKUP(A215,Revisión!$A$2:$L$703,9,FALSE)</f>
        <v>#N/A</v>
      </c>
      <c r="L215" s="4" t="e">
        <f>VLOOKUP(A215,Revisión!$A$2:$L$703,10,FALSE)</f>
        <v>#N/A</v>
      </c>
      <c r="M215" s="18" t="e">
        <f>VLOOKUP(A215,Revisión!$A$2:$L$703,11,FALSE)</f>
        <v>#N/A</v>
      </c>
      <c r="N215" s="30" t="str">
        <f>IF(E215="Coinciden",D215,IF(E215="Revisar",VLOOKUP(A215,Revisión!$A$2:$L$703,12,FALSE),""))</f>
        <v>Asclepias tuberosa</v>
      </c>
    </row>
    <row r="216" spans="1:14" x14ac:dyDescent="0.3">
      <c r="A216" t="s">
        <v>459</v>
      </c>
      <c r="D216" t="s">
        <v>460</v>
      </c>
      <c r="E216" t="s">
        <v>8</v>
      </c>
      <c r="F216" t="s">
        <v>9</v>
      </c>
      <c r="H216" s="23" t="str">
        <f>VLOOKUP(A216,Revisión!$A$2:$L$703,6,FALSE)</f>
        <v>Asclepias curassavica</v>
      </c>
      <c r="I216" s="4" t="str">
        <f>VLOOKUP(A216,Revisión!$A$2:$L$703,7,FALSE)</f>
        <v>Asclepias curassavica</v>
      </c>
      <c r="J216" s="4" t="str">
        <f>VLOOKUP(A216,Revisión!$A$2:$L$703,8,FALSE)</f>
        <v>Asclepias curassavica</v>
      </c>
      <c r="K216" s="4" t="str">
        <f>VLOOKUP(A216,Revisión!$A$2:$L$703,9,FALSE)</f>
        <v>-</v>
      </c>
      <c r="L216" s="4" t="str">
        <f>VLOOKUP(A216,Revisión!$A$2:$L$703,10,FALSE)</f>
        <v>-</v>
      </c>
      <c r="M216" s="18">
        <f>VLOOKUP(A216,Revisión!$A$2:$L$703,11,FALSE)</f>
        <v>3</v>
      </c>
      <c r="N216" s="30" t="str">
        <f>IF(E216="Coinciden",D216,IF(E216="Revisar",VLOOKUP(A216,Revisión!$A$2:$L$703,12,FALSE),""))</f>
        <v>Asclepias curassavica</v>
      </c>
    </row>
    <row r="217" spans="1:14" x14ac:dyDescent="0.3">
      <c r="A217" t="s">
        <v>461</v>
      </c>
      <c r="C217" t="s">
        <v>462</v>
      </c>
      <c r="D217" t="s">
        <v>462</v>
      </c>
      <c r="E217" t="s">
        <v>8</v>
      </c>
      <c r="F217" t="s">
        <v>49</v>
      </c>
      <c r="H217" s="23" t="str">
        <f>VLOOKUP(A217,Revisión!$A$2:$L$703,6,FALSE)</f>
        <v>Asimina triloba</v>
      </c>
      <c r="I217" s="4" t="str">
        <f>VLOOKUP(A217,Revisión!$A$2:$L$703,7,FALSE)</f>
        <v>Asimina triloba</v>
      </c>
      <c r="J217" s="4" t="str">
        <f>VLOOKUP(A217,Revisión!$A$2:$L$703,8,FALSE)</f>
        <v>Asimina triloba</v>
      </c>
      <c r="K217" s="4" t="str">
        <f>VLOOKUP(A217,Revisión!$A$2:$L$703,9,FALSE)</f>
        <v>-</v>
      </c>
      <c r="L217" s="4" t="str">
        <f>VLOOKUP(A217,Revisión!$A$2:$L$703,10,FALSE)</f>
        <v>-</v>
      </c>
      <c r="M217" s="18">
        <f>VLOOKUP(A217,Revisión!$A$2:$L$703,11,FALSE)</f>
        <v>3</v>
      </c>
      <c r="N217" s="30" t="str">
        <f>IF(E217="Coinciden",D217,IF(E217="Revisar",VLOOKUP(A217,Revisión!$A$2:$L$703,12,FALSE),""))</f>
        <v>Asimina triloba</v>
      </c>
    </row>
    <row r="218" spans="1:14" x14ac:dyDescent="0.3">
      <c r="A218" t="s">
        <v>463</v>
      </c>
      <c r="B218" t="s">
        <v>464</v>
      </c>
      <c r="C218" t="s">
        <v>464</v>
      </c>
      <c r="D218" t="s">
        <v>464</v>
      </c>
      <c r="E218" t="s">
        <v>18</v>
      </c>
      <c r="F218" t="s">
        <v>19</v>
      </c>
      <c r="H218" s="23" t="e">
        <f>VLOOKUP(A218,Revisión!$A$2:$L$703,6,FALSE)</f>
        <v>#N/A</v>
      </c>
      <c r="I218" s="4" t="e">
        <f>VLOOKUP(A218,Revisión!$A$2:$L$703,7,FALSE)</f>
        <v>#N/A</v>
      </c>
      <c r="J218" s="4" t="e">
        <f>VLOOKUP(A218,Revisión!$A$2:$L$703,8,FALSE)</f>
        <v>#N/A</v>
      </c>
      <c r="K218" s="4" t="e">
        <f>VLOOKUP(A218,Revisión!$A$2:$L$703,9,FALSE)</f>
        <v>#N/A</v>
      </c>
      <c r="L218" s="4" t="e">
        <f>VLOOKUP(A218,Revisión!$A$2:$L$703,10,FALSE)</f>
        <v>#N/A</v>
      </c>
      <c r="M218" s="18" t="e">
        <f>VLOOKUP(A218,Revisión!$A$2:$L$703,11,FALSE)</f>
        <v>#N/A</v>
      </c>
      <c r="N218" s="30" t="str">
        <f>IF(E218="Coinciden",D218,IF(E218="Revisar",VLOOKUP(A218,Revisión!$A$2:$L$703,12,FALSE),""))</f>
        <v>Asparagus officinalis</v>
      </c>
    </row>
    <row r="219" spans="1:14" x14ac:dyDescent="0.3">
      <c r="A219" t="s">
        <v>465</v>
      </c>
      <c r="B219" t="s">
        <v>466</v>
      </c>
      <c r="C219" t="s">
        <v>466</v>
      </c>
      <c r="D219" t="s">
        <v>466</v>
      </c>
      <c r="E219" t="s">
        <v>18</v>
      </c>
      <c r="F219" t="s">
        <v>19</v>
      </c>
      <c r="H219" s="23" t="e">
        <f>VLOOKUP(A219,Revisión!$A$2:$L$703,6,FALSE)</f>
        <v>#N/A</v>
      </c>
      <c r="I219" s="4" t="e">
        <f>VLOOKUP(A219,Revisión!$A$2:$L$703,7,FALSE)</f>
        <v>#N/A</v>
      </c>
      <c r="J219" s="4" t="e">
        <f>VLOOKUP(A219,Revisión!$A$2:$L$703,8,FALSE)</f>
        <v>#N/A</v>
      </c>
      <c r="K219" s="4" t="e">
        <f>VLOOKUP(A219,Revisión!$A$2:$L$703,9,FALSE)</f>
        <v>#N/A</v>
      </c>
      <c r="L219" s="4" t="e">
        <f>VLOOKUP(A219,Revisión!$A$2:$L$703,10,FALSE)</f>
        <v>#N/A</v>
      </c>
      <c r="M219" s="18" t="e">
        <f>VLOOKUP(A219,Revisión!$A$2:$L$703,11,FALSE)</f>
        <v>#N/A</v>
      </c>
      <c r="N219" s="30" t="str">
        <f>IF(E219="Coinciden",D219,IF(E219="Revisar",VLOOKUP(A219,Revisión!$A$2:$L$703,12,FALSE),""))</f>
        <v>Asparagus aphyllus</v>
      </c>
    </row>
    <row r="220" spans="1:14" x14ac:dyDescent="0.3">
      <c r="A220" t="s">
        <v>467</v>
      </c>
      <c r="B220" t="s">
        <v>468</v>
      </c>
      <c r="C220" t="s">
        <v>468</v>
      </c>
      <c r="D220" t="s">
        <v>468</v>
      </c>
      <c r="E220" t="s">
        <v>18</v>
      </c>
      <c r="F220" t="s">
        <v>19</v>
      </c>
      <c r="H220" s="23" t="e">
        <f>VLOOKUP(A220,Revisión!$A$2:$L$703,6,FALSE)</f>
        <v>#N/A</v>
      </c>
      <c r="I220" s="4" t="e">
        <f>VLOOKUP(A220,Revisión!$A$2:$L$703,7,FALSE)</f>
        <v>#N/A</v>
      </c>
      <c r="J220" s="4" t="e">
        <f>VLOOKUP(A220,Revisión!$A$2:$L$703,8,FALSE)</f>
        <v>#N/A</v>
      </c>
      <c r="K220" s="4" t="e">
        <f>VLOOKUP(A220,Revisión!$A$2:$L$703,9,FALSE)</f>
        <v>#N/A</v>
      </c>
      <c r="L220" s="4" t="e">
        <f>VLOOKUP(A220,Revisión!$A$2:$L$703,10,FALSE)</f>
        <v>#N/A</v>
      </c>
      <c r="M220" s="18" t="e">
        <f>VLOOKUP(A220,Revisión!$A$2:$L$703,11,FALSE)</f>
        <v>#N/A</v>
      </c>
      <c r="N220" s="30" t="str">
        <f>IF(E220="Coinciden",D220,IF(E220="Revisar",VLOOKUP(A220,Revisión!$A$2:$L$703,12,FALSE),""))</f>
        <v>Asparagus acutifolius</v>
      </c>
    </row>
    <row r="221" spans="1:14" x14ac:dyDescent="0.3">
      <c r="A221" t="s">
        <v>469</v>
      </c>
      <c r="B221" t="s">
        <v>470</v>
      </c>
      <c r="C221" t="s">
        <v>470</v>
      </c>
      <c r="D221" t="s">
        <v>470</v>
      </c>
      <c r="E221" t="s">
        <v>18</v>
      </c>
      <c r="F221" t="s">
        <v>19</v>
      </c>
      <c r="H221" s="23" t="e">
        <f>VLOOKUP(A221,Revisión!$A$2:$L$703,6,FALSE)</f>
        <v>#N/A</v>
      </c>
      <c r="I221" s="4" t="e">
        <f>VLOOKUP(A221,Revisión!$A$2:$L$703,7,FALSE)</f>
        <v>#N/A</v>
      </c>
      <c r="J221" s="4" t="e">
        <f>VLOOKUP(A221,Revisión!$A$2:$L$703,8,FALSE)</f>
        <v>#N/A</v>
      </c>
      <c r="K221" s="4" t="e">
        <f>VLOOKUP(A221,Revisión!$A$2:$L$703,9,FALSE)</f>
        <v>#N/A</v>
      </c>
      <c r="L221" s="4" t="e">
        <f>VLOOKUP(A221,Revisión!$A$2:$L$703,10,FALSE)</f>
        <v>#N/A</v>
      </c>
      <c r="M221" s="18" t="e">
        <f>VLOOKUP(A221,Revisión!$A$2:$L$703,11,FALSE)</f>
        <v>#N/A</v>
      </c>
      <c r="N221" s="30" t="str">
        <f>IF(E221="Coinciden",D221,IF(E221="Revisar",VLOOKUP(A221,Revisión!$A$2:$L$703,12,FALSE),""))</f>
        <v>Asparagus schoberioides</v>
      </c>
    </row>
    <row r="222" spans="1:14" x14ac:dyDescent="0.3">
      <c r="A222" t="s">
        <v>471</v>
      </c>
      <c r="B222" t="s">
        <v>472</v>
      </c>
      <c r="C222" t="s">
        <v>472</v>
      </c>
      <c r="D222" t="s">
        <v>472</v>
      </c>
      <c r="E222" t="s">
        <v>18</v>
      </c>
      <c r="F222" t="s">
        <v>19</v>
      </c>
      <c r="H222" s="23" t="e">
        <f>VLOOKUP(A222,Revisión!$A$2:$L$703,6,FALSE)</f>
        <v>#N/A</v>
      </c>
      <c r="I222" s="4" t="e">
        <f>VLOOKUP(A222,Revisión!$A$2:$L$703,7,FALSE)</f>
        <v>#N/A</v>
      </c>
      <c r="J222" s="4" t="e">
        <f>VLOOKUP(A222,Revisión!$A$2:$L$703,8,FALSE)</f>
        <v>#N/A</v>
      </c>
      <c r="K222" s="4" t="e">
        <f>VLOOKUP(A222,Revisión!$A$2:$L$703,9,FALSE)</f>
        <v>#N/A</v>
      </c>
      <c r="L222" s="4" t="e">
        <f>VLOOKUP(A222,Revisión!$A$2:$L$703,10,FALSE)</f>
        <v>#N/A</v>
      </c>
      <c r="M222" s="18" t="e">
        <f>VLOOKUP(A222,Revisión!$A$2:$L$703,11,FALSE)</f>
        <v>#N/A</v>
      </c>
      <c r="N222" s="30" t="str">
        <f>IF(E222="Coinciden",D222,IF(E222="Revisar",VLOOKUP(A222,Revisión!$A$2:$L$703,12,FALSE),""))</f>
        <v>Asperula gunnii</v>
      </c>
    </row>
    <row r="223" spans="1:14" x14ac:dyDescent="0.3">
      <c r="A223" t="s">
        <v>473</v>
      </c>
      <c r="B223" t="s">
        <v>474</v>
      </c>
      <c r="C223" t="s">
        <v>474</v>
      </c>
      <c r="D223" t="s">
        <v>474</v>
      </c>
      <c r="E223" t="s">
        <v>18</v>
      </c>
      <c r="F223" t="s">
        <v>19</v>
      </c>
      <c r="H223" s="23" t="e">
        <f>VLOOKUP(A223,Revisión!$A$2:$L$703,6,FALSE)</f>
        <v>#N/A</v>
      </c>
      <c r="I223" s="4" t="e">
        <f>VLOOKUP(A223,Revisión!$A$2:$L$703,7,FALSE)</f>
        <v>#N/A</v>
      </c>
      <c r="J223" s="4" t="e">
        <f>VLOOKUP(A223,Revisión!$A$2:$L$703,8,FALSE)</f>
        <v>#N/A</v>
      </c>
      <c r="K223" s="4" t="e">
        <f>VLOOKUP(A223,Revisión!$A$2:$L$703,9,FALSE)</f>
        <v>#N/A</v>
      </c>
      <c r="L223" s="4" t="e">
        <f>VLOOKUP(A223,Revisión!$A$2:$L$703,10,FALSE)</f>
        <v>#N/A</v>
      </c>
      <c r="M223" s="18" t="e">
        <f>VLOOKUP(A223,Revisión!$A$2:$L$703,11,FALSE)</f>
        <v>#N/A</v>
      </c>
      <c r="N223" s="30" t="str">
        <f>IF(E223="Coinciden",D223,IF(E223="Revisar",VLOOKUP(A223,Revisión!$A$2:$L$703,12,FALSE),""))</f>
        <v>Asphodelus aestivus</v>
      </c>
    </row>
    <row r="224" spans="1:14" x14ac:dyDescent="0.3">
      <c r="A224" t="s">
        <v>475</v>
      </c>
      <c r="B224" t="s">
        <v>476</v>
      </c>
      <c r="C224" t="s">
        <v>476</v>
      </c>
      <c r="D224" t="s">
        <v>476</v>
      </c>
      <c r="E224" t="s">
        <v>18</v>
      </c>
      <c r="F224" t="s">
        <v>19</v>
      </c>
      <c r="H224" s="23" t="e">
        <f>VLOOKUP(A224,Revisión!$A$2:$L$703,6,FALSE)</f>
        <v>#N/A</v>
      </c>
      <c r="I224" s="4" t="e">
        <f>VLOOKUP(A224,Revisión!$A$2:$L$703,7,FALSE)</f>
        <v>#N/A</v>
      </c>
      <c r="J224" s="4" t="e">
        <f>VLOOKUP(A224,Revisión!$A$2:$L$703,8,FALSE)</f>
        <v>#N/A</v>
      </c>
      <c r="K224" s="4" t="e">
        <f>VLOOKUP(A224,Revisión!$A$2:$L$703,9,FALSE)</f>
        <v>#N/A</v>
      </c>
      <c r="L224" s="4" t="e">
        <f>VLOOKUP(A224,Revisión!$A$2:$L$703,10,FALSE)</f>
        <v>#N/A</v>
      </c>
      <c r="M224" s="18" t="e">
        <f>VLOOKUP(A224,Revisión!$A$2:$L$703,11,FALSE)</f>
        <v>#N/A</v>
      </c>
      <c r="N224" s="30" t="str">
        <f>IF(E224="Coinciden",D224,IF(E224="Revisar",VLOOKUP(A224,Revisión!$A$2:$L$703,12,FALSE),""))</f>
        <v>Aspidonepsis diploglossa</v>
      </c>
    </row>
    <row r="225" spans="1:14" x14ac:dyDescent="0.3">
      <c r="A225" t="s">
        <v>477</v>
      </c>
      <c r="B225" t="s">
        <v>478</v>
      </c>
      <c r="C225" t="s">
        <v>478</v>
      </c>
      <c r="D225" t="s">
        <v>478</v>
      </c>
      <c r="E225" t="s">
        <v>18</v>
      </c>
      <c r="F225" t="s">
        <v>19</v>
      </c>
      <c r="H225" s="23" t="e">
        <f>VLOOKUP(A225,Revisión!$A$2:$L$703,6,FALSE)</f>
        <v>#N/A</v>
      </c>
      <c r="I225" s="4" t="e">
        <f>VLOOKUP(A225,Revisión!$A$2:$L$703,7,FALSE)</f>
        <v>#N/A</v>
      </c>
      <c r="J225" s="4" t="e">
        <f>VLOOKUP(A225,Revisión!$A$2:$L$703,8,FALSE)</f>
        <v>#N/A</v>
      </c>
      <c r="K225" s="4" t="e">
        <f>VLOOKUP(A225,Revisión!$A$2:$L$703,9,FALSE)</f>
        <v>#N/A</v>
      </c>
      <c r="L225" s="4" t="e">
        <f>VLOOKUP(A225,Revisión!$A$2:$L$703,10,FALSE)</f>
        <v>#N/A</v>
      </c>
      <c r="M225" s="18" t="e">
        <f>VLOOKUP(A225,Revisión!$A$2:$L$703,11,FALSE)</f>
        <v>#N/A</v>
      </c>
      <c r="N225" s="30" t="str">
        <f>IF(E225="Coinciden",D225,IF(E225="Revisar",VLOOKUP(A225,Revisión!$A$2:$L$703,12,FALSE),""))</f>
        <v>Aster ageratoides</v>
      </c>
    </row>
    <row r="226" spans="1:14" x14ac:dyDescent="0.3">
      <c r="A226" t="s">
        <v>479</v>
      </c>
      <c r="B226" t="s">
        <v>480</v>
      </c>
      <c r="C226" t="s">
        <v>480</v>
      </c>
      <c r="D226" t="s">
        <v>480</v>
      </c>
      <c r="E226" t="s">
        <v>18</v>
      </c>
      <c r="F226" t="s">
        <v>19</v>
      </c>
      <c r="H226" s="23" t="e">
        <f>VLOOKUP(A226,Revisión!$A$2:$L$703,6,FALSE)</f>
        <v>#N/A</v>
      </c>
      <c r="I226" s="4" t="e">
        <f>VLOOKUP(A226,Revisión!$A$2:$L$703,7,FALSE)</f>
        <v>#N/A</v>
      </c>
      <c r="J226" s="4" t="e">
        <f>VLOOKUP(A226,Revisión!$A$2:$L$703,8,FALSE)</f>
        <v>#N/A</v>
      </c>
      <c r="K226" s="4" t="e">
        <f>VLOOKUP(A226,Revisión!$A$2:$L$703,9,FALSE)</f>
        <v>#N/A</v>
      </c>
      <c r="L226" s="4" t="e">
        <f>VLOOKUP(A226,Revisión!$A$2:$L$703,10,FALSE)</f>
        <v>#N/A</v>
      </c>
      <c r="M226" s="18" t="e">
        <f>VLOOKUP(A226,Revisión!$A$2:$L$703,11,FALSE)</f>
        <v>#N/A</v>
      </c>
      <c r="N226" s="30" t="str">
        <f>IF(E226="Coinciden",D226,IF(E226="Revisar",VLOOKUP(A226,Revisión!$A$2:$L$703,12,FALSE),""))</f>
        <v>Symphyotrichum foliaceum</v>
      </c>
    </row>
    <row r="227" spans="1:14" x14ac:dyDescent="0.3">
      <c r="A227" t="s">
        <v>481</v>
      </c>
      <c r="B227" t="s">
        <v>482</v>
      </c>
      <c r="C227" t="s">
        <v>483</v>
      </c>
      <c r="D227" t="s">
        <v>483</v>
      </c>
      <c r="E227" t="s">
        <v>8</v>
      </c>
      <c r="F227" t="s">
        <v>23</v>
      </c>
      <c r="H227" s="23" t="str">
        <f>VLOOKUP(A227,Revisión!$A$2:$L$703,6,FALSE)</f>
        <v>Kitamuria glehnii</v>
      </c>
      <c r="I227" s="4" t="str">
        <f>VLOOKUP(A227,Revisión!$A$2:$L$703,7,FALSE)</f>
        <v>Aster glehnii</v>
      </c>
      <c r="J227" s="4" t="str">
        <f>VLOOKUP(A227,Revisión!$A$2:$L$703,8,FALSE)</f>
        <v>Aster glehnii</v>
      </c>
      <c r="K227" s="4" t="str">
        <f>VLOOKUP(A227,Revisión!$A$2:$L$703,9,FALSE)</f>
        <v>-</v>
      </c>
      <c r="L227" s="4" t="str">
        <f>VLOOKUP(A227,Revisión!$A$2:$L$703,10,FALSE)</f>
        <v>-</v>
      </c>
      <c r="M227" s="18">
        <f>VLOOKUP(A227,Revisión!$A$2:$L$703,11,FALSE)</f>
        <v>2</v>
      </c>
      <c r="N227" s="30" t="str">
        <f>IF(E227="Coinciden",D227,IF(E227="Revisar",VLOOKUP(A227,Revisión!$A$2:$L$703,12,FALSE),""))</f>
        <v>Aster glehnii</v>
      </c>
    </row>
    <row r="228" spans="1:14" x14ac:dyDescent="0.3">
      <c r="A228" t="s">
        <v>484</v>
      </c>
      <c r="B228" t="s">
        <v>485</v>
      </c>
      <c r="D228" t="s">
        <v>485</v>
      </c>
      <c r="E228" t="s">
        <v>8</v>
      </c>
      <c r="F228" t="s">
        <v>34</v>
      </c>
      <c r="H228" s="23" t="str">
        <f>VLOOKUP(A228,Revisión!$A$2:$L$703,6,FALSE)</f>
        <v>Symphyotrichum lanceolatum var. lanceolatum</v>
      </c>
      <c r="I228" s="4" t="str">
        <f>VLOOKUP(A228,Revisión!$A$2:$L$703,7,FALSE)</f>
        <v>Symphyotrichum lanceolatum var. lanceolatum</v>
      </c>
      <c r="J228" s="4" t="str">
        <f>VLOOKUP(A228,Revisión!$A$2:$L$703,8,FALSE)</f>
        <v>Symphyotrichum undulatum</v>
      </c>
      <c r="K228" s="4" t="str">
        <f>VLOOKUP(A228,Revisión!$A$2:$L$703,9,FALSE)</f>
        <v>Symphyotrichum ciliolatum</v>
      </c>
      <c r="L228" s="4" t="str">
        <f>VLOOKUP(A228,Revisión!$A$2:$L$703,10,FALSE)</f>
        <v>Symphyotrichum undulatum</v>
      </c>
      <c r="M228" s="18">
        <f>VLOOKUP(A228,Revisión!$A$2:$L$703,11,FALSE)</f>
        <v>3</v>
      </c>
      <c r="N228" s="30" t="str">
        <f>IF(E228="Coinciden",D228,IF(E228="Revisar",VLOOKUP(A228,Revisión!$A$2:$L$703,12,FALSE),""))</f>
        <v>Symphyotrichum lanceolatum var. lanceolatum</v>
      </c>
    </row>
    <row r="229" spans="1:14" x14ac:dyDescent="0.3">
      <c r="A229" t="s">
        <v>486</v>
      </c>
      <c r="B229" t="s">
        <v>487</v>
      </c>
      <c r="D229" t="s">
        <v>487</v>
      </c>
      <c r="E229" t="s">
        <v>8</v>
      </c>
      <c r="F229" t="s">
        <v>34</v>
      </c>
      <c r="H229" s="23" t="str">
        <f>VLOOKUP(A229,Revisión!$A$2:$L$703,6,FALSE)</f>
        <v>Aster scaber</v>
      </c>
      <c r="I229" s="4" t="str">
        <f>VLOOKUP(A229,Revisión!$A$2:$L$703,7,FALSE)</f>
        <v>Aster scaber</v>
      </c>
      <c r="J229" s="4" t="str">
        <f>VLOOKUP(A229,Revisión!$A$2:$L$703,8,FALSE)</f>
        <v>Aster scaber</v>
      </c>
      <c r="K229" s="4" t="str">
        <f>VLOOKUP(A229,Revisión!$A$2:$L$703,9,FALSE)</f>
        <v>-</v>
      </c>
      <c r="L229" s="4" t="str">
        <f>VLOOKUP(A229,Revisión!$A$2:$L$703,10,FALSE)</f>
        <v>-</v>
      </c>
      <c r="M229" s="18">
        <f>VLOOKUP(A229,Revisión!$A$2:$L$703,11,FALSE)</f>
        <v>3</v>
      </c>
      <c r="N229" s="30" t="str">
        <f>IF(E229="Coinciden",D229,IF(E229="Revisar",VLOOKUP(A229,Revisión!$A$2:$L$703,12,FALSE),""))</f>
        <v>Aster scaber</v>
      </c>
    </row>
    <row r="230" spans="1:14" x14ac:dyDescent="0.3">
      <c r="A230" t="s">
        <v>488</v>
      </c>
      <c r="B230" t="s">
        <v>489</v>
      </c>
      <c r="C230" t="s">
        <v>489</v>
      </c>
      <c r="D230" t="s">
        <v>489</v>
      </c>
      <c r="E230" t="s">
        <v>18</v>
      </c>
      <c r="F230" t="s">
        <v>19</v>
      </c>
      <c r="H230" s="23" t="e">
        <f>VLOOKUP(A230,Revisión!$A$2:$L$703,6,FALSE)</f>
        <v>#N/A</v>
      </c>
      <c r="I230" s="4" t="e">
        <f>VLOOKUP(A230,Revisión!$A$2:$L$703,7,FALSE)</f>
        <v>#N/A</v>
      </c>
      <c r="J230" s="4" t="e">
        <f>VLOOKUP(A230,Revisión!$A$2:$L$703,8,FALSE)</f>
        <v>#N/A</v>
      </c>
      <c r="K230" s="4" t="e">
        <f>VLOOKUP(A230,Revisión!$A$2:$L$703,9,FALSE)</f>
        <v>#N/A</v>
      </c>
      <c r="L230" s="4" t="e">
        <f>VLOOKUP(A230,Revisión!$A$2:$L$703,10,FALSE)</f>
        <v>#N/A</v>
      </c>
      <c r="M230" s="18" t="e">
        <f>VLOOKUP(A230,Revisión!$A$2:$L$703,11,FALSE)</f>
        <v>#N/A</v>
      </c>
      <c r="N230" s="30" t="str">
        <f>IF(E230="Coinciden",D230,IF(E230="Revisar",VLOOKUP(A230,Revisión!$A$2:$L$703,12,FALSE),""))</f>
        <v>Symphyotrichum novae-angliae</v>
      </c>
    </row>
    <row r="231" spans="1:14" x14ac:dyDescent="0.3">
      <c r="A231" t="s">
        <v>490</v>
      </c>
      <c r="B231" t="s">
        <v>491</v>
      </c>
      <c r="C231" t="s">
        <v>492</v>
      </c>
      <c r="D231" t="s">
        <v>491</v>
      </c>
      <c r="E231" t="s">
        <v>8</v>
      </c>
      <c r="F231" t="s">
        <v>493</v>
      </c>
      <c r="H231" s="23" t="str">
        <f>VLOOKUP(A231,Revisión!$A$2:$L$703,6,FALSE)</f>
        <v>Symphyotrichum pilosum</v>
      </c>
      <c r="I231" s="4" t="str">
        <f>VLOOKUP(A231,Revisión!$A$2:$L$703,7,FALSE)</f>
        <v>Symphyotrichum pilosum</v>
      </c>
      <c r="J231" s="4" t="str">
        <f>VLOOKUP(A231,Revisión!$A$2:$L$703,8,FALSE)</f>
        <v>Symphyotrichum pilosum</v>
      </c>
      <c r="K231" s="4" t="str">
        <f>VLOOKUP(A231,Revisión!$A$2:$L$703,9,FALSE)</f>
        <v>-</v>
      </c>
      <c r="L231" s="4" t="str">
        <f>VLOOKUP(A231,Revisión!$A$2:$L$703,10,FALSE)</f>
        <v>-</v>
      </c>
      <c r="M231" s="18">
        <f>VLOOKUP(A231,Revisión!$A$2:$L$703,11,FALSE)</f>
        <v>3</v>
      </c>
      <c r="N231" s="30" t="str">
        <f>IF(E231="Coinciden",D231,IF(E231="Revisar",VLOOKUP(A231,Revisión!$A$2:$L$703,12,FALSE),""))</f>
        <v>Symphyotrichum pilosum</v>
      </c>
    </row>
    <row r="232" spans="1:14" x14ac:dyDescent="0.3">
      <c r="A232" t="s">
        <v>494</v>
      </c>
      <c r="B232" t="s">
        <v>495</v>
      </c>
      <c r="E232" t="s">
        <v>8</v>
      </c>
      <c r="F232" t="s">
        <v>9</v>
      </c>
      <c r="H232" s="23" t="str">
        <f>VLOOKUP(A232,Revisión!$A$2:$L$703,6,FALSE)</f>
        <v>Symphyotrichum ericoides </v>
      </c>
      <c r="I232" s="4" t="str">
        <f>VLOOKUP(A232,Revisión!$A$2:$L$703,7,FALSE)</f>
        <v>Symphyotrichum ericoides </v>
      </c>
      <c r="J232" s="4" t="str">
        <f>VLOOKUP(A232,Revisión!$A$2:$L$703,8,FALSE)</f>
        <v>Symphyotrichum ericoides var. ericoides</v>
      </c>
      <c r="K232" s="4" t="str">
        <f>VLOOKUP(A232,Revisión!$A$2:$L$703,9,FALSE)</f>
        <v>Symphyotrichum racemosum</v>
      </c>
      <c r="L232" s="4" t="str">
        <f>VLOOKUP(A232,Revisión!$A$2:$L$703,10,FALSE)</f>
        <v>Symphyotrichum ericoides </v>
      </c>
      <c r="M232" s="18">
        <f>VLOOKUP(A232,Revisión!$A$2:$L$703,11,FALSE)</f>
        <v>4</v>
      </c>
      <c r="N232" s="30" t="str">
        <f>IF(E232="Coinciden",D232,IF(E232="Revisar",VLOOKUP(A232,Revisión!$A$2:$L$703,12,FALSE),""))</f>
        <v>Symphyotrichum ericoides </v>
      </c>
    </row>
    <row r="233" spans="1:14" x14ac:dyDescent="0.3">
      <c r="A233" t="s">
        <v>496</v>
      </c>
      <c r="D233" t="s">
        <v>497</v>
      </c>
      <c r="E233" t="s">
        <v>8</v>
      </c>
      <c r="F233" t="s">
        <v>9</v>
      </c>
      <c r="H233" s="23" t="str">
        <f>VLOOKUP(A233,Revisión!$A$2:$L$703,6,FALSE)</f>
        <v>Symphyotrichum undulatum</v>
      </c>
      <c r="I233" s="4" t="str">
        <f>VLOOKUP(A233,Revisión!$A$2:$L$703,7,FALSE)</f>
        <v>Symphyotrichum undulatum</v>
      </c>
      <c r="J233" s="4" t="str">
        <f>VLOOKUP(A233,Revisión!$A$2:$L$703,8,FALSE)</f>
        <v>Symphyotrichum undulatum</v>
      </c>
      <c r="K233" s="4" t="str">
        <f>VLOOKUP(A233,Revisión!$A$2:$L$703,9,FALSE)</f>
        <v>-</v>
      </c>
      <c r="L233" s="4" t="str">
        <f>VLOOKUP(A233,Revisión!$A$2:$L$703,10,FALSE)</f>
        <v>-</v>
      </c>
      <c r="M233" s="18">
        <f>VLOOKUP(A233,Revisión!$A$2:$L$703,11,FALSE)</f>
        <v>3</v>
      </c>
      <c r="N233" s="30" t="str">
        <f>IF(E233="Coinciden",D233,IF(E233="Revisar",VLOOKUP(A233,Revisión!$A$2:$L$703,12,FALSE),""))</f>
        <v>Symphyotrichum undulatum</v>
      </c>
    </row>
    <row r="234" spans="1:14" x14ac:dyDescent="0.3">
      <c r="A234" t="s">
        <v>498</v>
      </c>
      <c r="B234" t="s">
        <v>499</v>
      </c>
      <c r="D234" t="s">
        <v>499</v>
      </c>
      <c r="E234" t="s">
        <v>8</v>
      </c>
      <c r="F234" t="s">
        <v>34</v>
      </c>
      <c r="H234" s="23" t="str">
        <f>VLOOKUP(A234,Revisión!$A$2:$L$703,6,FALSE)</f>
        <v>Symphyotrichum boreale</v>
      </c>
      <c r="I234" s="4" t="str">
        <f>VLOOKUP(A234,Revisión!$A$2:$L$703,7,FALSE)</f>
        <v>Symphyotrichum boreale</v>
      </c>
      <c r="J234" s="4" t="str">
        <f>VLOOKUP(A234,Revisión!$A$2:$L$703,8,FALSE)</f>
        <v>Symphyotrichum boreale</v>
      </c>
      <c r="K234" s="4" t="str">
        <f>VLOOKUP(A234,Revisión!$A$2:$L$703,9,FALSE)</f>
        <v>-</v>
      </c>
      <c r="L234" s="4" t="str">
        <f>VLOOKUP(A234,Revisión!$A$2:$L$703,10,FALSE)</f>
        <v>-</v>
      </c>
      <c r="M234" s="18">
        <f>VLOOKUP(A234,Revisión!$A$2:$L$703,11,FALSE)</f>
        <v>3</v>
      </c>
      <c r="N234" s="30" t="str">
        <f>IF(E234="Coinciden",D234,IF(E234="Revisar",VLOOKUP(A234,Revisión!$A$2:$L$703,12,FALSE),""))</f>
        <v>Symphyotrichum boreale</v>
      </c>
    </row>
    <row r="235" spans="1:14" x14ac:dyDescent="0.3">
      <c r="A235" t="s">
        <v>500</v>
      </c>
      <c r="B235" t="s">
        <v>501</v>
      </c>
      <c r="C235" t="s">
        <v>501</v>
      </c>
      <c r="D235" t="s">
        <v>478</v>
      </c>
      <c r="E235" t="s">
        <v>8</v>
      </c>
      <c r="F235" t="s">
        <v>15</v>
      </c>
      <c r="H235" s="23" t="str">
        <f>VLOOKUP(A235,Revisión!$A$2:$L$703,6,FALSE)</f>
        <v>Aster microcephalus var. ovatus</v>
      </c>
      <c r="I235" s="4" t="str">
        <f>VLOOKUP(A235,Revisión!$A$2:$L$703,7,FALSE)</f>
        <v>Aster ovatus</v>
      </c>
      <c r="J235" s="4" t="str">
        <f>VLOOKUP(A235,Revisión!$A$2:$L$703,8,FALSE)</f>
        <v>Aster microcephalus var. ovatus </v>
      </c>
      <c r="K235" s="4" t="str">
        <f>VLOOKUP(A235,Revisión!$A$2:$L$703,9,FALSE)</f>
        <v>-</v>
      </c>
      <c r="L235" s="4" t="str">
        <f>VLOOKUP(A235,Revisión!$A$2:$L$703,10,FALSE)</f>
        <v>-</v>
      </c>
      <c r="M235" s="18">
        <f>VLOOKUP(A235,Revisión!$A$2:$L$703,11,FALSE)</f>
        <v>2</v>
      </c>
      <c r="N235" s="30" t="str">
        <f>IF(E235="Coinciden",D235,IF(E235="Revisar",VLOOKUP(A235,Revisión!$A$2:$L$703,12,FALSE),""))</f>
        <v>Aster microcephalus var. ovatus </v>
      </c>
    </row>
    <row r="236" spans="1:14" x14ac:dyDescent="0.3">
      <c r="A236" t="s">
        <v>502</v>
      </c>
      <c r="B236" t="s">
        <v>503</v>
      </c>
      <c r="C236" t="s">
        <v>504</v>
      </c>
      <c r="D236" t="s">
        <v>478</v>
      </c>
      <c r="E236" t="s">
        <v>8</v>
      </c>
      <c r="F236" t="s">
        <v>295</v>
      </c>
      <c r="H236" s="23" t="str">
        <f>VLOOKUP(A236,Revisión!$A$2:$L$703,6,FALSE)</f>
        <v>Aster ageratoides</v>
      </c>
      <c r="I236" s="4" t="str">
        <f>VLOOKUP(A236,Revisión!$A$2:$L$703,7,FALSE)</f>
        <v>Aster ageratoides subsp. amplexifolius</v>
      </c>
      <c r="J236" s="4" t="str">
        <f>VLOOKUP(A236,Revisión!$A$2:$L$703,8,FALSE)</f>
        <v>Aster ageratoides subsp. amplexifolius</v>
      </c>
      <c r="K236" s="4" t="str">
        <f>VLOOKUP(A236,Revisión!$A$2:$L$703,9,FALSE)</f>
        <v>-</v>
      </c>
      <c r="L236" s="4" t="str">
        <f>VLOOKUP(A236,Revisión!$A$2:$L$703,10,FALSE)</f>
        <v>-</v>
      </c>
      <c r="M236" s="18">
        <f>VLOOKUP(A236,Revisión!$A$2:$L$703,11,FALSE)</f>
        <v>2</v>
      </c>
      <c r="N236" s="30" t="str">
        <f>IF(E236="Coinciden",D236,IF(E236="Revisar",VLOOKUP(A236,Revisión!$A$2:$L$703,12,FALSE),""))</f>
        <v>Aster ageratoides subsp. amplexifolius</v>
      </c>
    </row>
    <row r="237" spans="1:14" x14ac:dyDescent="0.3">
      <c r="A237" t="s">
        <v>505</v>
      </c>
      <c r="B237" t="s">
        <v>506</v>
      </c>
      <c r="C237" t="s">
        <v>506</v>
      </c>
      <c r="D237" t="s">
        <v>506</v>
      </c>
      <c r="E237" t="s">
        <v>18</v>
      </c>
      <c r="F237" t="s">
        <v>19</v>
      </c>
      <c r="H237" s="23" t="e">
        <f>VLOOKUP(A237,Revisión!$A$2:$L$703,6,FALSE)</f>
        <v>#N/A</v>
      </c>
      <c r="I237" s="4" t="e">
        <f>VLOOKUP(A237,Revisión!$A$2:$L$703,7,FALSE)</f>
        <v>#N/A</v>
      </c>
      <c r="J237" s="4" t="e">
        <f>VLOOKUP(A237,Revisión!$A$2:$L$703,8,FALSE)</f>
        <v>#N/A</v>
      </c>
      <c r="K237" s="4" t="e">
        <f>VLOOKUP(A237,Revisión!$A$2:$L$703,9,FALSE)</f>
        <v>#N/A</v>
      </c>
      <c r="L237" s="4" t="e">
        <f>VLOOKUP(A237,Revisión!$A$2:$L$703,10,FALSE)</f>
        <v>#N/A</v>
      </c>
      <c r="M237" s="18" t="e">
        <f>VLOOKUP(A237,Revisión!$A$2:$L$703,11,FALSE)</f>
        <v>#N/A</v>
      </c>
      <c r="N237" s="30" t="str">
        <f>IF(E237="Coinciden",D237,IF(E237="Revisar",VLOOKUP(A237,Revisión!$A$2:$L$703,12,FALSE),""))</f>
        <v>Symphyotrichum turbinellum</v>
      </c>
    </row>
    <row r="238" spans="1:14" x14ac:dyDescent="0.3">
      <c r="A238" t="s">
        <v>507</v>
      </c>
      <c r="B238" t="s">
        <v>508</v>
      </c>
      <c r="C238" t="s">
        <v>508</v>
      </c>
      <c r="D238" t="s">
        <v>508</v>
      </c>
      <c r="E238" t="s">
        <v>18</v>
      </c>
      <c r="F238" t="s">
        <v>19</v>
      </c>
      <c r="H238" s="23" t="e">
        <f>VLOOKUP(A238,Revisión!$A$2:$L$703,6,FALSE)</f>
        <v>#N/A</v>
      </c>
      <c r="I238" s="4" t="e">
        <f>VLOOKUP(A238,Revisión!$A$2:$L$703,7,FALSE)</f>
        <v>#N/A</v>
      </c>
      <c r="J238" s="4" t="e">
        <f>VLOOKUP(A238,Revisión!$A$2:$L$703,8,FALSE)</f>
        <v>#N/A</v>
      </c>
      <c r="K238" s="4" t="e">
        <f>VLOOKUP(A238,Revisión!$A$2:$L$703,9,FALSE)</f>
        <v>#N/A</v>
      </c>
      <c r="L238" s="4" t="e">
        <f>VLOOKUP(A238,Revisión!$A$2:$L$703,10,FALSE)</f>
        <v>#N/A</v>
      </c>
      <c r="M238" s="18" t="e">
        <f>VLOOKUP(A238,Revisión!$A$2:$L$703,11,FALSE)</f>
        <v>#N/A</v>
      </c>
      <c r="N238" s="30" t="str">
        <f>IF(E238="Coinciden",D238,IF(E238="Revisar",VLOOKUP(A238,Revisión!$A$2:$L$703,12,FALSE),""))</f>
        <v>Symphyotrichum anomalum</v>
      </c>
    </row>
    <row r="239" spans="1:14" x14ac:dyDescent="0.3">
      <c r="A239" t="s">
        <v>509</v>
      </c>
      <c r="B239" t="s">
        <v>510</v>
      </c>
      <c r="C239" t="s">
        <v>510</v>
      </c>
      <c r="D239" t="s">
        <v>510</v>
      </c>
      <c r="E239" t="s">
        <v>18</v>
      </c>
      <c r="F239" t="s">
        <v>19</v>
      </c>
      <c r="H239" s="23" t="e">
        <f>VLOOKUP(A239,Revisión!$A$2:$L$703,6,FALSE)</f>
        <v>#N/A</v>
      </c>
      <c r="I239" s="4" t="e">
        <f>VLOOKUP(A239,Revisión!$A$2:$L$703,7,FALSE)</f>
        <v>#N/A</v>
      </c>
      <c r="J239" s="4" t="e">
        <f>VLOOKUP(A239,Revisión!$A$2:$L$703,8,FALSE)</f>
        <v>#N/A</v>
      </c>
      <c r="K239" s="4" t="e">
        <f>VLOOKUP(A239,Revisión!$A$2:$L$703,9,FALSE)</f>
        <v>#N/A</v>
      </c>
      <c r="L239" s="4" t="e">
        <f>VLOOKUP(A239,Revisión!$A$2:$L$703,10,FALSE)</f>
        <v>#N/A</v>
      </c>
      <c r="M239" s="18" t="e">
        <f>VLOOKUP(A239,Revisión!$A$2:$L$703,11,FALSE)</f>
        <v>#N/A</v>
      </c>
      <c r="N239" s="30" t="str">
        <f>IF(E239="Coinciden",D239,IF(E239="Revisar",VLOOKUP(A239,Revisión!$A$2:$L$703,12,FALSE),""))</f>
        <v>Symphyotrichum lateriflorum</v>
      </c>
    </row>
    <row r="240" spans="1:14" x14ac:dyDescent="0.3">
      <c r="A240" t="s">
        <v>511</v>
      </c>
      <c r="D240" t="s">
        <v>512</v>
      </c>
      <c r="E240" t="s">
        <v>8</v>
      </c>
      <c r="F240" t="s">
        <v>9</v>
      </c>
      <c r="H240" s="23" t="str">
        <f>VLOOKUP(A240,Revisión!$A$2:$L$703,6,FALSE)</f>
        <v>Symphyotrichum subulatum</v>
      </c>
      <c r="I240" s="4" t="str">
        <f>VLOOKUP(A240,Revisión!$A$2:$L$703,7,FALSE)</f>
        <v>Aster subulatus</v>
      </c>
      <c r="J240" s="4" t="str">
        <f>VLOOKUP(A240,Revisión!$A$2:$L$703,8,FALSE)</f>
        <v>Symphyotrichum subulatum</v>
      </c>
      <c r="K240" s="4" t="str">
        <f>VLOOKUP(A240,Revisión!$A$2:$L$703,9,FALSE)</f>
        <v>Symphyotrichum subulatum </v>
      </c>
      <c r="L240" s="4" t="str">
        <f>VLOOKUP(A240,Revisión!$A$2:$L$703,10,FALSE)</f>
        <v>Symphyotrichum subulatum </v>
      </c>
      <c r="M240" s="18">
        <f>VLOOKUP(A240,Revisión!$A$2:$L$703,11,FALSE)</f>
        <v>5</v>
      </c>
      <c r="N240" s="30" t="str">
        <f>IF(E240="Coinciden",D240,IF(E240="Revisar",VLOOKUP(A240,Revisión!$A$2:$L$703,12,FALSE),""))</f>
        <v>Symphyotrichum subulatum</v>
      </c>
    </row>
    <row r="241" spans="1:14" x14ac:dyDescent="0.3">
      <c r="A241" t="s">
        <v>513</v>
      </c>
      <c r="B241" t="s">
        <v>514</v>
      </c>
      <c r="C241" t="s">
        <v>515</v>
      </c>
      <c r="D241" t="s">
        <v>516</v>
      </c>
      <c r="E241" t="s">
        <v>8</v>
      </c>
      <c r="F241" t="s">
        <v>295</v>
      </c>
      <c r="H241" s="23" t="str">
        <f>VLOOKUP(A241,Revisión!$A$2:$L$703,6,FALSE)</f>
        <v>Aster ciliosus</v>
      </c>
      <c r="I241" s="4" t="str">
        <f>VLOOKUP(A241,Revisión!$A$2:$L$703,7,FALSE)</f>
        <v>Aster asa-grayi</v>
      </c>
      <c r="J241" s="4" t="str">
        <f>VLOOKUP(A241,Revisión!$A$2:$L$703,8,FALSE)</f>
        <v>Aster asagrayi</v>
      </c>
      <c r="K241" s="4" t="str">
        <f>VLOOKUP(A241,Revisión!$A$2:$L$703,9,FALSE)</f>
        <v>-</v>
      </c>
      <c r="L241" s="4" t="str">
        <f>VLOOKUP(A241,Revisión!$A$2:$L$703,10,FALSE)</f>
        <v>-</v>
      </c>
      <c r="M241" s="18">
        <f>VLOOKUP(A241,Revisión!$A$2:$L$703,11,FALSE)</f>
        <v>2</v>
      </c>
      <c r="N241" s="30" t="str">
        <f>IF(E241="Coinciden",D241,IF(E241="Revisar",VLOOKUP(A241,Revisión!$A$2:$L$703,12,FALSE),""))</f>
        <v>Aster asagrayi</v>
      </c>
    </row>
    <row r="242" spans="1:14" x14ac:dyDescent="0.3">
      <c r="A242" t="s">
        <v>517</v>
      </c>
      <c r="B242" t="s">
        <v>518</v>
      </c>
      <c r="C242" t="s">
        <v>518</v>
      </c>
      <c r="D242" t="s">
        <v>518</v>
      </c>
      <c r="E242" t="s">
        <v>18</v>
      </c>
      <c r="F242" t="s">
        <v>19</v>
      </c>
      <c r="H242" s="23" t="e">
        <f>VLOOKUP(A242,Revisión!$A$2:$L$703,6,FALSE)</f>
        <v>#N/A</v>
      </c>
      <c r="I242" s="4" t="e">
        <f>VLOOKUP(A242,Revisión!$A$2:$L$703,7,FALSE)</f>
        <v>#N/A</v>
      </c>
      <c r="J242" s="4" t="e">
        <f>VLOOKUP(A242,Revisión!$A$2:$L$703,8,FALSE)</f>
        <v>#N/A</v>
      </c>
      <c r="K242" s="4" t="e">
        <f>VLOOKUP(A242,Revisión!$A$2:$L$703,9,FALSE)</f>
        <v>#N/A</v>
      </c>
      <c r="L242" s="4" t="e">
        <f>VLOOKUP(A242,Revisión!$A$2:$L$703,10,FALSE)</f>
        <v>#N/A</v>
      </c>
      <c r="M242" s="18" t="e">
        <f>VLOOKUP(A242,Revisión!$A$2:$L$703,11,FALSE)</f>
        <v>#N/A</v>
      </c>
      <c r="N242" s="30" t="str">
        <f>IF(E242="Coinciden",D242,IF(E242="Revisar",VLOOKUP(A242,Revisión!$A$2:$L$703,12,FALSE),""))</f>
        <v>Asteranthera ovata</v>
      </c>
    </row>
    <row r="243" spans="1:14" x14ac:dyDescent="0.3">
      <c r="A243" t="s">
        <v>519</v>
      </c>
      <c r="B243" t="s">
        <v>520</v>
      </c>
      <c r="C243" t="s">
        <v>520</v>
      </c>
      <c r="D243" t="s">
        <v>520</v>
      </c>
      <c r="E243" t="s">
        <v>18</v>
      </c>
      <c r="F243" t="s">
        <v>19</v>
      </c>
      <c r="H243" s="23" t="e">
        <f>VLOOKUP(A243,Revisión!$A$2:$L$703,6,FALSE)</f>
        <v>#N/A</v>
      </c>
      <c r="I243" s="4" t="e">
        <f>VLOOKUP(A243,Revisión!$A$2:$L$703,7,FALSE)</f>
        <v>#N/A</v>
      </c>
      <c r="J243" s="4" t="e">
        <f>VLOOKUP(A243,Revisión!$A$2:$L$703,8,FALSE)</f>
        <v>#N/A</v>
      </c>
      <c r="K243" s="4" t="e">
        <f>VLOOKUP(A243,Revisión!$A$2:$L$703,9,FALSE)</f>
        <v>#N/A</v>
      </c>
      <c r="L243" s="4" t="e">
        <f>VLOOKUP(A243,Revisión!$A$2:$L$703,10,FALSE)</f>
        <v>#N/A</v>
      </c>
      <c r="M243" s="18" t="e">
        <f>VLOOKUP(A243,Revisión!$A$2:$L$703,11,FALSE)</f>
        <v>#N/A</v>
      </c>
      <c r="N243" s="30" t="str">
        <f>IF(E243="Coinciden",D243,IF(E243="Revisar",VLOOKUP(A243,Revisión!$A$2:$L$703,12,FALSE),""))</f>
        <v>Asteriscium aemocarpon</v>
      </c>
    </row>
    <row r="244" spans="1:14" x14ac:dyDescent="0.3">
      <c r="A244" t="s">
        <v>521</v>
      </c>
      <c r="B244" t="s">
        <v>522</v>
      </c>
      <c r="C244" t="s">
        <v>522</v>
      </c>
      <c r="D244" t="s">
        <v>522</v>
      </c>
      <c r="E244" t="s">
        <v>18</v>
      </c>
      <c r="F244" t="s">
        <v>19</v>
      </c>
      <c r="H244" s="23" t="e">
        <f>VLOOKUP(A244,Revisión!$A$2:$L$703,6,FALSE)</f>
        <v>#N/A</v>
      </c>
      <c r="I244" s="4" t="e">
        <f>VLOOKUP(A244,Revisión!$A$2:$L$703,7,FALSE)</f>
        <v>#N/A</v>
      </c>
      <c r="J244" s="4" t="e">
        <f>VLOOKUP(A244,Revisión!$A$2:$L$703,8,FALSE)</f>
        <v>#N/A</v>
      </c>
      <c r="K244" s="4" t="e">
        <f>VLOOKUP(A244,Revisión!$A$2:$L$703,9,FALSE)</f>
        <v>#N/A</v>
      </c>
      <c r="L244" s="4" t="e">
        <f>VLOOKUP(A244,Revisión!$A$2:$L$703,10,FALSE)</f>
        <v>#N/A</v>
      </c>
      <c r="M244" s="18" t="e">
        <f>VLOOKUP(A244,Revisión!$A$2:$L$703,11,FALSE)</f>
        <v>#N/A</v>
      </c>
      <c r="N244" s="30" t="str">
        <f>IF(E244="Coinciden",D244,IF(E244="Revisar",VLOOKUP(A244,Revisión!$A$2:$L$703,12,FALSE),""))</f>
        <v>Astilbe thunbergii</v>
      </c>
    </row>
    <row r="245" spans="1:14" x14ac:dyDescent="0.3">
      <c r="A245" t="s">
        <v>523</v>
      </c>
      <c r="B245" t="s">
        <v>524</v>
      </c>
      <c r="C245" t="s">
        <v>524</v>
      </c>
      <c r="D245" t="s">
        <v>524</v>
      </c>
      <c r="E245" t="s">
        <v>18</v>
      </c>
      <c r="F245" t="s">
        <v>19</v>
      </c>
      <c r="H245" s="23" t="e">
        <f>VLOOKUP(A245,Revisión!$A$2:$L$703,6,FALSE)</f>
        <v>#N/A</v>
      </c>
      <c r="I245" s="4" t="e">
        <f>VLOOKUP(A245,Revisión!$A$2:$L$703,7,FALSE)</f>
        <v>#N/A</v>
      </c>
      <c r="J245" s="4" t="e">
        <f>VLOOKUP(A245,Revisión!$A$2:$L$703,8,FALSE)</f>
        <v>#N/A</v>
      </c>
      <c r="K245" s="4" t="e">
        <f>VLOOKUP(A245,Revisión!$A$2:$L$703,9,FALSE)</f>
        <v>#N/A</v>
      </c>
      <c r="L245" s="4" t="e">
        <f>VLOOKUP(A245,Revisión!$A$2:$L$703,10,FALSE)</f>
        <v>#N/A</v>
      </c>
      <c r="M245" s="18" t="e">
        <f>VLOOKUP(A245,Revisión!$A$2:$L$703,11,FALSE)</f>
        <v>#N/A</v>
      </c>
      <c r="N245" s="30" t="str">
        <f>IF(E245="Coinciden",D245,IF(E245="Revisar",VLOOKUP(A245,Revisión!$A$2:$L$703,12,FALSE),""))</f>
        <v>Astragalus canadensis</v>
      </c>
    </row>
    <row r="246" spans="1:14" x14ac:dyDescent="0.3">
      <c r="A246" t="s">
        <v>525</v>
      </c>
      <c r="B246" t="s">
        <v>526</v>
      </c>
      <c r="C246" t="s">
        <v>526</v>
      </c>
      <c r="D246" t="s">
        <v>526</v>
      </c>
      <c r="E246" t="s">
        <v>18</v>
      </c>
      <c r="F246" t="s">
        <v>19</v>
      </c>
      <c r="H246" s="23" t="e">
        <f>VLOOKUP(A246,Revisión!$A$2:$L$703,6,FALSE)</f>
        <v>#N/A</v>
      </c>
      <c r="I246" s="4" t="e">
        <f>VLOOKUP(A246,Revisión!$A$2:$L$703,7,FALSE)</f>
        <v>#N/A</v>
      </c>
      <c r="J246" s="4" t="e">
        <f>VLOOKUP(A246,Revisión!$A$2:$L$703,8,FALSE)</f>
        <v>#N/A</v>
      </c>
      <c r="K246" s="4" t="e">
        <f>VLOOKUP(A246,Revisión!$A$2:$L$703,9,FALSE)</f>
        <v>#N/A</v>
      </c>
      <c r="L246" s="4" t="e">
        <f>VLOOKUP(A246,Revisión!$A$2:$L$703,10,FALSE)</f>
        <v>#N/A</v>
      </c>
      <c r="M246" s="18" t="e">
        <f>VLOOKUP(A246,Revisión!$A$2:$L$703,11,FALSE)</f>
        <v>#N/A</v>
      </c>
      <c r="N246" s="30" t="str">
        <f>IF(E246="Coinciden",D246,IF(E246="Revisar",VLOOKUP(A246,Revisión!$A$2:$L$703,12,FALSE),""))</f>
        <v>Astragalus nivicola</v>
      </c>
    </row>
    <row r="247" spans="1:14" x14ac:dyDescent="0.3">
      <c r="A247" t="s">
        <v>527</v>
      </c>
      <c r="B247" t="s">
        <v>528</v>
      </c>
      <c r="C247" t="s">
        <v>528</v>
      </c>
      <c r="D247" t="s">
        <v>528</v>
      </c>
      <c r="E247" t="s">
        <v>18</v>
      </c>
      <c r="F247" t="s">
        <v>19</v>
      </c>
      <c r="H247" s="23" t="e">
        <f>VLOOKUP(A247,Revisión!$A$2:$L$703,6,FALSE)</f>
        <v>#N/A</v>
      </c>
      <c r="I247" s="4" t="e">
        <f>VLOOKUP(A247,Revisión!$A$2:$L$703,7,FALSE)</f>
        <v>#N/A</v>
      </c>
      <c r="J247" s="4" t="e">
        <f>VLOOKUP(A247,Revisión!$A$2:$L$703,8,FALSE)</f>
        <v>#N/A</v>
      </c>
      <c r="K247" s="4" t="e">
        <f>VLOOKUP(A247,Revisión!$A$2:$L$703,9,FALSE)</f>
        <v>#N/A</v>
      </c>
      <c r="L247" s="4" t="e">
        <f>VLOOKUP(A247,Revisión!$A$2:$L$703,10,FALSE)</f>
        <v>#N/A</v>
      </c>
      <c r="M247" s="18" t="e">
        <f>VLOOKUP(A247,Revisión!$A$2:$L$703,11,FALSE)</f>
        <v>#N/A</v>
      </c>
      <c r="N247" s="30" t="str">
        <f>IF(E247="Coinciden",D247,IF(E247="Revisar",VLOOKUP(A247,Revisión!$A$2:$L$703,12,FALSE),""))</f>
        <v>Astragalus sinicus</v>
      </c>
    </row>
    <row r="248" spans="1:14" x14ac:dyDescent="0.3">
      <c r="A248" t="s">
        <v>529</v>
      </c>
      <c r="B248" t="s">
        <v>530</v>
      </c>
      <c r="C248" t="s">
        <v>530</v>
      </c>
      <c r="D248" t="s">
        <v>530</v>
      </c>
      <c r="E248" t="s">
        <v>18</v>
      </c>
      <c r="F248" t="s">
        <v>19</v>
      </c>
      <c r="H248" s="23" t="e">
        <f>VLOOKUP(A248,Revisión!$A$2:$L$703,6,FALSE)</f>
        <v>#N/A</v>
      </c>
      <c r="I248" s="4" t="e">
        <f>VLOOKUP(A248,Revisión!$A$2:$L$703,7,FALSE)</f>
        <v>#N/A</v>
      </c>
      <c r="J248" s="4" t="e">
        <f>VLOOKUP(A248,Revisión!$A$2:$L$703,8,FALSE)</f>
        <v>#N/A</v>
      </c>
      <c r="K248" s="4" t="e">
        <f>VLOOKUP(A248,Revisión!$A$2:$L$703,9,FALSE)</f>
        <v>#N/A</v>
      </c>
      <c r="L248" s="4" t="e">
        <f>VLOOKUP(A248,Revisión!$A$2:$L$703,10,FALSE)</f>
        <v>#N/A</v>
      </c>
      <c r="M248" s="18" t="e">
        <f>VLOOKUP(A248,Revisión!$A$2:$L$703,11,FALSE)</f>
        <v>#N/A</v>
      </c>
      <c r="N248" s="30" t="str">
        <f>IF(E248="Coinciden",D248,IF(E248="Revisar",VLOOKUP(A248,Revisión!$A$2:$L$703,12,FALSE),""))</f>
        <v>Astragalus drummondii</v>
      </c>
    </row>
    <row r="249" spans="1:14" x14ac:dyDescent="0.3">
      <c r="A249" t="s">
        <v>531</v>
      </c>
      <c r="D249" t="s">
        <v>532</v>
      </c>
      <c r="E249" t="s">
        <v>8</v>
      </c>
      <c r="F249" t="s">
        <v>9</v>
      </c>
      <c r="H249" s="23" t="str">
        <f>VLOOKUP(A249,Revisión!$A$2:$L$703,6,FALSE)</f>
        <v>Astragalus neomexicanus</v>
      </c>
      <c r="I249" s="4" t="str">
        <f>VLOOKUP(A249,Revisión!$A$2:$L$703,7,FALSE)</f>
        <v>Astragalus crassicarpus var. berlandieri </v>
      </c>
      <c r="J249" s="4" t="str">
        <f>VLOOKUP(A249,Revisión!$A$2:$L$703,8,FALSE)</f>
        <v>Astragalus crassicarpus var. berlandieri</v>
      </c>
      <c r="K249" s="4" t="str">
        <f>VLOOKUP(A249,Revisión!$A$2:$L$703,9,FALSE)</f>
        <v>-</v>
      </c>
      <c r="L249" s="4" t="str">
        <f>VLOOKUP(A249,Revisión!$A$2:$L$703,10,FALSE)</f>
        <v>-</v>
      </c>
      <c r="M249" s="18">
        <f>VLOOKUP(A249,Revisión!$A$2:$L$703,11,FALSE)</f>
        <v>2</v>
      </c>
      <c r="N249" s="30" t="str">
        <f>IF(E249="Coinciden",D249,IF(E249="Revisar",VLOOKUP(A249,Revisión!$A$2:$L$703,12,FALSE),""))</f>
        <v>Astragalus crassicarpus var. berlandieri </v>
      </c>
    </row>
    <row r="250" spans="1:14" x14ac:dyDescent="0.3">
      <c r="A250" t="s">
        <v>533</v>
      </c>
      <c r="B250" t="s">
        <v>534</v>
      </c>
      <c r="C250" t="s">
        <v>534</v>
      </c>
      <c r="D250" t="s">
        <v>534</v>
      </c>
      <c r="E250" t="s">
        <v>18</v>
      </c>
      <c r="F250" t="s">
        <v>19</v>
      </c>
      <c r="H250" s="23" t="e">
        <f>VLOOKUP(A250,Revisión!$A$2:$L$703,6,FALSE)</f>
        <v>#N/A</v>
      </c>
      <c r="I250" s="4" t="e">
        <f>VLOOKUP(A250,Revisión!$A$2:$L$703,7,FALSE)</f>
        <v>#N/A</v>
      </c>
      <c r="J250" s="4" t="e">
        <f>VLOOKUP(A250,Revisión!$A$2:$L$703,8,FALSE)</f>
        <v>#N/A</v>
      </c>
      <c r="K250" s="4" t="e">
        <f>VLOOKUP(A250,Revisión!$A$2:$L$703,9,FALSE)</f>
        <v>#N/A</v>
      </c>
      <c r="L250" s="4" t="e">
        <f>VLOOKUP(A250,Revisión!$A$2:$L$703,10,FALSE)</f>
        <v>#N/A</v>
      </c>
      <c r="M250" s="18" t="e">
        <f>VLOOKUP(A250,Revisión!$A$2:$L$703,11,FALSE)</f>
        <v>#N/A</v>
      </c>
      <c r="N250" s="30" t="str">
        <f>IF(E250="Coinciden",D250,IF(E250="Revisar",VLOOKUP(A250,Revisión!$A$2:$L$703,12,FALSE),""))</f>
        <v>Astragalus monspessulanus</v>
      </c>
    </row>
    <row r="251" spans="1:14" x14ac:dyDescent="0.3">
      <c r="A251" t="s">
        <v>535</v>
      </c>
      <c r="B251" t="s">
        <v>536</v>
      </c>
      <c r="C251" t="s">
        <v>536</v>
      </c>
      <c r="D251" t="s">
        <v>536</v>
      </c>
      <c r="E251" t="s">
        <v>18</v>
      </c>
      <c r="F251" t="s">
        <v>19</v>
      </c>
      <c r="H251" s="23" t="e">
        <f>VLOOKUP(A251,Revisión!$A$2:$L$703,6,FALSE)</f>
        <v>#N/A</v>
      </c>
      <c r="I251" s="4" t="e">
        <f>VLOOKUP(A251,Revisión!$A$2:$L$703,7,FALSE)</f>
        <v>#N/A</v>
      </c>
      <c r="J251" s="4" t="e">
        <f>VLOOKUP(A251,Revisión!$A$2:$L$703,8,FALSE)</f>
        <v>#N/A</v>
      </c>
      <c r="K251" s="4" t="e">
        <f>VLOOKUP(A251,Revisión!$A$2:$L$703,9,FALSE)</f>
        <v>#N/A</v>
      </c>
      <c r="L251" s="4" t="e">
        <f>VLOOKUP(A251,Revisión!$A$2:$L$703,10,FALSE)</f>
        <v>#N/A</v>
      </c>
      <c r="M251" s="18" t="e">
        <f>VLOOKUP(A251,Revisión!$A$2:$L$703,11,FALSE)</f>
        <v>#N/A</v>
      </c>
      <c r="N251" s="30" t="str">
        <f>IF(E251="Coinciden",D251,IF(E251="Revisar",VLOOKUP(A251,Revisión!$A$2:$L$703,12,FALSE),""))</f>
        <v>Astragalus cruckshanksii</v>
      </c>
    </row>
    <row r="252" spans="1:14" x14ac:dyDescent="0.3">
      <c r="A252" t="s">
        <v>537</v>
      </c>
      <c r="C252" t="s">
        <v>538</v>
      </c>
      <c r="E252" t="s">
        <v>8</v>
      </c>
      <c r="F252" t="s">
        <v>9</v>
      </c>
      <c r="H252" s="23" t="e">
        <f>VLOOKUP(A252,Revisión!$A$2:$L$703,6,FALSE)</f>
        <v>#N/A</v>
      </c>
      <c r="I252" s="4" t="e">
        <f>VLOOKUP(A252,Revisión!$A$2:$L$703,7,FALSE)</f>
        <v>#N/A</v>
      </c>
      <c r="J252" s="4" t="e">
        <f>VLOOKUP(A252,Revisión!$A$2:$L$703,8,FALSE)</f>
        <v>#N/A</v>
      </c>
      <c r="K252" s="4" t="e">
        <f>VLOOKUP(A252,Revisión!$A$2:$L$703,9,FALSE)</f>
        <v>#N/A</v>
      </c>
      <c r="L252" s="4" t="e">
        <f>VLOOKUP(A252,Revisión!$A$2:$L$703,10,FALSE)</f>
        <v>#N/A</v>
      </c>
      <c r="M252" s="18" t="e">
        <f>VLOOKUP(A252,Revisión!$A$2:$L$703,11,FALSE)</f>
        <v>#N/A</v>
      </c>
      <c r="N252" s="30" t="e">
        <f>IF(E252="Coinciden",D252,IF(E252="Revisar",VLOOKUP(A252,Revisión!$A$2:$L$703,12,FALSE),""))</f>
        <v>#N/A</v>
      </c>
    </row>
    <row r="253" spans="1:14" x14ac:dyDescent="0.3">
      <c r="A253" t="s">
        <v>539</v>
      </c>
      <c r="B253" t="s">
        <v>540</v>
      </c>
      <c r="D253" t="s">
        <v>540</v>
      </c>
      <c r="E253" t="s">
        <v>8</v>
      </c>
      <c r="F253" t="s">
        <v>34</v>
      </c>
      <c r="H253" s="23" t="str">
        <f>VLOOKUP(A253,Revisión!$A$2:$L$703,6,FALSE)</f>
        <v>Astragalus alpinus</v>
      </c>
      <c r="I253" s="4" t="str">
        <f>VLOOKUP(A253,Revisión!$A$2:$L$703,7,FALSE)</f>
        <v>Astragalus alpinus</v>
      </c>
      <c r="J253" s="4" t="str">
        <f>VLOOKUP(A253,Revisión!$A$2:$L$703,8,FALSE)</f>
        <v>Astragalus alpinus</v>
      </c>
      <c r="K253" s="4" t="str">
        <f>VLOOKUP(A253,Revisión!$A$2:$L$703,9,FALSE)</f>
        <v>-</v>
      </c>
      <c r="L253" s="4" t="str">
        <f>VLOOKUP(A253,Revisión!$A$2:$L$703,10,FALSE)</f>
        <v>-</v>
      </c>
      <c r="M253" s="18">
        <f>VLOOKUP(A253,Revisión!$A$2:$L$703,11,FALSE)</f>
        <v>3</v>
      </c>
      <c r="N253" s="30" t="str">
        <f>IF(E253="Coinciden",D253,IF(E253="Revisar",VLOOKUP(A253,Revisión!$A$2:$L$703,12,FALSE),""))</f>
        <v>Astragalus alpinus</v>
      </c>
    </row>
    <row r="254" spans="1:14" x14ac:dyDescent="0.3">
      <c r="A254" t="s">
        <v>541</v>
      </c>
      <c r="B254" t="s">
        <v>542</v>
      </c>
      <c r="C254" t="s">
        <v>542</v>
      </c>
      <c r="D254" t="s">
        <v>542</v>
      </c>
      <c r="E254" t="s">
        <v>18</v>
      </c>
      <c r="F254" t="s">
        <v>19</v>
      </c>
      <c r="H254" s="23" t="e">
        <f>VLOOKUP(A254,Revisión!$A$2:$L$703,6,FALSE)</f>
        <v>#N/A</v>
      </c>
      <c r="I254" s="4" t="e">
        <f>VLOOKUP(A254,Revisión!$A$2:$L$703,7,FALSE)</f>
        <v>#N/A</v>
      </c>
      <c r="J254" s="4" t="e">
        <f>VLOOKUP(A254,Revisión!$A$2:$L$703,8,FALSE)</f>
        <v>#N/A</v>
      </c>
      <c r="K254" s="4" t="e">
        <f>VLOOKUP(A254,Revisión!$A$2:$L$703,9,FALSE)</f>
        <v>#N/A</v>
      </c>
      <c r="L254" s="4" t="e">
        <f>VLOOKUP(A254,Revisión!$A$2:$L$703,10,FALSE)</f>
        <v>#N/A</v>
      </c>
      <c r="M254" s="18" t="e">
        <f>VLOOKUP(A254,Revisión!$A$2:$L$703,11,FALSE)</f>
        <v>#N/A</v>
      </c>
      <c r="N254" s="30" t="str">
        <f>IF(E254="Coinciden",D254,IF(E254="Revisar",VLOOKUP(A254,Revisión!$A$2:$L$703,12,FALSE),""))</f>
        <v>Astragalus curvicaulis</v>
      </c>
    </row>
    <row r="255" spans="1:14" x14ac:dyDescent="0.3">
      <c r="A255" t="s">
        <v>543</v>
      </c>
      <c r="B255" t="s">
        <v>544</v>
      </c>
      <c r="C255" t="s">
        <v>544</v>
      </c>
      <c r="D255" t="s">
        <v>544</v>
      </c>
      <c r="E255" t="s">
        <v>18</v>
      </c>
      <c r="F255" t="s">
        <v>19</v>
      </c>
      <c r="H255" s="23" t="e">
        <f>VLOOKUP(A255,Revisión!$A$2:$L$703,6,FALSE)</f>
        <v>#N/A</v>
      </c>
      <c r="I255" s="4" t="e">
        <f>VLOOKUP(A255,Revisión!$A$2:$L$703,7,FALSE)</f>
        <v>#N/A</v>
      </c>
      <c r="J255" s="4" t="e">
        <f>VLOOKUP(A255,Revisión!$A$2:$L$703,8,FALSE)</f>
        <v>#N/A</v>
      </c>
      <c r="K255" s="4" t="e">
        <f>VLOOKUP(A255,Revisión!$A$2:$L$703,9,FALSE)</f>
        <v>#N/A</v>
      </c>
      <c r="L255" s="4" t="e">
        <f>VLOOKUP(A255,Revisión!$A$2:$L$703,10,FALSE)</f>
        <v>#N/A</v>
      </c>
      <c r="M255" s="18" t="e">
        <f>VLOOKUP(A255,Revisión!$A$2:$L$703,11,FALSE)</f>
        <v>#N/A</v>
      </c>
      <c r="N255" s="30" t="str">
        <f>IF(E255="Coinciden",D255,IF(E255="Revisar",VLOOKUP(A255,Revisión!$A$2:$L$703,12,FALSE),""))</f>
        <v>Aucuba japonica</v>
      </c>
    </row>
    <row r="256" spans="1:14" x14ac:dyDescent="0.3">
      <c r="A256" t="s">
        <v>545</v>
      </c>
      <c r="B256" t="s">
        <v>546</v>
      </c>
      <c r="C256" t="s">
        <v>546</v>
      </c>
      <c r="D256" t="s">
        <v>546</v>
      </c>
      <c r="E256" t="s">
        <v>18</v>
      </c>
      <c r="F256" t="s">
        <v>19</v>
      </c>
      <c r="H256" s="23" t="e">
        <f>VLOOKUP(A256,Revisión!$A$2:$L$703,6,FALSE)</f>
        <v>#N/A</v>
      </c>
      <c r="I256" s="4" t="e">
        <f>VLOOKUP(A256,Revisión!$A$2:$L$703,7,FALSE)</f>
        <v>#N/A</v>
      </c>
      <c r="J256" s="4" t="e">
        <f>VLOOKUP(A256,Revisión!$A$2:$L$703,8,FALSE)</f>
        <v>#N/A</v>
      </c>
      <c r="K256" s="4" t="e">
        <f>VLOOKUP(A256,Revisión!$A$2:$L$703,9,FALSE)</f>
        <v>#N/A</v>
      </c>
      <c r="L256" s="4" t="e">
        <f>VLOOKUP(A256,Revisión!$A$2:$L$703,10,FALSE)</f>
        <v>#N/A</v>
      </c>
      <c r="M256" s="18" t="e">
        <f>VLOOKUP(A256,Revisión!$A$2:$L$703,11,FALSE)</f>
        <v>#N/A</v>
      </c>
      <c r="N256" s="30" t="str">
        <f>IF(E256="Coinciden",D256,IF(E256="Revisar",VLOOKUP(A256,Revisión!$A$2:$L$703,12,FALSE),""))</f>
        <v>Avicennia germinans</v>
      </c>
    </row>
    <row r="257" spans="1:14" x14ac:dyDescent="0.3">
      <c r="A257" t="s">
        <v>547</v>
      </c>
      <c r="B257" t="s">
        <v>548</v>
      </c>
      <c r="C257" t="s">
        <v>548</v>
      </c>
      <c r="D257" t="s">
        <v>548</v>
      </c>
      <c r="E257" t="s">
        <v>18</v>
      </c>
      <c r="F257" t="s">
        <v>19</v>
      </c>
      <c r="H257" s="23" t="e">
        <f>VLOOKUP(A257,Revisión!$A$2:$L$703,6,FALSE)</f>
        <v>#N/A</v>
      </c>
      <c r="I257" s="4" t="e">
        <f>VLOOKUP(A257,Revisión!$A$2:$L$703,7,FALSE)</f>
        <v>#N/A</v>
      </c>
      <c r="J257" s="4" t="e">
        <f>VLOOKUP(A257,Revisión!$A$2:$L$703,8,FALSE)</f>
        <v>#N/A</v>
      </c>
      <c r="K257" s="4" t="e">
        <f>VLOOKUP(A257,Revisión!$A$2:$L$703,9,FALSE)</f>
        <v>#N/A</v>
      </c>
      <c r="L257" s="4" t="e">
        <f>VLOOKUP(A257,Revisión!$A$2:$L$703,10,FALSE)</f>
        <v>#N/A</v>
      </c>
      <c r="M257" s="18" t="e">
        <f>VLOOKUP(A257,Revisión!$A$2:$L$703,11,FALSE)</f>
        <v>#N/A</v>
      </c>
      <c r="N257" s="30" t="str">
        <f>IF(E257="Coinciden",D257,IF(E257="Revisar",VLOOKUP(A257,Revisión!$A$2:$L$703,12,FALSE),""))</f>
        <v>Azorella madreporica</v>
      </c>
    </row>
    <row r="258" spans="1:14" x14ac:dyDescent="0.3">
      <c r="A258" t="s">
        <v>549</v>
      </c>
      <c r="B258" t="s">
        <v>550</v>
      </c>
      <c r="C258" t="s">
        <v>550</v>
      </c>
      <c r="D258" t="s">
        <v>550</v>
      </c>
      <c r="E258" t="s">
        <v>18</v>
      </c>
      <c r="F258" t="s">
        <v>19</v>
      </c>
      <c r="H258" s="23" t="e">
        <f>VLOOKUP(A258,Revisión!$A$2:$L$703,6,FALSE)</f>
        <v>#N/A</v>
      </c>
      <c r="I258" s="4" t="e">
        <f>VLOOKUP(A258,Revisión!$A$2:$L$703,7,FALSE)</f>
        <v>#N/A</v>
      </c>
      <c r="J258" s="4" t="e">
        <f>VLOOKUP(A258,Revisión!$A$2:$L$703,8,FALSE)</f>
        <v>#N/A</v>
      </c>
      <c r="K258" s="4" t="e">
        <f>VLOOKUP(A258,Revisión!$A$2:$L$703,9,FALSE)</f>
        <v>#N/A</v>
      </c>
      <c r="L258" s="4" t="e">
        <f>VLOOKUP(A258,Revisión!$A$2:$L$703,10,FALSE)</f>
        <v>#N/A</v>
      </c>
      <c r="M258" s="18" t="e">
        <f>VLOOKUP(A258,Revisión!$A$2:$L$703,11,FALSE)</f>
        <v>#N/A</v>
      </c>
      <c r="N258" s="30" t="str">
        <f>IF(E258="Coinciden",D258,IF(E258="Revisar",VLOOKUP(A258,Revisión!$A$2:$L$703,12,FALSE),""))</f>
        <v>Azorella monantha</v>
      </c>
    </row>
    <row r="259" spans="1:14" x14ac:dyDescent="0.3">
      <c r="A259" t="s">
        <v>551</v>
      </c>
      <c r="B259" t="s">
        <v>552</v>
      </c>
      <c r="C259" t="s">
        <v>552</v>
      </c>
      <c r="D259" t="s">
        <v>553</v>
      </c>
      <c r="E259" t="s">
        <v>8</v>
      </c>
      <c r="F259" t="s">
        <v>15</v>
      </c>
      <c r="H259" s="23" t="str">
        <f>VLOOKUP(A259,Revisión!$A$2:$L$703,6,FALSE)</f>
        <v>Campanula vidalii</v>
      </c>
      <c r="I259" s="4" t="str">
        <f>VLOOKUP(A259,Revisión!$A$2:$L$703,7,FALSE)</f>
        <v>Azorina vidalii </v>
      </c>
      <c r="J259" s="4" t="str">
        <f>VLOOKUP(A259,Revisión!$A$2:$L$703,8,FALSE)</f>
        <v>Campanula vidalii</v>
      </c>
      <c r="K259" s="4" t="str">
        <f>VLOOKUP(A259,Revisión!$A$2:$L$703,9,FALSE)</f>
        <v>-</v>
      </c>
      <c r="L259" s="4" t="str">
        <f>VLOOKUP(A259,Revisión!$A$2:$L$703,10,FALSE)</f>
        <v>-</v>
      </c>
      <c r="M259" s="18">
        <f>VLOOKUP(A259,Revisión!$A$2:$L$703,11,FALSE)</f>
        <v>2</v>
      </c>
      <c r="N259" s="30" t="str">
        <f>IF(E259="Coinciden",D259,IF(E259="Revisar",VLOOKUP(A259,Revisión!$A$2:$L$703,12,FALSE),""))</f>
        <v>Campanula vidalii</v>
      </c>
    </row>
    <row r="260" spans="1:14" x14ac:dyDescent="0.3">
      <c r="A260" t="s">
        <v>554</v>
      </c>
      <c r="B260" t="s">
        <v>555</v>
      </c>
      <c r="C260" t="s">
        <v>555</v>
      </c>
      <c r="D260" t="s">
        <v>555</v>
      </c>
      <c r="E260" t="s">
        <v>18</v>
      </c>
      <c r="F260" t="s">
        <v>19</v>
      </c>
      <c r="H260" s="23" t="e">
        <f>VLOOKUP(A260,Revisión!$A$2:$L$703,6,FALSE)</f>
        <v>#N/A</v>
      </c>
      <c r="I260" s="4" t="e">
        <f>VLOOKUP(A260,Revisión!$A$2:$L$703,7,FALSE)</f>
        <v>#N/A</v>
      </c>
      <c r="J260" s="4" t="e">
        <f>VLOOKUP(A260,Revisión!$A$2:$L$703,8,FALSE)</f>
        <v>#N/A</v>
      </c>
      <c r="K260" s="4" t="e">
        <f>VLOOKUP(A260,Revisión!$A$2:$L$703,9,FALSE)</f>
        <v>#N/A</v>
      </c>
      <c r="L260" s="4" t="e">
        <f>VLOOKUP(A260,Revisión!$A$2:$L$703,10,FALSE)</f>
        <v>#N/A</v>
      </c>
      <c r="M260" s="18" t="e">
        <f>VLOOKUP(A260,Revisión!$A$2:$L$703,11,FALSE)</f>
        <v>#N/A</v>
      </c>
      <c r="N260" s="30" t="str">
        <f>IF(E260="Coinciden",D260,IF(E260="Revisar",VLOOKUP(A260,Revisión!$A$2:$L$703,12,FALSE),""))</f>
        <v>Baccharis articulata</v>
      </c>
    </row>
    <row r="261" spans="1:14" x14ac:dyDescent="0.3">
      <c r="A261" t="s">
        <v>556</v>
      </c>
      <c r="B261" t="s">
        <v>557</v>
      </c>
      <c r="C261" t="s">
        <v>557</v>
      </c>
      <c r="D261" t="s">
        <v>558</v>
      </c>
      <c r="E261" t="s">
        <v>8</v>
      </c>
      <c r="F261" t="s">
        <v>15</v>
      </c>
      <c r="H261" s="23" t="str">
        <f>VLOOKUP(A261,Revisión!$A$2:$L$703,6,FALSE)</f>
        <v>Baccharis dracunculifolia subsp. tandilensis</v>
      </c>
      <c r="I261" s="4" t="str">
        <f>VLOOKUP(A261,Revisión!$A$2:$L$703,7,FALSE)</f>
        <v>Baccharis dracunculifolia </v>
      </c>
      <c r="J261" s="4" t="str">
        <f>VLOOKUP(A261,Revisión!$A$2:$L$703,8,FALSE)</f>
        <v>Baccharis dracunculifolia subsp. tandilensis</v>
      </c>
      <c r="K261" s="4" t="str">
        <f>VLOOKUP(A261,Revisión!$A$2:$L$703,9,FALSE)</f>
        <v>-</v>
      </c>
      <c r="L261" s="4" t="str">
        <f>VLOOKUP(A261,Revisión!$A$2:$L$703,10,FALSE)</f>
        <v>-</v>
      </c>
      <c r="M261" s="18">
        <f>VLOOKUP(A261,Revisión!$A$2:$L$703,11,FALSE)</f>
        <v>2</v>
      </c>
      <c r="N261" s="30" t="str">
        <f>IF(E261="Coinciden",D261,IF(E261="Revisar",VLOOKUP(A261,Revisión!$A$2:$L$703,12,FALSE),""))</f>
        <v>Baccharis dracunculifolia subsp. tandilensis</v>
      </c>
    </row>
    <row r="262" spans="1:14" x14ac:dyDescent="0.3">
      <c r="A262" t="s">
        <v>559</v>
      </c>
      <c r="B262" t="s">
        <v>560</v>
      </c>
      <c r="C262" t="s">
        <v>560</v>
      </c>
      <c r="D262" t="s">
        <v>560</v>
      </c>
      <c r="E262" t="s">
        <v>18</v>
      </c>
      <c r="F262" t="s">
        <v>19</v>
      </c>
      <c r="H262" s="23" t="e">
        <f>VLOOKUP(A262,Revisión!$A$2:$L$703,6,FALSE)</f>
        <v>#N/A</v>
      </c>
      <c r="I262" s="4" t="e">
        <f>VLOOKUP(A262,Revisión!$A$2:$L$703,7,FALSE)</f>
        <v>#N/A</v>
      </c>
      <c r="J262" s="4" t="e">
        <f>VLOOKUP(A262,Revisión!$A$2:$L$703,8,FALSE)</f>
        <v>#N/A</v>
      </c>
      <c r="K262" s="4" t="e">
        <f>VLOOKUP(A262,Revisión!$A$2:$L$703,9,FALSE)</f>
        <v>#N/A</v>
      </c>
      <c r="L262" s="4" t="e">
        <f>VLOOKUP(A262,Revisión!$A$2:$L$703,10,FALSE)</f>
        <v>#N/A</v>
      </c>
      <c r="M262" s="18" t="e">
        <f>VLOOKUP(A262,Revisión!$A$2:$L$703,11,FALSE)</f>
        <v>#N/A</v>
      </c>
      <c r="N262" s="30" t="str">
        <f>IF(E262="Coinciden",D262,IF(E262="Revisar",VLOOKUP(A262,Revisión!$A$2:$L$703,12,FALSE),""))</f>
        <v>Baccharis coridifolia</v>
      </c>
    </row>
    <row r="263" spans="1:14" x14ac:dyDescent="0.3">
      <c r="A263" t="s">
        <v>561</v>
      </c>
      <c r="C263" t="s">
        <v>562</v>
      </c>
      <c r="D263" t="s">
        <v>563</v>
      </c>
      <c r="E263" t="s">
        <v>8</v>
      </c>
      <c r="F263" t="s">
        <v>9</v>
      </c>
      <c r="H263" s="23" t="str">
        <f>VLOOKUP(A263,Revisión!$A$2:$L$703,6,FALSE)</f>
        <v>Baccharis glutinosa</v>
      </c>
      <c r="I263" s="4" t="str">
        <f>VLOOKUP(A263,Revisión!$A$2:$L$703,7,FALSE)</f>
        <v>Baccharis glutinosa</v>
      </c>
      <c r="J263" s="4" t="str">
        <f>VLOOKUP(A263,Revisión!$A$2:$L$703,8,FALSE)</f>
        <v>Baccharis glutinosa</v>
      </c>
      <c r="K263" s="4" t="str">
        <f>VLOOKUP(A263,Revisión!$A$2:$L$703,9,FALSE)</f>
        <v>-</v>
      </c>
      <c r="L263" s="4" t="str">
        <f>VLOOKUP(A263,Revisión!$A$2:$L$703,10,FALSE)</f>
        <v>-</v>
      </c>
      <c r="M263" s="18">
        <f>VLOOKUP(A263,Revisión!$A$2:$L$703,11,FALSE)</f>
        <v>3</v>
      </c>
      <c r="N263" s="30" t="str">
        <f>IF(E263="Coinciden",D263,IF(E263="Revisar",VLOOKUP(A263,Revisión!$A$2:$L$703,12,FALSE),""))</f>
        <v>Baccharis glutinosa</v>
      </c>
    </row>
    <row r="264" spans="1:14" x14ac:dyDescent="0.3">
      <c r="A264" t="s">
        <v>564</v>
      </c>
      <c r="B264" t="s">
        <v>565</v>
      </c>
      <c r="C264" t="s">
        <v>565</v>
      </c>
      <c r="D264" t="s">
        <v>566</v>
      </c>
      <c r="E264" t="s">
        <v>8</v>
      </c>
      <c r="F264" t="s">
        <v>15</v>
      </c>
      <c r="H264" s="23" t="str">
        <f>VLOOKUP(A264,Revisión!$A$2:$L$703,6,FALSE)</f>
        <v>Baccharis trimera</v>
      </c>
      <c r="I264" s="4" t="str">
        <f>VLOOKUP(A264,Revisión!$A$2:$L$703,7,FALSE)</f>
        <v>Baccharis genistelloides subsp. crispa </v>
      </c>
      <c r="J264" s="4" t="str">
        <f>VLOOKUP(A264,Revisión!$A$2:$L$703,8,FALSE)</f>
        <v>Baccharis trimera</v>
      </c>
      <c r="K264" s="4" t="str">
        <f>VLOOKUP(A264,Revisión!$A$2:$L$703,9,FALSE)</f>
        <v>-</v>
      </c>
      <c r="L264" s="4" t="str">
        <f>VLOOKUP(A264,Revisión!$A$2:$L$703,10,FALSE)</f>
        <v>-</v>
      </c>
      <c r="M264" s="18">
        <f>VLOOKUP(A264,Revisión!$A$2:$L$703,11,FALSE)</f>
        <v>2</v>
      </c>
      <c r="N264" s="30" t="str">
        <f>IF(E264="Coinciden",D264,IF(E264="Revisar",VLOOKUP(A264,Revisión!$A$2:$L$703,12,FALSE),""))</f>
        <v>Baccharis trimera</v>
      </c>
    </row>
    <row r="265" spans="1:14" x14ac:dyDescent="0.3">
      <c r="A265" t="s">
        <v>567</v>
      </c>
      <c r="B265" t="s">
        <v>568</v>
      </c>
      <c r="C265" t="s">
        <v>569</v>
      </c>
      <c r="D265" t="s">
        <v>569</v>
      </c>
      <c r="E265" t="s">
        <v>8</v>
      </c>
      <c r="F265" t="s">
        <v>23</v>
      </c>
      <c r="H265" s="23" t="str">
        <f>VLOOKUP(A265,Revisión!$A$2:$L$703,6,FALSE)</f>
        <v>Bacopa monnieri</v>
      </c>
      <c r="I265" s="4" t="str">
        <f>VLOOKUP(A265,Revisión!$A$2:$L$703,7,FALSE)</f>
        <v>Bacopa monnieri</v>
      </c>
      <c r="J265" s="4" t="str">
        <f>VLOOKUP(A265,Revisión!$A$2:$L$703,8,FALSE)</f>
        <v>Bacopa monnieri</v>
      </c>
      <c r="K265" s="4" t="str">
        <f>VLOOKUP(A265,Revisión!$A$2:$L$703,9,FALSE)</f>
        <v>-</v>
      </c>
      <c r="L265" s="4" t="str">
        <f>VLOOKUP(A265,Revisión!$A$2:$L$703,10,FALSE)</f>
        <v>-</v>
      </c>
      <c r="M265" s="18">
        <f>VLOOKUP(A265,Revisión!$A$2:$L$703,11,FALSE)</f>
        <v>3</v>
      </c>
      <c r="N265" s="30" t="str">
        <f>IF(E265="Coinciden",D265,IF(E265="Revisar",VLOOKUP(A265,Revisión!$A$2:$L$703,12,FALSE),""))</f>
        <v>Bacopa monnieri</v>
      </c>
    </row>
    <row r="266" spans="1:14" x14ac:dyDescent="0.3">
      <c r="A266" t="s">
        <v>570</v>
      </c>
      <c r="B266" t="s">
        <v>571</v>
      </c>
      <c r="D266" t="s">
        <v>571</v>
      </c>
      <c r="E266" t="s">
        <v>8</v>
      </c>
      <c r="F266" t="s">
        <v>34</v>
      </c>
      <c r="H266" s="23" t="str">
        <f>VLOOKUP(A266,Revisión!$A$2:$L$703,6,FALSE)</f>
        <v>Badula platyphylla</v>
      </c>
      <c r="I266" s="4" t="str">
        <f>VLOOKUP(A266,Revisión!$A$2:$L$703,7,FALSE)</f>
        <v>Badula platyphylla</v>
      </c>
      <c r="J266" s="4" t="str">
        <f>VLOOKUP(A266,Revisión!$A$2:$L$703,8,FALSE)</f>
        <v>Badula platyphylla</v>
      </c>
      <c r="K266" s="4" t="str">
        <f>VLOOKUP(A266,Revisión!$A$2:$L$703,9,FALSE)</f>
        <v>-</v>
      </c>
      <c r="L266" s="4" t="str">
        <f>VLOOKUP(A266,Revisión!$A$2:$L$703,10,FALSE)</f>
        <v>-</v>
      </c>
      <c r="M266" s="18">
        <f>VLOOKUP(A266,Revisión!$A$2:$L$703,11,FALSE)</f>
        <v>3</v>
      </c>
      <c r="N266" s="30" t="str">
        <f>IF(E266="Coinciden",D266,IF(E266="Revisar",VLOOKUP(A266,Revisión!$A$2:$L$703,12,FALSE),""))</f>
        <v>Badula platyphylla</v>
      </c>
    </row>
    <row r="267" spans="1:14" x14ac:dyDescent="0.3">
      <c r="A267" t="s">
        <v>572</v>
      </c>
      <c r="B267" t="s">
        <v>573</v>
      </c>
      <c r="C267" t="s">
        <v>573</v>
      </c>
      <c r="D267" t="s">
        <v>573</v>
      </c>
      <c r="E267" t="s">
        <v>18</v>
      </c>
      <c r="F267" t="s">
        <v>19</v>
      </c>
      <c r="H267" s="23" t="e">
        <f>VLOOKUP(A267,Revisión!$A$2:$L$703,6,FALSE)</f>
        <v>#N/A</v>
      </c>
      <c r="I267" s="4" t="e">
        <f>VLOOKUP(A267,Revisión!$A$2:$L$703,7,FALSE)</f>
        <v>#N/A</v>
      </c>
      <c r="J267" s="4" t="e">
        <f>VLOOKUP(A267,Revisión!$A$2:$L$703,8,FALSE)</f>
        <v>#N/A</v>
      </c>
      <c r="K267" s="4" t="e">
        <f>VLOOKUP(A267,Revisión!$A$2:$L$703,9,FALSE)</f>
        <v>#N/A</v>
      </c>
      <c r="L267" s="4" t="e">
        <f>VLOOKUP(A267,Revisión!$A$2:$L$703,10,FALSE)</f>
        <v>#N/A</v>
      </c>
      <c r="M267" s="18" t="e">
        <f>VLOOKUP(A267,Revisión!$A$2:$L$703,11,FALSE)</f>
        <v>#N/A</v>
      </c>
      <c r="N267" s="30" t="str">
        <f>IF(E267="Coinciden",D267,IF(E267="Revisar",VLOOKUP(A267,Revisión!$A$2:$L$703,12,FALSE),""))</f>
        <v>Badula insularis</v>
      </c>
    </row>
    <row r="268" spans="1:14" x14ac:dyDescent="0.3">
      <c r="A268" t="s">
        <v>574</v>
      </c>
      <c r="C268" t="s">
        <v>575</v>
      </c>
      <c r="D268" t="s">
        <v>575</v>
      </c>
      <c r="E268" t="s">
        <v>8</v>
      </c>
      <c r="F268" t="s">
        <v>49</v>
      </c>
      <c r="H268" s="23" t="str">
        <f>VLOOKUP(A268,Revisión!$A$2:$L$703,6,FALSE)</f>
        <v>Baeckea gunniana</v>
      </c>
      <c r="I268" s="4" t="str">
        <f>VLOOKUP(A268,Revisión!$A$2:$L$703,7,FALSE)</f>
        <v>Baeckea gunniana</v>
      </c>
      <c r="J268" s="4" t="str">
        <f>VLOOKUP(A268,Revisión!$A$2:$L$703,8,FALSE)</f>
        <v>Baeckea gunniana</v>
      </c>
      <c r="K268" s="4" t="str">
        <f>VLOOKUP(A268,Revisión!$A$2:$L$703,9,FALSE)</f>
        <v>-</v>
      </c>
      <c r="L268" s="4" t="str">
        <f>VLOOKUP(A268,Revisión!$A$2:$L$703,10,FALSE)</f>
        <v>-</v>
      </c>
      <c r="M268" s="18">
        <f>VLOOKUP(A268,Revisión!$A$2:$L$703,11,FALSE)</f>
        <v>3</v>
      </c>
      <c r="N268" s="30" t="str">
        <f>IF(E268="Coinciden",D268,IF(E268="Revisar",VLOOKUP(A268,Revisión!$A$2:$L$703,12,FALSE),""))</f>
        <v>Baeckea gunniana</v>
      </c>
    </row>
    <row r="269" spans="1:14" x14ac:dyDescent="0.3">
      <c r="A269" t="s">
        <v>576</v>
      </c>
      <c r="B269" t="s">
        <v>577</v>
      </c>
      <c r="C269" t="s">
        <v>577</v>
      </c>
      <c r="D269" t="s">
        <v>577</v>
      </c>
      <c r="E269" t="s">
        <v>18</v>
      </c>
      <c r="F269" t="s">
        <v>19</v>
      </c>
      <c r="H269" s="23" t="e">
        <f>VLOOKUP(A269,Revisión!$A$2:$L$703,6,FALSE)</f>
        <v>#N/A</v>
      </c>
      <c r="I269" s="4" t="e">
        <f>VLOOKUP(A269,Revisión!$A$2:$L$703,7,FALSE)</f>
        <v>#N/A</v>
      </c>
      <c r="J269" s="4" t="e">
        <f>VLOOKUP(A269,Revisión!$A$2:$L$703,8,FALSE)</f>
        <v>#N/A</v>
      </c>
      <c r="K269" s="4" t="e">
        <f>VLOOKUP(A269,Revisión!$A$2:$L$703,9,FALSE)</f>
        <v>#N/A</v>
      </c>
      <c r="L269" s="4" t="e">
        <f>VLOOKUP(A269,Revisión!$A$2:$L$703,10,FALSE)</f>
        <v>#N/A</v>
      </c>
      <c r="M269" s="18" t="e">
        <f>VLOOKUP(A269,Revisión!$A$2:$L$703,11,FALSE)</f>
        <v>#N/A</v>
      </c>
      <c r="N269" s="30" t="str">
        <f>IF(E269="Coinciden",D269,IF(E269="Revisar",VLOOKUP(A269,Revisión!$A$2:$L$703,12,FALSE),""))</f>
        <v>Bakerella hoyifolia</v>
      </c>
    </row>
    <row r="270" spans="1:14" x14ac:dyDescent="0.3">
      <c r="A270" t="s">
        <v>578</v>
      </c>
      <c r="B270" t="s">
        <v>579</v>
      </c>
      <c r="C270" t="s">
        <v>579</v>
      </c>
      <c r="D270" t="s">
        <v>579</v>
      </c>
      <c r="E270" t="s">
        <v>18</v>
      </c>
      <c r="F270" t="s">
        <v>19</v>
      </c>
      <c r="H270" s="23" t="e">
        <f>VLOOKUP(A270,Revisión!$A$2:$L$703,6,FALSE)</f>
        <v>#N/A</v>
      </c>
      <c r="I270" s="4" t="e">
        <f>VLOOKUP(A270,Revisión!$A$2:$L$703,7,FALSE)</f>
        <v>#N/A</v>
      </c>
      <c r="J270" s="4" t="e">
        <f>VLOOKUP(A270,Revisión!$A$2:$L$703,8,FALSE)</f>
        <v>#N/A</v>
      </c>
      <c r="K270" s="4" t="e">
        <f>VLOOKUP(A270,Revisión!$A$2:$L$703,9,FALSE)</f>
        <v>#N/A</v>
      </c>
      <c r="L270" s="4" t="e">
        <f>VLOOKUP(A270,Revisión!$A$2:$L$703,10,FALSE)</f>
        <v>#N/A</v>
      </c>
      <c r="M270" s="18" t="e">
        <f>VLOOKUP(A270,Revisión!$A$2:$L$703,11,FALSE)</f>
        <v>#N/A</v>
      </c>
      <c r="N270" s="30" t="str">
        <f>IF(E270="Coinciden",D270,IF(E270="Revisar",VLOOKUP(A270,Revisión!$A$2:$L$703,12,FALSE),""))</f>
        <v>Pseudodictamnus acetabulosus</v>
      </c>
    </row>
    <row r="271" spans="1:14" x14ac:dyDescent="0.3">
      <c r="A271" t="s">
        <v>580</v>
      </c>
      <c r="B271" t="s">
        <v>581</v>
      </c>
      <c r="C271" t="s">
        <v>581</v>
      </c>
      <c r="D271" t="s">
        <v>581</v>
      </c>
      <c r="E271" t="s">
        <v>18</v>
      </c>
      <c r="F271" t="s">
        <v>19</v>
      </c>
      <c r="H271" s="23" t="e">
        <f>VLOOKUP(A271,Revisión!$A$2:$L$703,6,FALSE)</f>
        <v>#N/A</v>
      </c>
      <c r="I271" s="4" t="e">
        <f>VLOOKUP(A271,Revisión!$A$2:$L$703,7,FALSE)</f>
        <v>#N/A</v>
      </c>
      <c r="J271" s="4" t="e">
        <f>VLOOKUP(A271,Revisión!$A$2:$L$703,8,FALSE)</f>
        <v>#N/A</v>
      </c>
      <c r="K271" s="4" t="e">
        <f>VLOOKUP(A271,Revisión!$A$2:$L$703,9,FALSE)</f>
        <v>#N/A</v>
      </c>
      <c r="L271" s="4" t="e">
        <f>VLOOKUP(A271,Revisión!$A$2:$L$703,10,FALSE)</f>
        <v>#N/A</v>
      </c>
      <c r="M271" s="18" t="e">
        <f>VLOOKUP(A271,Revisión!$A$2:$L$703,11,FALSE)</f>
        <v>#N/A</v>
      </c>
      <c r="N271" s="30" t="str">
        <f>IF(E271="Coinciden",D271,IF(E271="Revisar",VLOOKUP(A271,Revisión!$A$2:$L$703,12,FALSE),""))</f>
        <v>Banisteriopsis muricata</v>
      </c>
    </row>
    <row r="272" spans="1:14" x14ac:dyDescent="0.3">
      <c r="A272" t="s">
        <v>582</v>
      </c>
      <c r="B272" t="s">
        <v>583</v>
      </c>
      <c r="C272" t="s">
        <v>583</v>
      </c>
      <c r="D272" t="s">
        <v>583</v>
      </c>
      <c r="E272" t="s">
        <v>18</v>
      </c>
      <c r="F272" t="s">
        <v>19</v>
      </c>
      <c r="H272" s="23" t="e">
        <f>VLOOKUP(A272,Revisión!$A$2:$L$703,6,FALSE)</f>
        <v>#N/A</v>
      </c>
      <c r="I272" s="4" t="e">
        <f>VLOOKUP(A272,Revisión!$A$2:$L$703,7,FALSE)</f>
        <v>#N/A</v>
      </c>
      <c r="J272" s="4" t="e">
        <f>VLOOKUP(A272,Revisión!$A$2:$L$703,8,FALSE)</f>
        <v>#N/A</v>
      </c>
      <c r="K272" s="4" t="e">
        <f>VLOOKUP(A272,Revisión!$A$2:$L$703,9,FALSE)</f>
        <v>#N/A</v>
      </c>
      <c r="L272" s="4" t="e">
        <f>VLOOKUP(A272,Revisión!$A$2:$L$703,10,FALSE)</f>
        <v>#N/A</v>
      </c>
      <c r="M272" s="18" t="e">
        <f>VLOOKUP(A272,Revisión!$A$2:$L$703,11,FALSE)</f>
        <v>#N/A</v>
      </c>
      <c r="N272" s="30" t="str">
        <f>IF(E272="Coinciden",D272,IF(E272="Revisar",VLOOKUP(A272,Revisión!$A$2:$L$703,12,FALSE),""))</f>
        <v>Banisteriopsis schizoptera</v>
      </c>
    </row>
    <row r="273" spans="1:14" x14ac:dyDescent="0.3">
      <c r="A273" t="s">
        <v>584</v>
      </c>
      <c r="B273" t="s">
        <v>585</v>
      </c>
      <c r="C273" t="s">
        <v>585</v>
      </c>
      <c r="D273" t="s">
        <v>585</v>
      </c>
      <c r="E273" t="s">
        <v>18</v>
      </c>
      <c r="F273" t="s">
        <v>19</v>
      </c>
      <c r="H273" s="23" t="e">
        <f>VLOOKUP(A273,Revisión!$A$2:$L$703,6,FALSE)</f>
        <v>#N/A</v>
      </c>
      <c r="I273" s="4" t="e">
        <f>VLOOKUP(A273,Revisión!$A$2:$L$703,7,FALSE)</f>
        <v>#N/A</v>
      </c>
      <c r="J273" s="4" t="e">
        <f>VLOOKUP(A273,Revisión!$A$2:$L$703,8,FALSE)</f>
        <v>#N/A</v>
      </c>
      <c r="K273" s="4" t="e">
        <f>VLOOKUP(A273,Revisión!$A$2:$L$703,9,FALSE)</f>
        <v>#N/A</v>
      </c>
      <c r="L273" s="4" t="e">
        <f>VLOOKUP(A273,Revisión!$A$2:$L$703,10,FALSE)</f>
        <v>#N/A</v>
      </c>
      <c r="M273" s="18" t="e">
        <f>VLOOKUP(A273,Revisión!$A$2:$L$703,11,FALSE)</f>
        <v>#N/A</v>
      </c>
      <c r="N273" s="30" t="str">
        <f>IF(E273="Coinciden",D273,IF(E273="Revisar",VLOOKUP(A273,Revisión!$A$2:$L$703,12,FALSE),""))</f>
        <v>Banisteriopsis stellaris</v>
      </c>
    </row>
    <row r="274" spans="1:14" x14ac:dyDescent="0.3">
      <c r="A274" t="s">
        <v>586</v>
      </c>
      <c r="B274" t="s">
        <v>587</v>
      </c>
      <c r="C274" t="s">
        <v>587</v>
      </c>
      <c r="D274" t="s">
        <v>587</v>
      </c>
      <c r="E274" t="s">
        <v>18</v>
      </c>
      <c r="F274" t="s">
        <v>19</v>
      </c>
      <c r="H274" s="23" t="e">
        <f>VLOOKUP(A274,Revisión!$A$2:$L$703,6,FALSE)</f>
        <v>#N/A</v>
      </c>
      <c r="I274" s="4" t="e">
        <f>VLOOKUP(A274,Revisión!$A$2:$L$703,7,FALSE)</f>
        <v>#N/A</v>
      </c>
      <c r="J274" s="4" t="e">
        <f>VLOOKUP(A274,Revisión!$A$2:$L$703,8,FALSE)</f>
        <v>#N/A</v>
      </c>
      <c r="K274" s="4" t="e">
        <f>VLOOKUP(A274,Revisión!$A$2:$L$703,9,FALSE)</f>
        <v>#N/A</v>
      </c>
      <c r="L274" s="4" t="e">
        <f>VLOOKUP(A274,Revisión!$A$2:$L$703,10,FALSE)</f>
        <v>#N/A</v>
      </c>
      <c r="M274" s="18" t="e">
        <f>VLOOKUP(A274,Revisión!$A$2:$L$703,11,FALSE)</f>
        <v>#N/A</v>
      </c>
      <c r="N274" s="30" t="str">
        <f>IF(E274="Coinciden",D274,IF(E274="Revisar",VLOOKUP(A274,Revisión!$A$2:$L$703,12,FALSE),""))</f>
        <v>Baptisia bracteata</v>
      </c>
    </row>
    <row r="275" spans="1:14" x14ac:dyDescent="0.3">
      <c r="A275" t="s">
        <v>588</v>
      </c>
      <c r="B275" t="s">
        <v>589</v>
      </c>
      <c r="C275" t="s">
        <v>590</v>
      </c>
      <c r="D275" t="s">
        <v>590</v>
      </c>
      <c r="E275" t="s">
        <v>8</v>
      </c>
      <c r="F275" t="s">
        <v>23</v>
      </c>
      <c r="H275" s="23" t="str">
        <f>VLOOKUP(A275,Revisión!$A$2:$L$703,6,FALSE)</f>
        <v>Baptisia lactea var. lactea</v>
      </c>
      <c r="I275" s="4" t="str">
        <f>VLOOKUP(A275,Revisión!$A$2:$L$703,7,FALSE)</f>
        <v>Baptisia lactea var. lactea</v>
      </c>
      <c r="J275" s="4" t="str">
        <f>VLOOKUP(A275,Revisión!$A$2:$L$703,8,FALSE)</f>
        <v>Baptisia lactea var. lactea</v>
      </c>
      <c r="K275" s="4" t="str">
        <f>VLOOKUP(A275,Revisión!$A$2:$L$703,9,FALSE)</f>
        <v>-</v>
      </c>
      <c r="L275" s="4" t="str">
        <f>VLOOKUP(A275,Revisión!$A$2:$L$703,10,FALSE)</f>
        <v>-</v>
      </c>
      <c r="M275" s="18">
        <f>VLOOKUP(A275,Revisión!$A$2:$L$703,11,FALSE)</f>
        <v>3</v>
      </c>
      <c r="N275" s="30" t="str">
        <f>IF(E275="Coinciden",D275,IF(E275="Revisar",VLOOKUP(A275,Revisión!$A$2:$L$703,12,FALSE),""))</f>
        <v>Baptisia lactea var. lactea</v>
      </c>
    </row>
    <row r="276" spans="1:14" x14ac:dyDescent="0.3">
      <c r="A276" t="s">
        <v>591</v>
      </c>
      <c r="B276" t="s">
        <v>592</v>
      </c>
      <c r="C276" t="s">
        <v>592</v>
      </c>
      <c r="D276" t="s">
        <v>592</v>
      </c>
      <c r="E276" t="s">
        <v>18</v>
      </c>
      <c r="F276" t="s">
        <v>19</v>
      </c>
      <c r="H276" s="23" t="e">
        <f>VLOOKUP(A276,Revisión!$A$2:$L$703,6,FALSE)</f>
        <v>#N/A</v>
      </c>
      <c r="I276" s="4" t="e">
        <f>VLOOKUP(A276,Revisión!$A$2:$L$703,7,FALSE)</f>
        <v>#N/A</v>
      </c>
      <c r="J276" s="4" t="e">
        <f>VLOOKUP(A276,Revisión!$A$2:$L$703,8,FALSE)</f>
        <v>#N/A</v>
      </c>
      <c r="K276" s="4" t="e">
        <f>VLOOKUP(A276,Revisión!$A$2:$L$703,9,FALSE)</f>
        <v>#N/A</v>
      </c>
      <c r="L276" s="4" t="e">
        <f>VLOOKUP(A276,Revisión!$A$2:$L$703,10,FALSE)</f>
        <v>#N/A</v>
      </c>
      <c r="M276" s="18" t="e">
        <f>VLOOKUP(A276,Revisión!$A$2:$L$703,11,FALSE)</f>
        <v>#N/A</v>
      </c>
      <c r="N276" s="30" t="str">
        <f>IF(E276="Coinciden",D276,IF(E276="Revisar",VLOOKUP(A276,Revisión!$A$2:$L$703,12,FALSE),""))</f>
        <v>Knowltonia chilensis</v>
      </c>
    </row>
    <row r="277" spans="1:14" x14ac:dyDescent="0.3">
      <c r="A277" t="s">
        <v>593</v>
      </c>
      <c r="B277" t="s">
        <v>594</v>
      </c>
      <c r="C277" t="s">
        <v>594</v>
      </c>
      <c r="D277" t="s">
        <v>594</v>
      </c>
      <c r="E277" t="s">
        <v>18</v>
      </c>
      <c r="F277" t="s">
        <v>19</v>
      </c>
      <c r="H277" s="23" t="e">
        <f>VLOOKUP(A277,Revisión!$A$2:$L$703,6,FALSE)</f>
        <v>#N/A</v>
      </c>
      <c r="I277" s="4" t="e">
        <f>VLOOKUP(A277,Revisión!$A$2:$L$703,7,FALSE)</f>
        <v>#N/A</v>
      </c>
      <c r="J277" s="4" t="e">
        <f>VLOOKUP(A277,Revisión!$A$2:$L$703,8,FALSE)</f>
        <v>#N/A</v>
      </c>
      <c r="K277" s="4" t="e">
        <f>VLOOKUP(A277,Revisión!$A$2:$L$703,9,FALSE)</f>
        <v>#N/A</v>
      </c>
      <c r="L277" s="4" t="e">
        <f>VLOOKUP(A277,Revisión!$A$2:$L$703,10,FALSE)</f>
        <v>#N/A</v>
      </c>
      <c r="M277" s="18" t="e">
        <f>VLOOKUP(A277,Revisión!$A$2:$L$703,11,FALSE)</f>
        <v>#N/A</v>
      </c>
      <c r="N277" s="30" t="str">
        <f>IF(E277="Coinciden",D277,IF(E277="Revisar",VLOOKUP(A277,Revisión!$A$2:$L$703,12,FALSE),""))</f>
        <v>Knowltonia major</v>
      </c>
    </row>
    <row r="278" spans="1:14" x14ac:dyDescent="0.3">
      <c r="A278" t="s">
        <v>595</v>
      </c>
      <c r="B278" t="s">
        <v>596</v>
      </c>
      <c r="C278" t="s">
        <v>596</v>
      </c>
      <c r="D278" t="s">
        <v>596</v>
      </c>
      <c r="E278" t="s">
        <v>18</v>
      </c>
      <c r="F278" t="s">
        <v>19</v>
      </c>
      <c r="H278" s="23" t="e">
        <f>VLOOKUP(A278,Revisión!$A$2:$L$703,6,FALSE)</f>
        <v>#N/A</v>
      </c>
      <c r="I278" s="4" t="e">
        <f>VLOOKUP(A278,Revisión!$A$2:$L$703,7,FALSE)</f>
        <v>#N/A</v>
      </c>
      <c r="J278" s="4" t="e">
        <f>VLOOKUP(A278,Revisión!$A$2:$L$703,8,FALSE)</f>
        <v>#N/A</v>
      </c>
      <c r="K278" s="4" t="e">
        <f>VLOOKUP(A278,Revisión!$A$2:$L$703,9,FALSE)</f>
        <v>#N/A</v>
      </c>
      <c r="L278" s="4" t="e">
        <f>VLOOKUP(A278,Revisión!$A$2:$L$703,10,FALSE)</f>
        <v>#N/A</v>
      </c>
      <c r="M278" s="18" t="e">
        <f>VLOOKUP(A278,Revisión!$A$2:$L$703,11,FALSE)</f>
        <v>#N/A</v>
      </c>
      <c r="N278" s="30" t="str">
        <f>IF(E278="Coinciden",D278,IF(E278="Revisar",VLOOKUP(A278,Revisión!$A$2:$L$703,12,FALSE),""))</f>
        <v>Barringtonia racemosa</v>
      </c>
    </row>
    <row r="279" spans="1:14" x14ac:dyDescent="0.3">
      <c r="A279" t="s">
        <v>597</v>
      </c>
      <c r="B279" t="s">
        <v>598</v>
      </c>
      <c r="C279" t="s">
        <v>598</v>
      </c>
      <c r="D279" t="s">
        <v>598</v>
      </c>
      <c r="E279" t="s">
        <v>18</v>
      </c>
      <c r="F279" t="s">
        <v>19</v>
      </c>
      <c r="H279" s="23" t="e">
        <f>VLOOKUP(A279,Revisión!$A$2:$L$703,6,FALSE)</f>
        <v>#N/A</v>
      </c>
      <c r="I279" s="4" t="e">
        <f>VLOOKUP(A279,Revisión!$A$2:$L$703,7,FALSE)</f>
        <v>#N/A</v>
      </c>
      <c r="J279" s="4" t="e">
        <f>VLOOKUP(A279,Revisión!$A$2:$L$703,8,FALSE)</f>
        <v>#N/A</v>
      </c>
      <c r="K279" s="4" t="e">
        <f>VLOOKUP(A279,Revisión!$A$2:$L$703,9,FALSE)</f>
        <v>#N/A</v>
      </c>
      <c r="L279" s="4" t="e">
        <f>VLOOKUP(A279,Revisión!$A$2:$L$703,10,FALSE)</f>
        <v>#N/A</v>
      </c>
      <c r="M279" s="18" t="e">
        <f>VLOOKUP(A279,Revisión!$A$2:$L$703,11,FALSE)</f>
        <v>#N/A</v>
      </c>
      <c r="N279" s="30" t="str">
        <f>IF(E279="Coinciden",D279,IF(E279="Revisar",VLOOKUP(A279,Revisión!$A$2:$L$703,12,FALSE),""))</f>
        <v>Bartsia alpina</v>
      </c>
    </row>
    <row r="280" spans="1:14" x14ac:dyDescent="0.3">
      <c r="A280" t="s">
        <v>599</v>
      </c>
      <c r="B280" t="s">
        <v>600</v>
      </c>
      <c r="C280" t="s">
        <v>600</v>
      </c>
      <c r="D280" t="s">
        <v>600</v>
      </c>
      <c r="E280" t="s">
        <v>18</v>
      </c>
      <c r="F280" t="s">
        <v>19</v>
      </c>
      <c r="H280" s="23" t="e">
        <f>VLOOKUP(A280,Revisión!$A$2:$L$703,6,FALSE)</f>
        <v>#N/A</v>
      </c>
      <c r="I280" s="4" t="e">
        <f>VLOOKUP(A280,Revisión!$A$2:$L$703,7,FALSE)</f>
        <v>#N/A</v>
      </c>
      <c r="J280" s="4" t="e">
        <f>VLOOKUP(A280,Revisión!$A$2:$L$703,8,FALSE)</f>
        <v>#N/A</v>
      </c>
      <c r="K280" s="4" t="e">
        <f>VLOOKUP(A280,Revisión!$A$2:$L$703,9,FALSE)</f>
        <v>#N/A</v>
      </c>
      <c r="L280" s="4" t="e">
        <f>VLOOKUP(A280,Revisión!$A$2:$L$703,10,FALSE)</f>
        <v>#N/A</v>
      </c>
      <c r="M280" s="18" t="e">
        <f>VLOOKUP(A280,Revisión!$A$2:$L$703,11,FALSE)</f>
        <v>#N/A</v>
      </c>
      <c r="N280" s="30" t="str">
        <f>IF(E280="Coinciden",D280,IF(E280="Revisar",VLOOKUP(A280,Revisión!$A$2:$L$703,12,FALSE),""))</f>
        <v>Abutilon viscosum</v>
      </c>
    </row>
    <row r="281" spans="1:14" x14ac:dyDescent="0.3">
      <c r="A281" t="s">
        <v>601</v>
      </c>
      <c r="B281" t="s">
        <v>602</v>
      </c>
      <c r="D281" t="s">
        <v>602</v>
      </c>
      <c r="E281" t="s">
        <v>8</v>
      </c>
      <c r="F281" t="s">
        <v>34</v>
      </c>
      <c r="H281" s="23" t="str">
        <f>VLOOKUP(A281,Revisión!$A$2:$L$703,6,FALSE)</f>
        <v>Bauhinia divaricata</v>
      </c>
      <c r="I281" s="4" t="str">
        <f>VLOOKUP(A281,Revisión!$A$2:$L$703,7,FALSE)</f>
        <v>Bauhinia divaricata</v>
      </c>
      <c r="J281" s="4" t="str">
        <f>VLOOKUP(A281,Revisión!$A$2:$L$703,8,FALSE)</f>
        <v>Bauhinia divaricata</v>
      </c>
      <c r="K281" s="4" t="str">
        <f>VLOOKUP(A281,Revisión!$A$2:$L$703,9,FALSE)</f>
        <v>-</v>
      </c>
      <c r="L281" s="4" t="str">
        <f>VLOOKUP(A281,Revisión!$A$2:$L$703,10,FALSE)</f>
        <v>-</v>
      </c>
      <c r="M281" s="18">
        <f>VLOOKUP(A281,Revisión!$A$2:$L$703,11,FALSE)</f>
        <v>3</v>
      </c>
      <c r="N281" s="30" t="str">
        <f>IF(E281="Coinciden",D281,IF(E281="Revisar",VLOOKUP(A281,Revisión!$A$2:$L$703,12,FALSE),""))</f>
        <v>Bauhinia divaricata</v>
      </c>
    </row>
    <row r="282" spans="1:14" x14ac:dyDescent="0.3">
      <c r="A282" t="s">
        <v>603</v>
      </c>
      <c r="B282" t="s">
        <v>604</v>
      </c>
      <c r="C282" t="s">
        <v>604</v>
      </c>
      <c r="D282" t="s">
        <v>604</v>
      </c>
      <c r="E282" t="s">
        <v>18</v>
      </c>
      <c r="F282" t="s">
        <v>19</v>
      </c>
      <c r="H282" s="23" t="e">
        <f>VLOOKUP(A282,Revisión!$A$2:$L$703,6,FALSE)</f>
        <v>#N/A</v>
      </c>
      <c r="I282" s="4" t="e">
        <f>VLOOKUP(A282,Revisión!$A$2:$L$703,7,FALSE)</f>
        <v>#N/A</v>
      </c>
      <c r="J282" s="4" t="e">
        <f>VLOOKUP(A282,Revisión!$A$2:$L$703,8,FALSE)</f>
        <v>#N/A</v>
      </c>
      <c r="K282" s="4" t="e">
        <f>VLOOKUP(A282,Revisión!$A$2:$L$703,9,FALSE)</f>
        <v>#N/A</v>
      </c>
      <c r="L282" s="4" t="e">
        <f>VLOOKUP(A282,Revisión!$A$2:$L$703,10,FALSE)</f>
        <v>#N/A</v>
      </c>
      <c r="M282" s="18" t="e">
        <f>VLOOKUP(A282,Revisión!$A$2:$L$703,11,FALSE)</f>
        <v>#N/A</v>
      </c>
      <c r="N282" s="30" t="str">
        <f>IF(E282="Coinciden",D282,IF(E282="Revisar",VLOOKUP(A282,Revisión!$A$2:$L$703,12,FALSE),""))</f>
        <v>Phanera japonica</v>
      </c>
    </row>
    <row r="283" spans="1:14" x14ac:dyDescent="0.3">
      <c r="A283" t="s">
        <v>605</v>
      </c>
      <c r="B283" t="s">
        <v>606</v>
      </c>
      <c r="C283" t="s">
        <v>607</v>
      </c>
      <c r="D283" t="s">
        <v>606</v>
      </c>
      <c r="E283" t="s">
        <v>8</v>
      </c>
      <c r="F283" t="s">
        <v>493</v>
      </c>
      <c r="H283" s="23" t="str">
        <f>VLOOKUP(A283,Revisión!$A$2:$L$703,6,FALSE)</f>
        <v>Bejaria aestuans</v>
      </c>
      <c r="I283" s="4" t="str">
        <f>VLOOKUP(A283,Revisión!$A$2:$L$703,7,FALSE)</f>
        <v>Bejaria aestuans </v>
      </c>
      <c r="J283" s="4" t="str">
        <f>VLOOKUP(A283,Revisión!$A$2:$L$703,8,FALSE)</f>
        <v>Bejaria aestuans</v>
      </c>
      <c r="K283" s="4" t="str">
        <f>VLOOKUP(A283,Revisión!$A$2:$L$703,9,FALSE)</f>
        <v>-</v>
      </c>
      <c r="L283" s="4" t="str">
        <f>VLOOKUP(A283,Revisión!$A$2:$L$703,10,FALSE)</f>
        <v>-</v>
      </c>
      <c r="M283" s="18">
        <f>VLOOKUP(A283,Revisión!$A$2:$L$703,11,FALSE)</f>
        <v>3</v>
      </c>
      <c r="N283" s="30" t="str">
        <f>IF(E283="Coinciden",D283,IF(E283="Revisar",VLOOKUP(A283,Revisión!$A$2:$L$703,12,FALSE),""))</f>
        <v>Bejaria aestuans </v>
      </c>
    </row>
    <row r="284" spans="1:14" x14ac:dyDescent="0.3">
      <c r="A284" t="s">
        <v>608</v>
      </c>
      <c r="B284" t="s">
        <v>609</v>
      </c>
      <c r="C284" t="s">
        <v>609</v>
      </c>
      <c r="D284" t="s">
        <v>609</v>
      </c>
      <c r="E284" t="s">
        <v>18</v>
      </c>
      <c r="F284" t="s">
        <v>19</v>
      </c>
      <c r="H284" s="23" t="e">
        <f>VLOOKUP(A284,Revisión!$A$2:$L$703,6,FALSE)</f>
        <v>#N/A</v>
      </c>
      <c r="I284" s="4" t="e">
        <f>VLOOKUP(A284,Revisión!$A$2:$L$703,7,FALSE)</f>
        <v>#N/A</v>
      </c>
      <c r="J284" s="4" t="e">
        <f>VLOOKUP(A284,Revisión!$A$2:$L$703,8,FALSE)</f>
        <v>#N/A</v>
      </c>
      <c r="K284" s="4" t="e">
        <f>VLOOKUP(A284,Revisión!$A$2:$L$703,9,FALSE)</f>
        <v>#N/A</v>
      </c>
      <c r="L284" s="4" t="e">
        <f>VLOOKUP(A284,Revisión!$A$2:$L$703,10,FALSE)</f>
        <v>#N/A</v>
      </c>
      <c r="M284" s="18" t="e">
        <f>VLOOKUP(A284,Revisión!$A$2:$L$703,11,FALSE)</f>
        <v>#N/A</v>
      </c>
      <c r="N284" s="30" t="str">
        <f>IF(E284="Coinciden",D284,IF(E284="Revisar",VLOOKUP(A284,Revisión!$A$2:$L$703,12,FALSE),""))</f>
        <v>Iris domestica</v>
      </c>
    </row>
    <row r="285" spans="1:14" x14ac:dyDescent="0.3">
      <c r="A285" t="s">
        <v>610</v>
      </c>
      <c r="B285" t="s">
        <v>611</v>
      </c>
      <c r="C285" t="s">
        <v>611</v>
      </c>
      <c r="D285" t="s">
        <v>611</v>
      </c>
      <c r="E285" t="s">
        <v>18</v>
      </c>
      <c r="F285" t="s">
        <v>19</v>
      </c>
      <c r="H285" s="23" t="e">
        <f>VLOOKUP(A285,Revisión!$A$2:$L$703,6,FALSE)</f>
        <v>#N/A</v>
      </c>
      <c r="I285" s="4" t="e">
        <f>VLOOKUP(A285,Revisión!$A$2:$L$703,7,FALSE)</f>
        <v>#N/A</v>
      </c>
      <c r="J285" s="4" t="e">
        <f>VLOOKUP(A285,Revisión!$A$2:$L$703,8,FALSE)</f>
        <v>#N/A</v>
      </c>
      <c r="K285" s="4" t="e">
        <f>VLOOKUP(A285,Revisión!$A$2:$L$703,9,FALSE)</f>
        <v>#N/A</v>
      </c>
      <c r="L285" s="4" t="e">
        <f>VLOOKUP(A285,Revisión!$A$2:$L$703,10,FALSE)</f>
        <v>#N/A</v>
      </c>
      <c r="M285" s="18" t="e">
        <f>VLOOKUP(A285,Revisión!$A$2:$L$703,11,FALSE)</f>
        <v>#N/A</v>
      </c>
      <c r="N285" s="30" t="str">
        <f>IF(E285="Coinciden",D285,IF(E285="Revisar",VLOOKUP(A285,Revisión!$A$2:$L$703,12,FALSE),""))</f>
        <v>Bellardia trixago</v>
      </c>
    </row>
    <row r="286" spans="1:14" x14ac:dyDescent="0.3">
      <c r="A286" t="s">
        <v>612</v>
      </c>
      <c r="B286" t="s">
        <v>613</v>
      </c>
      <c r="C286" t="s">
        <v>613</v>
      </c>
      <c r="D286" t="s">
        <v>613</v>
      </c>
      <c r="E286" t="s">
        <v>18</v>
      </c>
      <c r="F286" t="s">
        <v>19</v>
      </c>
      <c r="H286" s="23" t="e">
        <f>VLOOKUP(A286,Revisión!$A$2:$L$703,6,FALSE)</f>
        <v>#N/A</v>
      </c>
      <c r="I286" s="4" t="e">
        <f>VLOOKUP(A286,Revisión!$A$2:$L$703,7,FALSE)</f>
        <v>#N/A</v>
      </c>
      <c r="J286" s="4" t="e">
        <f>VLOOKUP(A286,Revisión!$A$2:$L$703,8,FALSE)</f>
        <v>#N/A</v>
      </c>
      <c r="K286" s="4" t="e">
        <f>VLOOKUP(A286,Revisión!$A$2:$L$703,9,FALSE)</f>
        <v>#N/A</v>
      </c>
      <c r="L286" s="4" t="e">
        <f>VLOOKUP(A286,Revisión!$A$2:$L$703,10,FALSE)</f>
        <v>#N/A</v>
      </c>
      <c r="M286" s="18" t="e">
        <f>VLOOKUP(A286,Revisión!$A$2:$L$703,11,FALSE)</f>
        <v>#N/A</v>
      </c>
      <c r="N286" s="30" t="str">
        <f>IF(E286="Coinciden",D286,IF(E286="Revisar",VLOOKUP(A286,Revisión!$A$2:$L$703,12,FALSE),""))</f>
        <v>Bellis annua</v>
      </c>
    </row>
    <row r="287" spans="1:14" x14ac:dyDescent="0.3">
      <c r="A287" t="s">
        <v>614</v>
      </c>
      <c r="C287" t="s">
        <v>615</v>
      </c>
      <c r="D287" t="s">
        <v>615</v>
      </c>
      <c r="E287" t="s">
        <v>8</v>
      </c>
      <c r="F287" t="s">
        <v>49</v>
      </c>
      <c r="H287" s="23" t="str">
        <f>VLOOKUP(A287,Revisión!$A$2:$L$703,6,FALSE)</f>
        <v>Cornus kousa </v>
      </c>
      <c r="I287" s="4" t="str">
        <f>VLOOKUP(A287,Revisión!$A$2:$L$703,7,FALSE)</f>
        <v>Cornus kousa</v>
      </c>
      <c r="J287" s="4" t="str">
        <f>VLOOKUP(A287,Revisión!$A$2:$L$703,8,FALSE)</f>
        <v>Cornus kousa</v>
      </c>
      <c r="K287" s="4" t="str">
        <f>VLOOKUP(A287,Revisión!$A$2:$L$703,9,FALSE)</f>
        <v>-</v>
      </c>
      <c r="L287" s="4" t="str">
        <f>VLOOKUP(A287,Revisión!$A$2:$L$703,10,FALSE)</f>
        <v>-</v>
      </c>
      <c r="M287" s="18">
        <f>VLOOKUP(A287,Revisión!$A$2:$L$703,11,FALSE)</f>
        <v>3</v>
      </c>
      <c r="N287" s="30" t="str">
        <f>IF(E287="Coinciden",D287,IF(E287="Revisar",VLOOKUP(A287,Revisión!$A$2:$L$703,12,FALSE),""))</f>
        <v>Cornus kousa </v>
      </c>
    </row>
    <row r="288" spans="1:14" x14ac:dyDescent="0.3">
      <c r="A288" t="s">
        <v>616</v>
      </c>
      <c r="B288" t="s">
        <v>617</v>
      </c>
      <c r="C288" t="s">
        <v>617</v>
      </c>
      <c r="D288" t="s">
        <v>617</v>
      </c>
      <c r="E288" t="s">
        <v>18</v>
      </c>
      <c r="F288" t="s">
        <v>19</v>
      </c>
      <c r="H288" s="23" t="e">
        <f>VLOOKUP(A288,Revisión!$A$2:$L$703,6,FALSE)</f>
        <v>#N/A</v>
      </c>
      <c r="I288" s="4" t="e">
        <f>VLOOKUP(A288,Revisión!$A$2:$L$703,7,FALSE)</f>
        <v>#N/A</v>
      </c>
      <c r="J288" s="4" t="e">
        <f>VLOOKUP(A288,Revisión!$A$2:$L$703,8,FALSE)</f>
        <v>#N/A</v>
      </c>
      <c r="K288" s="4" t="e">
        <f>VLOOKUP(A288,Revisión!$A$2:$L$703,9,FALSE)</f>
        <v>#N/A</v>
      </c>
      <c r="L288" s="4" t="e">
        <f>VLOOKUP(A288,Revisión!$A$2:$L$703,10,FALSE)</f>
        <v>#N/A</v>
      </c>
      <c r="M288" s="18" t="e">
        <f>VLOOKUP(A288,Revisión!$A$2:$L$703,11,FALSE)</f>
        <v>#N/A</v>
      </c>
      <c r="N288" s="30" t="str">
        <f>IF(E288="Coinciden",D288,IF(E288="Revisar",VLOOKUP(A288,Revisión!$A$2:$L$703,12,FALSE),""))</f>
        <v>Berberis darwinii</v>
      </c>
    </row>
    <row r="289" spans="1:14" x14ac:dyDescent="0.3">
      <c r="A289" t="s">
        <v>618</v>
      </c>
      <c r="B289" t="s">
        <v>619</v>
      </c>
      <c r="C289" t="s">
        <v>619</v>
      </c>
      <c r="D289" t="s">
        <v>619</v>
      </c>
      <c r="E289" t="s">
        <v>18</v>
      </c>
      <c r="F289" t="s">
        <v>19</v>
      </c>
      <c r="H289" s="23" t="e">
        <f>VLOOKUP(A289,Revisión!$A$2:$L$703,6,FALSE)</f>
        <v>#N/A</v>
      </c>
      <c r="I289" s="4" t="e">
        <f>VLOOKUP(A289,Revisión!$A$2:$L$703,7,FALSE)</f>
        <v>#N/A</v>
      </c>
      <c r="J289" s="4" t="e">
        <f>VLOOKUP(A289,Revisión!$A$2:$L$703,8,FALSE)</f>
        <v>#N/A</v>
      </c>
      <c r="K289" s="4" t="e">
        <f>VLOOKUP(A289,Revisión!$A$2:$L$703,9,FALSE)</f>
        <v>#N/A</v>
      </c>
      <c r="L289" s="4" t="e">
        <f>VLOOKUP(A289,Revisión!$A$2:$L$703,10,FALSE)</f>
        <v>#N/A</v>
      </c>
      <c r="M289" s="18" t="e">
        <f>VLOOKUP(A289,Revisión!$A$2:$L$703,11,FALSE)</f>
        <v>#N/A</v>
      </c>
      <c r="N289" s="30" t="str">
        <f>IF(E289="Coinciden",D289,IF(E289="Revisar",VLOOKUP(A289,Revisión!$A$2:$L$703,12,FALSE),""))</f>
        <v>Berberis thunbergii</v>
      </c>
    </row>
    <row r="290" spans="1:14" x14ac:dyDescent="0.3">
      <c r="A290" t="s">
        <v>620</v>
      </c>
      <c r="B290" t="s">
        <v>621</v>
      </c>
      <c r="C290" t="s">
        <v>621</v>
      </c>
      <c r="D290" t="s">
        <v>621</v>
      </c>
      <c r="E290" t="s">
        <v>18</v>
      </c>
      <c r="F290" t="s">
        <v>19</v>
      </c>
      <c r="H290" s="23" t="e">
        <f>VLOOKUP(A290,Revisión!$A$2:$L$703,6,FALSE)</f>
        <v>#N/A</v>
      </c>
      <c r="I290" s="4" t="e">
        <f>VLOOKUP(A290,Revisión!$A$2:$L$703,7,FALSE)</f>
        <v>#N/A</v>
      </c>
      <c r="J290" s="4" t="e">
        <f>VLOOKUP(A290,Revisión!$A$2:$L$703,8,FALSE)</f>
        <v>#N/A</v>
      </c>
      <c r="K290" s="4" t="e">
        <f>VLOOKUP(A290,Revisión!$A$2:$L$703,9,FALSE)</f>
        <v>#N/A</v>
      </c>
      <c r="L290" s="4" t="e">
        <f>VLOOKUP(A290,Revisión!$A$2:$L$703,10,FALSE)</f>
        <v>#N/A</v>
      </c>
      <c r="M290" s="18" t="e">
        <f>VLOOKUP(A290,Revisión!$A$2:$L$703,11,FALSE)</f>
        <v>#N/A</v>
      </c>
      <c r="N290" s="30" t="str">
        <f>IF(E290="Coinciden",D290,IF(E290="Revisar",VLOOKUP(A290,Revisión!$A$2:$L$703,12,FALSE),""))</f>
        <v>Berberis empetrifolia</v>
      </c>
    </row>
    <row r="291" spans="1:14" x14ac:dyDescent="0.3">
      <c r="A291" t="s">
        <v>622</v>
      </c>
      <c r="B291" t="s">
        <v>623</v>
      </c>
      <c r="C291" t="s">
        <v>623</v>
      </c>
      <c r="D291" t="s">
        <v>623</v>
      </c>
      <c r="E291" t="s">
        <v>18</v>
      </c>
      <c r="F291" t="s">
        <v>19</v>
      </c>
      <c r="H291" s="23" t="e">
        <f>VLOOKUP(A291,Revisión!$A$2:$L$703,6,FALSE)</f>
        <v>#N/A</v>
      </c>
      <c r="I291" s="4" t="e">
        <f>VLOOKUP(A291,Revisión!$A$2:$L$703,7,FALSE)</f>
        <v>#N/A</v>
      </c>
      <c r="J291" s="4" t="e">
        <f>VLOOKUP(A291,Revisión!$A$2:$L$703,8,FALSE)</f>
        <v>#N/A</v>
      </c>
      <c r="K291" s="4" t="e">
        <f>VLOOKUP(A291,Revisión!$A$2:$L$703,9,FALSE)</f>
        <v>#N/A</v>
      </c>
      <c r="L291" s="4" t="e">
        <f>VLOOKUP(A291,Revisión!$A$2:$L$703,10,FALSE)</f>
        <v>#N/A</v>
      </c>
      <c r="M291" s="18" t="e">
        <f>VLOOKUP(A291,Revisión!$A$2:$L$703,11,FALSE)</f>
        <v>#N/A</v>
      </c>
      <c r="N291" s="30" t="str">
        <f>IF(E291="Coinciden",D291,IF(E291="Revisar",VLOOKUP(A291,Revisión!$A$2:$L$703,12,FALSE),""))</f>
        <v>Berberis montana</v>
      </c>
    </row>
    <row r="292" spans="1:14" x14ac:dyDescent="0.3">
      <c r="A292" t="s">
        <v>624</v>
      </c>
      <c r="B292" t="s">
        <v>625</v>
      </c>
      <c r="C292" t="s">
        <v>625</v>
      </c>
      <c r="D292" t="s">
        <v>625</v>
      </c>
      <c r="E292" t="s">
        <v>18</v>
      </c>
      <c r="F292" t="s">
        <v>19</v>
      </c>
      <c r="H292" s="23" t="e">
        <f>VLOOKUP(A292,Revisión!$A$2:$L$703,6,FALSE)</f>
        <v>#N/A</v>
      </c>
      <c r="I292" s="4" t="e">
        <f>VLOOKUP(A292,Revisión!$A$2:$L$703,7,FALSE)</f>
        <v>#N/A</v>
      </c>
      <c r="J292" s="4" t="e">
        <f>VLOOKUP(A292,Revisión!$A$2:$L$703,8,FALSE)</f>
        <v>#N/A</v>
      </c>
      <c r="K292" s="4" t="e">
        <f>VLOOKUP(A292,Revisión!$A$2:$L$703,9,FALSE)</f>
        <v>#N/A</v>
      </c>
      <c r="L292" s="4" t="e">
        <f>VLOOKUP(A292,Revisión!$A$2:$L$703,10,FALSE)</f>
        <v>#N/A</v>
      </c>
      <c r="M292" s="18" t="e">
        <f>VLOOKUP(A292,Revisión!$A$2:$L$703,11,FALSE)</f>
        <v>#N/A</v>
      </c>
      <c r="N292" s="30" t="str">
        <f>IF(E292="Coinciden",D292,IF(E292="Revisar",VLOOKUP(A292,Revisión!$A$2:$L$703,12,FALSE),""))</f>
        <v>Berberis microphylla</v>
      </c>
    </row>
    <row r="293" spans="1:14" x14ac:dyDescent="0.3">
      <c r="A293" t="s">
        <v>626</v>
      </c>
      <c r="B293" t="s">
        <v>627</v>
      </c>
      <c r="C293" t="s">
        <v>627</v>
      </c>
      <c r="D293" t="s">
        <v>627</v>
      </c>
      <c r="E293" t="s">
        <v>18</v>
      </c>
      <c r="F293" t="s">
        <v>19</v>
      </c>
      <c r="H293" s="23" t="e">
        <f>VLOOKUP(A293,Revisión!$A$2:$L$703,6,FALSE)</f>
        <v>#N/A</v>
      </c>
      <c r="I293" s="4" t="e">
        <f>VLOOKUP(A293,Revisión!$A$2:$L$703,7,FALSE)</f>
        <v>#N/A</v>
      </c>
      <c r="J293" s="4" t="e">
        <f>VLOOKUP(A293,Revisión!$A$2:$L$703,8,FALSE)</f>
        <v>#N/A</v>
      </c>
      <c r="K293" s="4" t="e">
        <f>VLOOKUP(A293,Revisión!$A$2:$L$703,9,FALSE)</f>
        <v>#N/A</v>
      </c>
      <c r="L293" s="4" t="e">
        <f>VLOOKUP(A293,Revisión!$A$2:$L$703,10,FALSE)</f>
        <v>#N/A</v>
      </c>
      <c r="M293" s="18" t="e">
        <f>VLOOKUP(A293,Revisión!$A$2:$L$703,11,FALSE)</f>
        <v>#N/A</v>
      </c>
      <c r="N293" s="30" t="str">
        <f>IF(E293="Coinciden",D293,IF(E293="Revisar",VLOOKUP(A293,Revisión!$A$2:$L$703,12,FALSE),""))</f>
        <v>Bertiera zaluzania</v>
      </c>
    </row>
    <row r="294" spans="1:14" x14ac:dyDescent="0.3">
      <c r="A294" t="s">
        <v>628</v>
      </c>
      <c r="B294" t="s">
        <v>627</v>
      </c>
      <c r="C294" t="s">
        <v>627</v>
      </c>
      <c r="D294" t="s">
        <v>627</v>
      </c>
      <c r="E294" t="s">
        <v>18</v>
      </c>
      <c r="F294" t="s">
        <v>19</v>
      </c>
      <c r="H294" s="23" t="e">
        <f>VLOOKUP(A294,Revisión!$A$2:$L$703,6,FALSE)</f>
        <v>#N/A</v>
      </c>
      <c r="I294" s="4" t="e">
        <f>VLOOKUP(A294,Revisión!$A$2:$L$703,7,FALSE)</f>
        <v>#N/A</v>
      </c>
      <c r="J294" s="4" t="e">
        <f>VLOOKUP(A294,Revisión!$A$2:$L$703,8,FALSE)</f>
        <v>#N/A</v>
      </c>
      <c r="K294" s="4" t="e">
        <f>VLOOKUP(A294,Revisión!$A$2:$L$703,9,FALSE)</f>
        <v>#N/A</v>
      </c>
      <c r="L294" s="4" t="e">
        <f>VLOOKUP(A294,Revisión!$A$2:$L$703,10,FALSE)</f>
        <v>#N/A</v>
      </c>
      <c r="M294" s="18" t="e">
        <f>VLOOKUP(A294,Revisión!$A$2:$L$703,11,FALSE)</f>
        <v>#N/A</v>
      </c>
      <c r="N294" s="30" t="str">
        <f>IF(E294="Coinciden",D294,IF(E294="Revisar",VLOOKUP(A294,Revisión!$A$2:$L$703,12,FALSE),""))</f>
        <v>Bertiera zaluzania</v>
      </c>
    </row>
    <row r="295" spans="1:14" x14ac:dyDescent="0.3">
      <c r="A295" t="s">
        <v>629</v>
      </c>
      <c r="C295" t="s">
        <v>630</v>
      </c>
      <c r="D295" t="s">
        <v>630</v>
      </c>
      <c r="E295" t="s">
        <v>8</v>
      </c>
      <c r="F295" t="s">
        <v>49</v>
      </c>
      <c r="H295" s="23" t="str">
        <f>VLOOKUP(A295,Revisión!$A$2:$L$703,6,FALSE)</f>
        <v>Basella alba</v>
      </c>
      <c r="I295" s="4" t="str">
        <f>VLOOKUP(A295,Revisión!$A$2:$L$703,7,FALSE)</f>
        <v>Basella alba</v>
      </c>
      <c r="J295" s="4" t="str">
        <f>VLOOKUP(A295,Revisión!$A$2:$L$703,8,FALSE)</f>
        <v>Basella alba</v>
      </c>
      <c r="K295" s="4" t="str">
        <f>VLOOKUP(A295,Revisión!$A$2:$L$703,9,FALSE)</f>
        <v>-</v>
      </c>
      <c r="L295" s="4" t="str">
        <f>VLOOKUP(A295,Revisión!$A$2:$L$703,10,FALSE)</f>
        <v>-</v>
      </c>
      <c r="M295" s="18">
        <f>VLOOKUP(A295,Revisión!$A$2:$L$703,11,FALSE)</f>
        <v>3</v>
      </c>
      <c r="N295" s="30" t="str">
        <f>IF(E295="Coinciden",D295,IF(E295="Revisar",VLOOKUP(A295,Revisión!$A$2:$L$703,12,FALSE),""))</f>
        <v>Basella alba</v>
      </c>
    </row>
    <row r="296" spans="1:14" x14ac:dyDescent="0.3">
      <c r="A296" t="s">
        <v>631</v>
      </c>
      <c r="C296" t="s">
        <v>632</v>
      </c>
      <c r="D296" t="s">
        <v>632</v>
      </c>
      <c r="E296" t="s">
        <v>8</v>
      </c>
      <c r="F296" t="s">
        <v>49</v>
      </c>
      <c r="H296" s="23" t="str">
        <f>VLOOKUP(A296,Revisión!$A$2:$L$703,6,FALSE)</f>
        <v>Desmoscelis villosa</v>
      </c>
      <c r="I296" s="4" t="str">
        <f>VLOOKUP(A296,Revisión!$A$2:$L$703,7,FALSE)</f>
        <v>Desmoscelis villosa</v>
      </c>
      <c r="J296" s="4" t="str">
        <f>VLOOKUP(A296,Revisión!$A$2:$L$703,8,FALSE)</f>
        <v>Desmoscelis villosa</v>
      </c>
      <c r="K296" s="4" t="str">
        <f>VLOOKUP(A296,Revisión!$A$2:$L$703,9,FALSE)</f>
        <v>-</v>
      </c>
      <c r="L296" s="4" t="str">
        <f>VLOOKUP(A296,Revisión!$A$2:$L$703,10,FALSE)</f>
        <v>-</v>
      </c>
      <c r="M296" s="18">
        <f>VLOOKUP(A296,Revisión!$A$2:$L$703,11,FALSE)</f>
        <v>3</v>
      </c>
      <c r="N296" s="30" t="str">
        <f>IF(E296="Coinciden",D296,IF(E296="Revisar",VLOOKUP(A296,Revisión!$A$2:$L$703,12,FALSE),""))</f>
        <v>Desmoscelis villosa</v>
      </c>
    </row>
    <row r="297" spans="1:14" x14ac:dyDescent="0.3">
      <c r="A297" t="s">
        <v>633</v>
      </c>
      <c r="B297" t="s">
        <v>634</v>
      </c>
      <c r="C297" t="s">
        <v>634</v>
      </c>
      <c r="D297" t="s">
        <v>634</v>
      </c>
      <c r="E297" t="s">
        <v>18</v>
      </c>
      <c r="F297" t="s">
        <v>19</v>
      </c>
      <c r="H297" s="23" t="e">
        <f>VLOOKUP(A297,Revisión!$A$2:$L$703,6,FALSE)</f>
        <v>#N/A</v>
      </c>
      <c r="I297" s="4" t="e">
        <f>VLOOKUP(A297,Revisión!$A$2:$L$703,7,FALSE)</f>
        <v>#N/A</v>
      </c>
      <c r="J297" s="4" t="e">
        <f>VLOOKUP(A297,Revisión!$A$2:$L$703,8,FALSE)</f>
        <v>#N/A</v>
      </c>
      <c r="K297" s="4" t="e">
        <f>VLOOKUP(A297,Revisión!$A$2:$L$703,9,FALSE)</f>
        <v>#N/A</v>
      </c>
      <c r="L297" s="4" t="e">
        <f>VLOOKUP(A297,Revisión!$A$2:$L$703,10,FALSE)</f>
        <v>#N/A</v>
      </c>
      <c r="M297" s="18" t="e">
        <f>VLOOKUP(A297,Revisión!$A$2:$L$703,11,FALSE)</f>
        <v>#N/A</v>
      </c>
      <c r="N297" s="30" t="str">
        <f>IF(E297="Coinciden",D297,IF(E297="Revisar",VLOOKUP(A297,Revisión!$A$2:$L$703,12,FALSE),""))</f>
        <v>Beta vulgaris</v>
      </c>
    </row>
    <row r="298" spans="1:14" x14ac:dyDescent="0.3">
      <c r="A298" t="s">
        <v>635</v>
      </c>
      <c r="B298" t="s">
        <v>636</v>
      </c>
      <c r="C298" t="s">
        <v>637</v>
      </c>
      <c r="D298" t="s">
        <v>634</v>
      </c>
      <c r="E298" t="s">
        <v>8</v>
      </c>
      <c r="F298" t="s">
        <v>295</v>
      </c>
      <c r="H298" s="23" t="str">
        <f>VLOOKUP(A298,Revisión!$A$2:$L$703,6,FALSE)</f>
        <v>Beta maritima</v>
      </c>
      <c r="I298" s="4" t="str">
        <f>VLOOKUP(A298,Revisión!$A$2:$L$703,7,FALSE)</f>
        <v>Beta vulgaris</v>
      </c>
      <c r="J298" s="4" t="str">
        <f>VLOOKUP(A298,Revisión!$A$2:$L$703,8,FALSE)</f>
        <v>Beta vulgaris</v>
      </c>
      <c r="K298" s="4" t="str">
        <f>VLOOKUP(A298,Revisión!$A$2:$L$703,9,FALSE)</f>
        <v>-</v>
      </c>
      <c r="L298" s="4" t="str">
        <f>VLOOKUP(A298,Revisión!$A$2:$L$703,10,FALSE)</f>
        <v>-</v>
      </c>
      <c r="M298" s="18">
        <f>VLOOKUP(A298,Revisión!$A$2:$L$703,11,FALSE)</f>
        <v>2</v>
      </c>
      <c r="N298" s="30" t="str">
        <f>IF(E298="Coinciden",D298,IF(E298="Revisar",VLOOKUP(A298,Revisión!$A$2:$L$703,12,FALSE),""))</f>
        <v>Beta vulgaris</v>
      </c>
    </row>
    <row r="299" spans="1:14" x14ac:dyDescent="0.3">
      <c r="A299" t="s">
        <v>638</v>
      </c>
      <c r="B299" t="s">
        <v>639</v>
      </c>
      <c r="C299" t="s">
        <v>639</v>
      </c>
      <c r="D299" t="s">
        <v>639</v>
      </c>
      <c r="E299" t="s">
        <v>18</v>
      </c>
      <c r="F299" t="s">
        <v>19</v>
      </c>
      <c r="H299" s="23" t="e">
        <f>VLOOKUP(A299,Revisión!$A$2:$L$703,6,FALSE)</f>
        <v>#N/A</v>
      </c>
      <c r="I299" s="4" t="e">
        <f>VLOOKUP(A299,Revisión!$A$2:$L$703,7,FALSE)</f>
        <v>#N/A</v>
      </c>
      <c r="J299" s="4" t="e">
        <f>VLOOKUP(A299,Revisión!$A$2:$L$703,8,FALSE)</f>
        <v>#N/A</v>
      </c>
      <c r="K299" s="4" t="e">
        <f>VLOOKUP(A299,Revisión!$A$2:$L$703,9,FALSE)</f>
        <v>#N/A</v>
      </c>
      <c r="L299" s="4" t="e">
        <f>VLOOKUP(A299,Revisión!$A$2:$L$703,10,FALSE)</f>
        <v>#N/A</v>
      </c>
      <c r="M299" s="18" t="e">
        <f>VLOOKUP(A299,Revisión!$A$2:$L$703,11,FALSE)</f>
        <v>#N/A</v>
      </c>
      <c r="N299" s="30" t="str">
        <f>IF(E299="Coinciden",D299,IF(E299="Revisar",VLOOKUP(A299,Revisión!$A$2:$L$703,12,FALSE),""))</f>
        <v>Bidens pilosa</v>
      </c>
    </row>
    <row r="300" spans="1:14" x14ac:dyDescent="0.3">
      <c r="A300" t="s">
        <v>640</v>
      </c>
      <c r="B300" t="s">
        <v>641</v>
      </c>
      <c r="C300" t="s">
        <v>641</v>
      </c>
      <c r="D300" t="s">
        <v>641</v>
      </c>
      <c r="E300" t="s">
        <v>18</v>
      </c>
      <c r="F300" t="s">
        <v>19</v>
      </c>
      <c r="H300" s="23" t="e">
        <f>VLOOKUP(A300,Revisión!$A$2:$L$703,6,FALSE)</f>
        <v>#N/A</v>
      </c>
      <c r="I300" s="4" t="e">
        <f>VLOOKUP(A300,Revisión!$A$2:$L$703,7,FALSE)</f>
        <v>#N/A</v>
      </c>
      <c r="J300" s="4" t="e">
        <f>VLOOKUP(A300,Revisión!$A$2:$L$703,8,FALSE)</f>
        <v>#N/A</v>
      </c>
      <c r="K300" s="4" t="e">
        <f>VLOOKUP(A300,Revisión!$A$2:$L$703,9,FALSE)</f>
        <v>#N/A</v>
      </c>
      <c r="L300" s="4" t="e">
        <f>VLOOKUP(A300,Revisión!$A$2:$L$703,10,FALSE)</f>
        <v>#N/A</v>
      </c>
      <c r="M300" s="18" t="e">
        <f>VLOOKUP(A300,Revisión!$A$2:$L$703,11,FALSE)</f>
        <v>#N/A</v>
      </c>
      <c r="N300" s="30" t="str">
        <f>IF(E300="Coinciden",D300,IF(E300="Revisar",VLOOKUP(A300,Revisión!$A$2:$L$703,12,FALSE),""))</f>
        <v>Bidens aristosa</v>
      </c>
    </row>
    <row r="301" spans="1:14" x14ac:dyDescent="0.3">
      <c r="A301" t="s">
        <v>642</v>
      </c>
      <c r="B301" t="s">
        <v>643</v>
      </c>
      <c r="C301" t="s">
        <v>643</v>
      </c>
      <c r="D301" t="s">
        <v>643</v>
      </c>
      <c r="E301" t="s">
        <v>18</v>
      </c>
      <c r="F301" t="s">
        <v>19</v>
      </c>
      <c r="H301" s="23" t="e">
        <f>VLOOKUP(A301,Revisión!$A$2:$L$703,6,FALSE)</f>
        <v>#N/A</v>
      </c>
      <c r="I301" s="4" t="e">
        <f>VLOOKUP(A301,Revisión!$A$2:$L$703,7,FALSE)</f>
        <v>#N/A</v>
      </c>
      <c r="J301" s="4" t="e">
        <f>VLOOKUP(A301,Revisión!$A$2:$L$703,8,FALSE)</f>
        <v>#N/A</v>
      </c>
      <c r="K301" s="4" t="e">
        <f>VLOOKUP(A301,Revisión!$A$2:$L$703,9,FALSE)</f>
        <v>#N/A</v>
      </c>
      <c r="L301" s="4" t="e">
        <f>VLOOKUP(A301,Revisión!$A$2:$L$703,10,FALSE)</f>
        <v>#N/A</v>
      </c>
      <c r="M301" s="18" t="e">
        <f>VLOOKUP(A301,Revisión!$A$2:$L$703,11,FALSE)</f>
        <v>#N/A</v>
      </c>
      <c r="N301" s="30" t="str">
        <f>IF(E301="Coinciden",D301,IF(E301="Revisar",VLOOKUP(A301,Revisión!$A$2:$L$703,12,FALSE),""))</f>
        <v>Bidens laevis</v>
      </c>
    </row>
    <row r="302" spans="1:14" x14ac:dyDescent="0.3">
      <c r="A302" t="s">
        <v>644</v>
      </c>
      <c r="B302" t="s">
        <v>645</v>
      </c>
      <c r="D302" t="s">
        <v>645</v>
      </c>
      <c r="E302" t="s">
        <v>8</v>
      </c>
      <c r="F302" t="s">
        <v>34</v>
      </c>
      <c r="H302" s="23" t="str">
        <f>VLOOKUP(A302,Revisión!$A$2:$L$703,6,FALSE)</f>
        <v>Bidens frondosa</v>
      </c>
      <c r="I302" s="4" t="str">
        <f>VLOOKUP(A302,Revisión!$A$2:$L$703,7,FALSE)</f>
        <v>Bidens frondosa</v>
      </c>
      <c r="J302" s="4" t="str">
        <f>VLOOKUP(A302,Revisión!$A$2:$L$703,8,FALSE)</f>
        <v>Bidens frondosa</v>
      </c>
      <c r="K302" s="4" t="str">
        <f>VLOOKUP(A302,Revisión!$A$2:$L$703,9,FALSE)</f>
        <v>-</v>
      </c>
      <c r="L302" s="4" t="str">
        <f>VLOOKUP(A302,Revisión!$A$2:$L$703,10,FALSE)</f>
        <v>-</v>
      </c>
      <c r="M302" s="18">
        <f>VLOOKUP(A302,Revisión!$A$2:$L$703,11,FALSE)</f>
        <v>3</v>
      </c>
      <c r="N302" s="30" t="str">
        <f>IF(E302="Coinciden",D302,IF(E302="Revisar",VLOOKUP(A302,Revisión!$A$2:$L$703,12,FALSE),""))</f>
        <v>Bidens frondosa</v>
      </c>
    </row>
    <row r="303" spans="1:14" x14ac:dyDescent="0.3">
      <c r="A303" t="s">
        <v>646</v>
      </c>
      <c r="B303" t="s">
        <v>647</v>
      </c>
      <c r="C303" t="s">
        <v>647</v>
      </c>
      <c r="D303" t="s">
        <v>647</v>
      </c>
      <c r="E303" t="s">
        <v>18</v>
      </c>
      <c r="F303" t="s">
        <v>19</v>
      </c>
      <c r="H303" s="23" t="e">
        <f>VLOOKUP(A303,Revisión!$A$2:$L$703,6,FALSE)</f>
        <v>#N/A</v>
      </c>
      <c r="I303" s="4" t="e">
        <f>VLOOKUP(A303,Revisión!$A$2:$L$703,7,FALSE)</f>
        <v>#N/A</v>
      </c>
      <c r="J303" s="4" t="e">
        <f>VLOOKUP(A303,Revisión!$A$2:$L$703,8,FALSE)</f>
        <v>#N/A</v>
      </c>
      <c r="K303" s="4" t="e">
        <f>VLOOKUP(A303,Revisión!$A$2:$L$703,9,FALSE)</f>
        <v>#N/A</v>
      </c>
      <c r="L303" s="4" t="e">
        <f>VLOOKUP(A303,Revisión!$A$2:$L$703,10,FALSE)</f>
        <v>#N/A</v>
      </c>
      <c r="M303" s="18" t="e">
        <f>VLOOKUP(A303,Revisión!$A$2:$L$703,11,FALSE)</f>
        <v>#N/A</v>
      </c>
      <c r="N303" s="30" t="str">
        <f>IF(E303="Coinciden",D303,IF(E303="Revisar",VLOOKUP(A303,Revisión!$A$2:$L$703,12,FALSE),""))</f>
        <v>Bidens connata</v>
      </c>
    </row>
    <row r="304" spans="1:14" x14ac:dyDescent="0.3">
      <c r="A304" t="s">
        <v>648</v>
      </c>
      <c r="B304" t="s">
        <v>649</v>
      </c>
      <c r="D304" t="s">
        <v>649</v>
      </c>
      <c r="E304" t="s">
        <v>8</v>
      </c>
      <c r="F304" t="s">
        <v>34</v>
      </c>
      <c r="H304" s="23" t="str">
        <f>VLOOKUP(A304,Revisión!$A$2:$L$703,6,FALSE)</f>
        <v>Bidens bipinnata</v>
      </c>
      <c r="I304" s="4" t="str">
        <f>VLOOKUP(A304,Revisión!$A$2:$L$703,7,FALSE)</f>
        <v>Bidens bipinnata</v>
      </c>
      <c r="J304" s="4" t="str">
        <f>VLOOKUP(A304,Revisión!$A$2:$L$703,8,FALSE)</f>
        <v>Bidens bipinnata</v>
      </c>
      <c r="K304" s="4" t="str">
        <f>VLOOKUP(A304,Revisión!$A$2:$L$703,9,FALSE)</f>
        <v>-</v>
      </c>
      <c r="L304" s="4" t="str">
        <f>VLOOKUP(A304,Revisión!$A$2:$L$703,10,FALSE)</f>
        <v>-</v>
      </c>
      <c r="M304" s="18">
        <f>VLOOKUP(A304,Revisión!$A$2:$L$703,11,FALSE)</f>
        <v>3</v>
      </c>
      <c r="N304" s="30" t="str">
        <f>IF(E304="Coinciden",D304,IF(E304="Revisar",VLOOKUP(A304,Revisión!$A$2:$L$703,12,FALSE),""))</f>
        <v>Bidens bipinnata</v>
      </c>
    </row>
    <row r="305" spans="1:14" x14ac:dyDescent="0.3">
      <c r="A305" t="s">
        <v>650</v>
      </c>
      <c r="B305" t="s">
        <v>651</v>
      </c>
      <c r="C305" t="s">
        <v>651</v>
      </c>
      <c r="D305" t="s">
        <v>651</v>
      </c>
      <c r="E305" t="s">
        <v>18</v>
      </c>
      <c r="F305" t="s">
        <v>19</v>
      </c>
      <c r="H305" s="23" t="e">
        <f>VLOOKUP(A305,Revisión!$A$2:$L$703,6,FALSE)</f>
        <v>#N/A</v>
      </c>
      <c r="I305" s="4" t="e">
        <f>VLOOKUP(A305,Revisión!$A$2:$L$703,7,FALSE)</f>
        <v>#N/A</v>
      </c>
      <c r="J305" s="4" t="e">
        <f>VLOOKUP(A305,Revisión!$A$2:$L$703,8,FALSE)</f>
        <v>#N/A</v>
      </c>
      <c r="K305" s="4" t="e">
        <f>VLOOKUP(A305,Revisión!$A$2:$L$703,9,FALSE)</f>
        <v>#N/A</v>
      </c>
      <c r="L305" s="4" t="e">
        <f>VLOOKUP(A305,Revisión!$A$2:$L$703,10,FALSE)</f>
        <v>#N/A</v>
      </c>
      <c r="M305" s="18" t="e">
        <f>VLOOKUP(A305,Revisión!$A$2:$L$703,11,FALSE)</f>
        <v>#N/A</v>
      </c>
      <c r="N305" s="30" t="str">
        <f>IF(E305="Coinciden",D305,IF(E305="Revisar",VLOOKUP(A305,Revisión!$A$2:$L$703,12,FALSE),""))</f>
        <v>Billbergia amoena</v>
      </c>
    </row>
    <row r="306" spans="1:14" x14ac:dyDescent="0.3">
      <c r="A306" t="s">
        <v>652</v>
      </c>
      <c r="B306" t="s">
        <v>653</v>
      </c>
      <c r="C306" t="s">
        <v>653</v>
      </c>
      <c r="D306" t="s">
        <v>653</v>
      </c>
      <c r="E306" t="s">
        <v>18</v>
      </c>
      <c r="F306" t="s">
        <v>19</v>
      </c>
      <c r="H306" s="23" t="e">
        <f>VLOOKUP(A306,Revisión!$A$2:$L$703,6,FALSE)</f>
        <v>#N/A</v>
      </c>
      <c r="I306" s="4" t="e">
        <f>VLOOKUP(A306,Revisión!$A$2:$L$703,7,FALSE)</f>
        <v>#N/A</v>
      </c>
      <c r="J306" s="4" t="e">
        <f>VLOOKUP(A306,Revisión!$A$2:$L$703,8,FALSE)</f>
        <v>#N/A</v>
      </c>
      <c r="K306" s="4" t="e">
        <f>VLOOKUP(A306,Revisión!$A$2:$L$703,9,FALSE)</f>
        <v>#N/A</v>
      </c>
      <c r="L306" s="4" t="e">
        <f>VLOOKUP(A306,Revisión!$A$2:$L$703,10,FALSE)</f>
        <v>#N/A</v>
      </c>
      <c r="M306" s="18" t="e">
        <f>VLOOKUP(A306,Revisión!$A$2:$L$703,11,FALSE)</f>
        <v>#N/A</v>
      </c>
      <c r="N306" s="30" t="str">
        <f>IF(E306="Coinciden",D306,IF(E306="Revisar",VLOOKUP(A306,Revisión!$A$2:$L$703,12,FALSE),""))</f>
        <v>Biscutella didyma</v>
      </c>
    </row>
    <row r="307" spans="1:14" x14ac:dyDescent="0.3">
      <c r="A307" t="s">
        <v>654</v>
      </c>
      <c r="B307" t="s">
        <v>655</v>
      </c>
      <c r="C307" t="s">
        <v>655</v>
      </c>
      <c r="E307" t="s">
        <v>8</v>
      </c>
      <c r="F307" t="s">
        <v>323</v>
      </c>
      <c r="H307" s="23" t="str">
        <f>VLOOKUP(A307,Revisión!$A$2:$L$703,6,FALSE)</f>
        <v>Bistorta tenuicaulis</v>
      </c>
      <c r="I307" s="4" t="str">
        <f>VLOOKUP(A307,Revisión!$A$2:$L$703,7,FALSE)</f>
        <v>-</v>
      </c>
      <c r="J307" s="4" t="str">
        <f>VLOOKUP(A307,Revisión!$A$2:$L$703,8,FALSE)</f>
        <v>Bistorta tenuicaulis</v>
      </c>
      <c r="K307" s="4" t="str">
        <f>VLOOKUP(A307,Revisión!$A$2:$L$703,9,FALSE)</f>
        <v>-</v>
      </c>
      <c r="L307" s="4" t="str">
        <f>VLOOKUP(A307,Revisión!$A$2:$L$703,10,FALSE)</f>
        <v>-</v>
      </c>
      <c r="M307" s="18">
        <f>VLOOKUP(A307,Revisión!$A$2:$L$703,11,FALSE)</f>
        <v>2</v>
      </c>
      <c r="N307" s="30" t="str">
        <f>IF(E307="Coinciden",D307,IF(E307="Revisar",VLOOKUP(A307,Revisión!$A$2:$L$703,12,FALSE),""))</f>
        <v>Bistorta tenuicaulis</v>
      </c>
    </row>
    <row r="308" spans="1:14" x14ac:dyDescent="0.3">
      <c r="A308" t="s">
        <v>656</v>
      </c>
      <c r="B308" t="s">
        <v>657</v>
      </c>
      <c r="C308" t="s">
        <v>657</v>
      </c>
      <c r="D308" t="s">
        <v>657</v>
      </c>
      <c r="E308" t="s">
        <v>18</v>
      </c>
      <c r="F308" t="s">
        <v>19</v>
      </c>
      <c r="H308" s="23" t="e">
        <f>VLOOKUP(A308,Revisión!$A$2:$L$703,6,FALSE)</f>
        <v>#N/A</v>
      </c>
      <c r="I308" s="4" t="e">
        <f>VLOOKUP(A308,Revisión!$A$2:$L$703,7,FALSE)</f>
        <v>#N/A</v>
      </c>
      <c r="J308" s="4" t="e">
        <f>VLOOKUP(A308,Revisión!$A$2:$L$703,8,FALSE)</f>
        <v>#N/A</v>
      </c>
      <c r="K308" s="4" t="e">
        <f>VLOOKUP(A308,Revisión!$A$2:$L$703,9,FALSE)</f>
        <v>#N/A</v>
      </c>
      <c r="L308" s="4" t="e">
        <f>VLOOKUP(A308,Revisión!$A$2:$L$703,10,FALSE)</f>
        <v>#N/A</v>
      </c>
      <c r="M308" s="18" t="e">
        <f>VLOOKUP(A308,Revisión!$A$2:$L$703,11,FALSE)</f>
        <v>#N/A</v>
      </c>
      <c r="N308" s="30" t="str">
        <f>IF(E308="Coinciden",D308,IF(E308="Revisar",VLOOKUP(A308,Revisión!$A$2:$L$703,12,FALSE),""))</f>
        <v>Bituminaria bituminosa</v>
      </c>
    </row>
    <row r="309" spans="1:14" x14ac:dyDescent="0.3">
      <c r="A309" t="s">
        <v>658</v>
      </c>
      <c r="B309" t="s">
        <v>659</v>
      </c>
      <c r="D309" t="s">
        <v>659</v>
      </c>
      <c r="E309" t="s">
        <v>8</v>
      </c>
      <c r="F309" t="s">
        <v>34</v>
      </c>
      <c r="H309" s="23" t="str">
        <f>VLOOKUP(A309,Revisión!$A$2:$L$703,6,FALSE)</f>
        <v>Blakea trinervia</v>
      </c>
      <c r="I309" s="4" t="str">
        <f>VLOOKUP(A309,Revisión!$A$2:$L$703,7,FALSE)</f>
        <v>Blakea trinervia</v>
      </c>
      <c r="J309" s="4" t="str">
        <f>VLOOKUP(A309,Revisión!$A$2:$L$703,8,FALSE)</f>
        <v>Blakea trinervia</v>
      </c>
      <c r="K309" s="4" t="str">
        <f>VLOOKUP(A309,Revisión!$A$2:$L$703,9,FALSE)</f>
        <v>-</v>
      </c>
      <c r="L309" s="4" t="str">
        <f>VLOOKUP(A309,Revisión!$A$2:$L$703,10,FALSE)</f>
        <v>-</v>
      </c>
      <c r="M309" s="18">
        <f>VLOOKUP(A309,Revisión!$A$2:$L$703,11,FALSE)</f>
        <v>3</v>
      </c>
      <c r="N309" s="30" t="str">
        <f>IF(E309="Coinciden",D309,IF(E309="Revisar",VLOOKUP(A309,Revisión!$A$2:$L$703,12,FALSE),""))</f>
        <v>Blakea trinervia</v>
      </c>
    </row>
    <row r="310" spans="1:14" x14ac:dyDescent="0.3">
      <c r="A310" t="s">
        <v>660</v>
      </c>
      <c r="B310" t="s">
        <v>661</v>
      </c>
      <c r="C310" t="s">
        <v>661</v>
      </c>
      <c r="D310" t="s">
        <v>661</v>
      </c>
      <c r="E310" t="s">
        <v>18</v>
      </c>
      <c r="F310" t="s">
        <v>19</v>
      </c>
      <c r="H310" s="23" t="e">
        <f>VLOOKUP(A310,Revisión!$A$2:$L$703,6,FALSE)</f>
        <v>#N/A</v>
      </c>
      <c r="I310" s="4" t="e">
        <f>VLOOKUP(A310,Revisión!$A$2:$L$703,7,FALSE)</f>
        <v>#N/A</v>
      </c>
      <c r="J310" s="4" t="e">
        <f>VLOOKUP(A310,Revisión!$A$2:$L$703,8,FALSE)</f>
        <v>#N/A</v>
      </c>
      <c r="K310" s="4" t="e">
        <f>VLOOKUP(A310,Revisión!$A$2:$L$703,9,FALSE)</f>
        <v>#N/A</v>
      </c>
      <c r="L310" s="4" t="e">
        <f>VLOOKUP(A310,Revisión!$A$2:$L$703,10,FALSE)</f>
        <v>#N/A</v>
      </c>
      <c r="M310" s="18" t="e">
        <f>VLOOKUP(A310,Revisión!$A$2:$L$703,11,FALSE)</f>
        <v>#N/A</v>
      </c>
      <c r="N310" s="30" t="str">
        <f>IF(E310="Coinciden",D310,IF(E310="Revisar",VLOOKUP(A310,Revisión!$A$2:$L$703,12,FALSE),""))</f>
        <v>Blastus cochinchinensis</v>
      </c>
    </row>
    <row r="311" spans="1:14" x14ac:dyDescent="0.3">
      <c r="A311" t="s">
        <v>662</v>
      </c>
      <c r="B311" t="s">
        <v>663</v>
      </c>
      <c r="C311" t="s">
        <v>663</v>
      </c>
      <c r="D311" t="s">
        <v>663</v>
      </c>
      <c r="E311" t="s">
        <v>18</v>
      </c>
      <c r="F311" t="s">
        <v>19</v>
      </c>
      <c r="H311" s="23" t="e">
        <f>VLOOKUP(A311,Revisión!$A$2:$L$703,6,FALSE)</f>
        <v>#N/A</v>
      </c>
      <c r="I311" s="4" t="e">
        <f>VLOOKUP(A311,Revisión!$A$2:$L$703,7,FALSE)</f>
        <v>#N/A</v>
      </c>
      <c r="J311" s="4" t="e">
        <f>VLOOKUP(A311,Revisión!$A$2:$L$703,8,FALSE)</f>
        <v>#N/A</v>
      </c>
      <c r="K311" s="4" t="e">
        <f>VLOOKUP(A311,Revisión!$A$2:$L$703,9,FALSE)</f>
        <v>#N/A</v>
      </c>
      <c r="L311" s="4" t="e">
        <f>VLOOKUP(A311,Revisión!$A$2:$L$703,10,FALSE)</f>
        <v>#N/A</v>
      </c>
      <c r="M311" s="18" t="e">
        <f>VLOOKUP(A311,Revisión!$A$2:$L$703,11,FALSE)</f>
        <v>#N/A</v>
      </c>
      <c r="N311" s="30" t="str">
        <f>IF(E311="Coinciden",D311,IF(E311="Revisar",VLOOKUP(A311,Revisión!$A$2:$L$703,12,FALSE),""))</f>
        <v>Ruellia blechum</v>
      </c>
    </row>
    <row r="312" spans="1:14" x14ac:dyDescent="0.3">
      <c r="A312" t="s">
        <v>664</v>
      </c>
      <c r="B312" t="s">
        <v>665</v>
      </c>
      <c r="C312" t="s">
        <v>665</v>
      </c>
      <c r="D312" t="s">
        <v>665</v>
      </c>
      <c r="E312" t="s">
        <v>18</v>
      </c>
      <c r="F312" t="s">
        <v>19</v>
      </c>
      <c r="H312" s="23" t="e">
        <f>VLOOKUP(A312,Revisión!$A$2:$L$703,6,FALSE)</f>
        <v>#N/A</v>
      </c>
      <c r="I312" s="4" t="e">
        <f>VLOOKUP(A312,Revisión!$A$2:$L$703,7,FALSE)</f>
        <v>#N/A</v>
      </c>
      <c r="J312" s="4" t="e">
        <f>VLOOKUP(A312,Revisión!$A$2:$L$703,8,FALSE)</f>
        <v>#N/A</v>
      </c>
      <c r="K312" s="4" t="e">
        <f>VLOOKUP(A312,Revisión!$A$2:$L$703,9,FALSE)</f>
        <v>#N/A</v>
      </c>
      <c r="L312" s="4" t="e">
        <f>VLOOKUP(A312,Revisión!$A$2:$L$703,10,FALSE)</f>
        <v>#N/A</v>
      </c>
      <c r="M312" s="18" t="e">
        <f>VLOOKUP(A312,Revisión!$A$2:$L$703,11,FALSE)</f>
        <v>#N/A</v>
      </c>
      <c r="N312" s="30" t="str">
        <f>IF(E312="Coinciden",D312,IF(E312="Revisar",VLOOKUP(A312,Revisión!$A$2:$L$703,12,FALSE),""))</f>
        <v>Blephilia hirsuta</v>
      </c>
    </row>
    <row r="313" spans="1:14" x14ac:dyDescent="0.3">
      <c r="A313" t="s">
        <v>666</v>
      </c>
      <c r="B313" t="s">
        <v>667</v>
      </c>
      <c r="C313" t="s">
        <v>667</v>
      </c>
      <c r="D313" t="s">
        <v>667</v>
      </c>
      <c r="E313" t="s">
        <v>18</v>
      </c>
      <c r="F313" t="s">
        <v>19</v>
      </c>
      <c r="H313" s="23" t="e">
        <f>VLOOKUP(A313,Revisión!$A$2:$L$703,6,FALSE)</f>
        <v>#N/A</v>
      </c>
      <c r="I313" s="4" t="e">
        <f>VLOOKUP(A313,Revisión!$A$2:$L$703,7,FALSE)</f>
        <v>#N/A</v>
      </c>
      <c r="J313" s="4" t="e">
        <f>VLOOKUP(A313,Revisión!$A$2:$L$703,8,FALSE)</f>
        <v>#N/A</v>
      </c>
      <c r="K313" s="4" t="e">
        <f>VLOOKUP(A313,Revisión!$A$2:$L$703,9,FALSE)</f>
        <v>#N/A</v>
      </c>
      <c r="L313" s="4" t="e">
        <f>VLOOKUP(A313,Revisión!$A$2:$L$703,10,FALSE)</f>
        <v>#N/A</v>
      </c>
      <c r="M313" s="18" t="e">
        <f>VLOOKUP(A313,Revisión!$A$2:$L$703,11,FALSE)</f>
        <v>#N/A</v>
      </c>
      <c r="N313" s="30" t="str">
        <f>IF(E313="Coinciden",D313,IF(E313="Revisar",VLOOKUP(A313,Revisión!$A$2:$L$703,12,FALSE),""))</f>
        <v>Blephilia ciliata</v>
      </c>
    </row>
    <row r="314" spans="1:14" x14ac:dyDescent="0.3">
      <c r="A314" t="s">
        <v>668</v>
      </c>
      <c r="B314" t="s">
        <v>669</v>
      </c>
      <c r="C314" t="s">
        <v>669</v>
      </c>
      <c r="D314" t="s">
        <v>669</v>
      </c>
      <c r="E314" t="s">
        <v>18</v>
      </c>
      <c r="F314" t="s">
        <v>19</v>
      </c>
      <c r="H314" s="23" t="e">
        <f>VLOOKUP(A314,Revisión!$A$2:$L$703,6,FALSE)</f>
        <v>#N/A</v>
      </c>
      <c r="I314" s="4" t="e">
        <f>VLOOKUP(A314,Revisión!$A$2:$L$703,7,FALSE)</f>
        <v>#N/A</v>
      </c>
      <c r="J314" s="4" t="e">
        <f>VLOOKUP(A314,Revisión!$A$2:$L$703,8,FALSE)</f>
        <v>#N/A</v>
      </c>
      <c r="K314" s="4" t="e">
        <f>VLOOKUP(A314,Revisión!$A$2:$L$703,9,FALSE)</f>
        <v>#N/A</v>
      </c>
      <c r="L314" s="4" t="e">
        <f>VLOOKUP(A314,Revisión!$A$2:$L$703,10,FALSE)</f>
        <v>#N/A</v>
      </c>
      <c r="M314" s="18" t="e">
        <f>VLOOKUP(A314,Revisión!$A$2:$L$703,11,FALSE)</f>
        <v>#N/A</v>
      </c>
      <c r="N314" s="30" t="str">
        <f>IF(E314="Coinciden",D314,IF(E314="Revisar",VLOOKUP(A314,Revisión!$A$2:$L$703,12,FALSE),""))</f>
        <v>Blumenbachia insignis</v>
      </c>
    </row>
    <row r="315" spans="1:14" x14ac:dyDescent="0.3">
      <c r="A315" t="s">
        <v>670</v>
      </c>
      <c r="B315" t="s">
        <v>671</v>
      </c>
      <c r="D315" t="s">
        <v>671</v>
      </c>
      <c r="E315" t="s">
        <v>8</v>
      </c>
      <c r="F315" t="s">
        <v>34</v>
      </c>
      <c r="H315" s="23" t="str">
        <f>VLOOKUP(A315,Revisión!$A$2:$L$703,6,FALSE)</f>
        <v>Boltonia asteroides</v>
      </c>
      <c r="I315" s="4" t="str">
        <f>VLOOKUP(A315,Revisión!$A$2:$L$703,7,FALSE)</f>
        <v>Boltonia asteroides</v>
      </c>
      <c r="J315" s="4" t="str">
        <f>VLOOKUP(A315,Revisión!$A$2:$L$703,8,FALSE)</f>
        <v>Boltonia asteroides</v>
      </c>
      <c r="K315" s="4" t="str">
        <f>VLOOKUP(A315,Revisión!$A$2:$L$703,9,FALSE)</f>
        <v>-</v>
      </c>
      <c r="L315" s="4" t="str">
        <f>VLOOKUP(A315,Revisión!$A$2:$L$703,10,FALSE)</f>
        <v>-</v>
      </c>
      <c r="M315" s="18">
        <f>VLOOKUP(A315,Revisión!$A$2:$L$703,11,FALSE)</f>
        <v>3</v>
      </c>
      <c r="N315" s="30" t="str">
        <f>IF(E315="Coinciden",D315,IF(E315="Revisar",VLOOKUP(A315,Revisión!$A$2:$L$703,12,FALSE),""))</f>
        <v>Boltonia asteroides</v>
      </c>
    </row>
    <row r="316" spans="1:14" x14ac:dyDescent="0.3">
      <c r="A316" t="s">
        <v>672</v>
      </c>
      <c r="B316" t="s">
        <v>673</v>
      </c>
      <c r="C316" t="s">
        <v>673</v>
      </c>
      <c r="D316" t="s">
        <v>673</v>
      </c>
      <c r="E316" t="s">
        <v>18</v>
      </c>
      <c r="F316" t="s">
        <v>19</v>
      </c>
      <c r="H316" s="23" t="e">
        <f>VLOOKUP(A316,Revisión!$A$2:$L$703,6,FALSE)</f>
        <v>#N/A</v>
      </c>
      <c r="I316" s="4" t="e">
        <f>VLOOKUP(A316,Revisión!$A$2:$L$703,7,FALSE)</f>
        <v>#N/A</v>
      </c>
      <c r="J316" s="4" t="e">
        <f>VLOOKUP(A316,Revisión!$A$2:$L$703,8,FALSE)</f>
        <v>#N/A</v>
      </c>
      <c r="K316" s="4" t="e">
        <f>VLOOKUP(A316,Revisión!$A$2:$L$703,9,FALSE)</f>
        <v>#N/A</v>
      </c>
      <c r="L316" s="4" t="e">
        <f>VLOOKUP(A316,Revisión!$A$2:$L$703,10,FALSE)</f>
        <v>#N/A</v>
      </c>
      <c r="M316" s="18" t="e">
        <f>VLOOKUP(A316,Revisión!$A$2:$L$703,11,FALSE)</f>
        <v>#N/A</v>
      </c>
      <c r="N316" s="30" t="str">
        <f>IF(E316="Coinciden",D316,IF(E316="Revisar",VLOOKUP(A316,Revisión!$A$2:$L$703,12,FALSE),""))</f>
        <v>Bonnetia sessilis</v>
      </c>
    </row>
    <row r="317" spans="1:14" x14ac:dyDescent="0.3">
      <c r="A317" t="s">
        <v>674</v>
      </c>
      <c r="B317" t="s">
        <v>675</v>
      </c>
      <c r="C317" t="s">
        <v>675</v>
      </c>
      <c r="D317" t="s">
        <v>675</v>
      </c>
      <c r="E317" t="s">
        <v>18</v>
      </c>
      <c r="F317" t="s">
        <v>19</v>
      </c>
      <c r="H317" s="23" t="e">
        <f>VLOOKUP(A317,Revisión!$A$2:$L$703,6,FALSE)</f>
        <v>#N/A</v>
      </c>
      <c r="I317" s="4" t="e">
        <f>VLOOKUP(A317,Revisión!$A$2:$L$703,7,FALSE)</f>
        <v>#N/A</v>
      </c>
      <c r="J317" s="4" t="e">
        <f>VLOOKUP(A317,Revisión!$A$2:$L$703,8,FALSE)</f>
        <v>#N/A</v>
      </c>
      <c r="K317" s="4" t="e">
        <f>VLOOKUP(A317,Revisión!$A$2:$L$703,9,FALSE)</f>
        <v>#N/A</v>
      </c>
      <c r="L317" s="4" t="e">
        <f>VLOOKUP(A317,Revisión!$A$2:$L$703,10,FALSE)</f>
        <v>#N/A</v>
      </c>
      <c r="M317" s="18" t="e">
        <f>VLOOKUP(A317,Revisión!$A$2:$L$703,11,FALSE)</f>
        <v>#N/A</v>
      </c>
      <c r="N317" s="30" t="str">
        <f>IF(E317="Coinciden",D317,IF(E317="Revisar",VLOOKUP(A317,Revisión!$A$2:$L$703,12,FALSE),""))</f>
        <v>Spermacoce tenuior</v>
      </c>
    </row>
    <row r="318" spans="1:14" x14ac:dyDescent="0.3">
      <c r="A318" t="s">
        <v>676</v>
      </c>
      <c r="B318" t="s">
        <v>677</v>
      </c>
      <c r="C318" t="s">
        <v>677</v>
      </c>
      <c r="D318" t="s">
        <v>677</v>
      </c>
      <c r="E318" t="s">
        <v>18</v>
      </c>
      <c r="F318" t="s">
        <v>19</v>
      </c>
      <c r="H318" s="23" t="e">
        <f>VLOOKUP(A318,Revisión!$A$2:$L$703,6,FALSE)</f>
        <v>#N/A</v>
      </c>
      <c r="I318" s="4" t="e">
        <f>VLOOKUP(A318,Revisión!$A$2:$L$703,7,FALSE)</f>
        <v>#N/A</v>
      </c>
      <c r="J318" s="4" t="e">
        <f>VLOOKUP(A318,Revisión!$A$2:$L$703,8,FALSE)</f>
        <v>#N/A</v>
      </c>
      <c r="K318" s="4" t="e">
        <f>VLOOKUP(A318,Revisión!$A$2:$L$703,9,FALSE)</f>
        <v>#N/A</v>
      </c>
      <c r="L318" s="4" t="e">
        <f>VLOOKUP(A318,Revisión!$A$2:$L$703,10,FALSE)</f>
        <v>#N/A</v>
      </c>
      <c r="M318" s="18" t="e">
        <f>VLOOKUP(A318,Revisión!$A$2:$L$703,11,FALSE)</f>
        <v>#N/A</v>
      </c>
      <c r="N318" s="30" t="str">
        <f>IF(E318="Coinciden",D318,IF(E318="Revisar",VLOOKUP(A318,Revisión!$A$2:$L$703,12,FALSE),""))</f>
        <v>Spermacoce capitata</v>
      </c>
    </row>
    <row r="319" spans="1:14" x14ac:dyDescent="0.3">
      <c r="A319" t="s">
        <v>678</v>
      </c>
      <c r="E319" t="s">
        <v>8</v>
      </c>
      <c r="F319" t="s">
        <v>11</v>
      </c>
      <c r="H319" s="23" t="e">
        <f>VLOOKUP(A319,Revisión!$A$2:$L$703,6,FALSE)</f>
        <v>#N/A</v>
      </c>
      <c r="I319" s="4" t="e">
        <f>VLOOKUP(A319,Revisión!$A$2:$L$703,7,FALSE)</f>
        <v>#N/A</v>
      </c>
      <c r="J319" s="4" t="e">
        <f>VLOOKUP(A319,Revisión!$A$2:$L$703,8,FALSE)</f>
        <v>#N/A</v>
      </c>
      <c r="K319" s="4" t="e">
        <f>VLOOKUP(A319,Revisión!$A$2:$L$703,9,FALSE)</f>
        <v>#N/A</v>
      </c>
      <c r="L319" s="4" t="e">
        <f>VLOOKUP(A319,Revisión!$A$2:$L$703,10,FALSE)</f>
        <v>#N/A</v>
      </c>
      <c r="M319" s="18" t="e">
        <f>VLOOKUP(A319,Revisión!$A$2:$L$703,11,FALSE)</f>
        <v>#N/A</v>
      </c>
      <c r="N319" s="30" t="e">
        <f>IF(E319="Coinciden",D319,IF(E319="Revisar",VLOOKUP(A319,Revisión!$A$2:$L$703,12,FALSE),""))</f>
        <v>#N/A</v>
      </c>
    </row>
    <row r="320" spans="1:14" x14ac:dyDescent="0.3">
      <c r="A320" t="s">
        <v>679</v>
      </c>
      <c r="B320" t="s">
        <v>680</v>
      </c>
      <c r="C320" t="s">
        <v>680</v>
      </c>
      <c r="D320" t="s">
        <v>680</v>
      </c>
      <c r="E320" t="s">
        <v>18</v>
      </c>
      <c r="F320" t="s">
        <v>19</v>
      </c>
      <c r="H320" s="23" t="e">
        <f>VLOOKUP(A320,Revisión!$A$2:$L$703,6,FALSE)</f>
        <v>#N/A</v>
      </c>
      <c r="I320" s="4" t="e">
        <f>VLOOKUP(A320,Revisión!$A$2:$L$703,7,FALSE)</f>
        <v>#N/A</v>
      </c>
      <c r="J320" s="4" t="e">
        <f>VLOOKUP(A320,Revisión!$A$2:$L$703,8,FALSE)</f>
        <v>#N/A</v>
      </c>
      <c r="K320" s="4" t="e">
        <f>VLOOKUP(A320,Revisión!$A$2:$L$703,9,FALSE)</f>
        <v>#N/A</v>
      </c>
      <c r="L320" s="4" t="e">
        <f>VLOOKUP(A320,Revisión!$A$2:$L$703,10,FALSE)</f>
        <v>#N/A</v>
      </c>
      <c r="M320" s="18" t="e">
        <f>VLOOKUP(A320,Revisión!$A$2:$L$703,11,FALSE)</f>
        <v>#N/A</v>
      </c>
      <c r="N320" s="30" t="str">
        <f>IF(E320="Coinciden",D320,IF(E320="Revisar",VLOOKUP(A320,Revisión!$A$2:$L$703,12,FALSE),""))</f>
        <v>Bourreria succulenta</v>
      </c>
    </row>
    <row r="321" spans="1:14" x14ac:dyDescent="0.3">
      <c r="A321" t="s">
        <v>681</v>
      </c>
      <c r="B321" t="s">
        <v>682</v>
      </c>
      <c r="C321" t="s">
        <v>682</v>
      </c>
      <c r="D321" t="s">
        <v>682</v>
      </c>
      <c r="E321" t="s">
        <v>18</v>
      </c>
      <c r="F321" t="s">
        <v>19</v>
      </c>
      <c r="H321" s="23" t="e">
        <f>VLOOKUP(A321,Revisión!$A$2:$L$703,6,FALSE)</f>
        <v>#N/A</v>
      </c>
      <c r="I321" s="4" t="e">
        <f>VLOOKUP(A321,Revisión!$A$2:$L$703,7,FALSE)</f>
        <v>#N/A</v>
      </c>
      <c r="J321" s="4" t="e">
        <f>VLOOKUP(A321,Revisión!$A$2:$L$703,8,FALSE)</f>
        <v>#N/A</v>
      </c>
      <c r="K321" s="4" t="e">
        <f>VLOOKUP(A321,Revisión!$A$2:$L$703,9,FALSE)</f>
        <v>#N/A</v>
      </c>
      <c r="L321" s="4" t="e">
        <f>VLOOKUP(A321,Revisión!$A$2:$L$703,10,FALSE)</f>
        <v>#N/A</v>
      </c>
      <c r="M321" s="18" t="e">
        <f>VLOOKUP(A321,Revisión!$A$2:$L$703,11,FALSE)</f>
        <v>#N/A</v>
      </c>
      <c r="N321" s="30" t="str">
        <f>IF(E321="Coinciden",D321,IF(E321="Revisar",VLOOKUP(A321,Revisión!$A$2:$L$703,12,FALSE),""))</f>
        <v>Bowlesia tropaeolifolia</v>
      </c>
    </row>
    <row r="322" spans="1:14" x14ac:dyDescent="0.3">
      <c r="A322" t="s">
        <v>683</v>
      </c>
      <c r="C322" t="s">
        <v>684</v>
      </c>
      <c r="D322" t="s">
        <v>684</v>
      </c>
      <c r="E322" t="s">
        <v>8</v>
      </c>
      <c r="F322" t="s">
        <v>49</v>
      </c>
      <c r="H322" s="23" t="str">
        <f>VLOOKUP(A322,Revisión!$A$2:$L$703,6,FALSE)</f>
        <v>Brachyscome stolonifera</v>
      </c>
      <c r="I322" s="4" t="str">
        <f>VLOOKUP(A322,Revisión!$A$2:$L$703,7,FALSE)</f>
        <v>Brachyscome stolonifera</v>
      </c>
      <c r="J322" s="4" t="str">
        <f>VLOOKUP(A322,Revisión!$A$2:$L$703,8,FALSE)</f>
        <v>Brachyscome stolonifera</v>
      </c>
      <c r="K322" s="4" t="str">
        <f>VLOOKUP(A322,Revisión!$A$2:$L$703,9,FALSE)</f>
        <v>-</v>
      </c>
      <c r="L322" s="4" t="str">
        <f>VLOOKUP(A322,Revisión!$A$2:$L$703,10,FALSE)</f>
        <v>-</v>
      </c>
      <c r="M322" s="18">
        <f>VLOOKUP(A322,Revisión!$A$2:$L$703,11,FALSE)</f>
        <v>3</v>
      </c>
      <c r="N322" s="30" t="str">
        <f>IF(E322="Coinciden",D322,IF(E322="Revisar",VLOOKUP(A322,Revisión!$A$2:$L$703,12,FALSE),""))</f>
        <v>Brachyscome stolonifera</v>
      </c>
    </row>
    <row r="323" spans="1:14" x14ac:dyDescent="0.3">
      <c r="A323" t="s">
        <v>685</v>
      </c>
      <c r="C323" t="s">
        <v>686</v>
      </c>
      <c r="D323" t="s">
        <v>686</v>
      </c>
      <c r="E323" t="s">
        <v>8</v>
      </c>
      <c r="F323" t="s">
        <v>49</v>
      </c>
      <c r="H323" s="23" t="str">
        <f>VLOOKUP(A323,Revisión!$A$2:$L$703,6,FALSE)</f>
        <v>Brachyscome scapigera</v>
      </c>
      <c r="I323" s="4" t="str">
        <f>VLOOKUP(A323,Revisión!$A$2:$L$703,7,FALSE)</f>
        <v>Brachyscome scapigera</v>
      </c>
      <c r="J323" s="4" t="str">
        <f>VLOOKUP(A323,Revisión!$A$2:$L$703,8,FALSE)</f>
        <v>Brachyscome scapigera</v>
      </c>
      <c r="K323" s="4" t="str">
        <f>VLOOKUP(A323,Revisión!$A$2:$L$703,9,FALSE)</f>
        <v>-</v>
      </c>
      <c r="L323" s="4" t="str">
        <f>VLOOKUP(A323,Revisión!$A$2:$L$703,10,FALSE)</f>
        <v>-</v>
      </c>
      <c r="M323" s="18">
        <f>VLOOKUP(A323,Revisión!$A$2:$L$703,11,FALSE)</f>
        <v>3</v>
      </c>
      <c r="N323" s="30" t="str">
        <f>IF(E323="Coinciden",D323,IF(E323="Revisar",VLOOKUP(A323,Revisión!$A$2:$L$703,12,FALSE),""))</f>
        <v>Brachyscome scapigera</v>
      </c>
    </row>
    <row r="324" spans="1:14" x14ac:dyDescent="0.3">
      <c r="A324" t="s">
        <v>687</v>
      </c>
      <c r="C324" t="s">
        <v>688</v>
      </c>
      <c r="D324" t="s">
        <v>689</v>
      </c>
      <c r="E324" t="s">
        <v>8</v>
      </c>
      <c r="F324" t="s">
        <v>9</v>
      </c>
      <c r="H324" s="23" t="str">
        <f>VLOOKUP(A324,Revisión!$A$2:$L$703,6,FALSE)</f>
        <v>Brachyscome tenuiscapa</v>
      </c>
      <c r="I324" s="4" t="str">
        <f>VLOOKUP(A324,Revisión!$A$2:$L$703,7,FALSE)</f>
        <v>Brachyscome scapiformis</v>
      </c>
      <c r="J324" s="4" t="str">
        <f>VLOOKUP(A324,Revisión!$A$2:$L$703,8,FALSE)</f>
        <v>Brachyscome tenuiscapa var. tenuiscapa</v>
      </c>
      <c r="K324" s="4" t="str">
        <f>VLOOKUP(A324,Revisión!$A$2:$L$703,9,FALSE)</f>
        <v>-</v>
      </c>
      <c r="L324" s="4" t="str">
        <f>VLOOKUP(A324,Revisión!$A$2:$L$703,10,FALSE)</f>
        <v>-</v>
      </c>
      <c r="M324" s="18">
        <f>VLOOKUP(A324,Revisión!$A$2:$L$703,11,FALSE)</f>
        <v>2</v>
      </c>
      <c r="N324" s="30" t="str">
        <f>IF(E324="Coinciden",D324,IF(E324="Revisar",VLOOKUP(A324,Revisión!$A$2:$L$703,12,FALSE),""))</f>
        <v>Brachyscome tenuiscapa</v>
      </c>
    </row>
    <row r="325" spans="1:14" x14ac:dyDescent="0.3">
      <c r="A325" t="s">
        <v>690</v>
      </c>
      <c r="C325" t="s">
        <v>691</v>
      </c>
      <c r="D325" t="s">
        <v>691</v>
      </c>
      <c r="E325" t="s">
        <v>8</v>
      </c>
      <c r="F325" t="s">
        <v>49</v>
      </c>
      <c r="H325" s="23" t="str">
        <f>VLOOKUP(A325,Revisión!$A$2:$L$703,6,FALSE)</f>
        <v>Brachyscome sinclairii</v>
      </c>
      <c r="I325" s="4" t="str">
        <f>VLOOKUP(A325,Revisión!$A$2:$L$703,7,FALSE)</f>
        <v>Brachyscome sinclairii</v>
      </c>
      <c r="J325" s="4" t="str">
        <f>VLOOKUP(A325,Revisión!$A$2:$L$703,8,FALSE)</f>
        <v>Brachyscome sinclairii</v>
      </c>
      <c r="K325" s="4" t="str">
        <f>VLOOKUP(A325,Revisión!$A$2:$L$703,9,FALSE)</f>
        <v>-</v>
      </c>
      <c r="L325" s="4" t="str">
        <f>VLOOKUP(A325,Revisión!$A$2:$L$703,10,FALSE)</f>
        <v>-</v>
      </c>
      <c r="M325" s="18">
        <f>VLOOKUP(A325,Revisión!$A$2:$L$703,11,FALSE)</f>
        <v>3</v>
      </c>
      <c r="N325" s="30" t="str">
        <f>IF(E325="Coinciden",D325,IF(E325="Revisar",VLOOKUP(A325,Revisión!$A$2:$L$703,12,FALSE),""))</f>
        <v>Brachyscome sinclairii</v>
      </c>
    </row>
    <row r="326" spans="1:14" x14ac:dyDescent="0.3">
      <c r="A326" t="s">
        <v>692</v>
      </c>
      <c r="E326" t="s">
        <v>8</v>
      </c>
      <c r="F326" t="s">
        <v>11</v>
      </c>
      <c r="H326" s="23" t="e">
        <f>VLOOKUP(A326,Revisión!$A$2:$L$703,6,FALSE)</f>
        <v>#N/A</v>
      </c>
      <c r="I326" s="4" t="e">
        <f>VLOOKUP(A326,Revisión!$A$2:$L$703,7,FALSE)</f>
        <v>#N/A</v>
      </c>
      <c r="J326" s="4" t="e">
        <f>VLOOKUP(A326,Revisión!$A$2:$L$703,8,FALSE)</f>
        <v>#N/A</v>
      </c>
      <c r="K326" s="4" t="e">
        <f>VLOOKUP(A326,Revisión!$A$2:$L$703,9,FALSE)</f>
        <v>#N/A</v>
      </c>
      <c r="L326" s="4" t="e">
        <f>VLOOKUP(A326,Revisión!$A$2:$L$703,10,FALSE)</f>
        <v>#N/A</v>
      </c>
      <c r="M326" s="18" t="e">
        <f>VLOOKUP(A326,Revisión!$A$2:$L$703,11,FALSE)</f>
        <v>#N/A</v>
      </c>
      <c r="N326" s="30" t="e">
        <f>IF(E326="Coinciden",D326,IF(E326="Revisar",VLOOKUP(A326,Revisión!$A$2:$L$703,12,FALSE),""))</f>
        <v>#N/A</v>
      </c>
    </row>
    <row r="327" spans="1:14" x14ac:dyDescent="0.3">
      <c r="A327" t="s">
        <v>693</v>
      </c>
      <c r="B327" t="s">
        <v>694</v>
      </c>
      <c r="C327" t="s">
        <v>695</v>
      </c>
      <c r="D327" t="s">
        <v>696</v>
      </c>
      <c r="E327" t="s">
        <v>8</v>
      </c>
      <c r="F327" t="s">
        <v>295</v>
      </c>
      <c r="H327" s="23" t="str">
        <f>VLOOKUP(A327,Revisión!$A$2:$L$703,6,FALSE)</f>
        <v>Brassica rapa subsp. sylvestris </v>
      </c>
      <c r="I327" s="4" t="str">
        <f>VLOOKUP(A327,Revisión!$A$2:$L$703,7,FALSE)</f>
        <v>Brassica rapa subsp. oleifera</v>
      </c>
      <c r="J327" s="4" t="str">
        <f>VLOOKUP(A327,Revisión!$A$2:$L$703,8,FALSE)</f>
        <v>Brassica rapa</v>
      </c>
      <c r="K327" s="4" t="str">
        <f>VLOOKUP(A327,Revisión!$A$2:$L$703,9,FALSE)</f>
        <v>-</v>
      </c>
      <c r="L327" s="4" t="str">
        <f>VLOOKUP(A327,Revisión!$A$2:$L$703,10,FALSE)</f>
        <v>-</v>
      </c>
      <c r="M327" s="18">
        <f>VLOOKUP(A327,Revisión!$A$2:$L$703,11,FALSE)</f>
        <v>3</v>
      </c>
      <c r="N327" s="30" t="str">
        <f>IF(E327="Coinciden",D327,IF(E327="Revisar",VLOOKUP(A327,Revisión!$A$2:$L$703,12,FALSE),""))</f>
        <v>Brassica rapa</v>
      </c>
    </row>
    <row r="328" spans="1:14" x14ac:dyDescent="0.3">
      <c r="A328" t="s">
        <v>697</v>
      </c>
      <c r="B328" t="s">
        <v>698</v>
      </c>
      <c r="C328" t="s">
        <v>698</v>
      </c>
      <c r="D328" t="s">
        <v>698</v>
      </c>
      <c r="E328" t="s">
        <v>18</v>
      </c>
      <c r="F328" t="s">
        <v>19</v>
      </c>
      <c r="H328" s="23" t="e">
        <f>VLOOKUP(A328,Revisión!$A$2:$L$703,6,FALSE)</f>
        <v>#N/A</v>
      </c>
      <c r="I328" s="4" t="e">
        <f>VLOOKUP(A328,Revisión!$A$2:$L$703,7,FALSE)</f>
        <v>#N/A</v>
      </c>
      <c r="J328" s="4" t="e">
        <f>VLOOKUP(A328,Revisión!$A$2:$L$703,8,FALSE)</f>
        <v>#N/A</v>
      </c>
      <c r="K328" s="4" t="e">
        <f>VLOOKUP(A328,Revisión!$A$2:$L$703,9,FALSE)</f>
        <v>#N/A</v>
      </c>
      <c r="L328" s="4" t="e">
        <f>VLOOKUP(A328,Revisión!$A$2:$L$703,10,FALSE)</f>
        <v>#N/A</v>
      </c>
      <c r="M328" s="18" t="e">
        <f>VLOOKUP(A328,Revisión!$A$2:$L$703,11,FALSE)</f>
        <v>#N/A</v>
      </c>
      <c r="N328" s="30" t="str">
        <f>IF(E328="Coinciden",D328,IF(E328="Revisar",VLOOKUP(A328,Revisión!$A$2:$L$703,12,FALSE),""))</f>
        <v>Brassica fruticulosa</v>
      </c>
    </row>
    <row r="329" spans="1:14" x14ac:dyDescent="0.3">
      <c r="A329" t="s">
        <v>699</v>
      </c>
      <c r="B329" t="s">
        <v>700</v>
      </c>
      <c r="C329" t="s">
        <v>700</v>
      </c>
      <c r="D329" t="s">
        <v>700</v>
      </c>
      <c r="E329" t="s">
        <v>18</v>
      </c>
      <c r="F329" t="s">
        <v>19</v>
      </c>
      <c r="H329" s="23" t="e">
        <f>VLOOKUP(A329,Revisión!$A$2:$L$703,6,FALSE)</f>
        <v>#N/A</v>
      </c>
      <c r="I329" s="4" t="e">
        <f>VLOOKUP(A329,Revisión!$A$2:$L$703,7,FALSE)</f>
        <v>#N/A</v>
      </c>
      <c r="J329" s="4" t="e">
        <f>VLOOKUP(A329,Revisión!$A$2:$L$703,8,FALSE)</f>
        <v>#N/A</v>
      </c>
      <c r="K329" s="4" t="e">
        <f>VLOOKUP(A329,Revisión!$A$2:$L$703,9,FALSE)</f>
        <v>#N/A</v>
      </c>
      <c r="L329" s="4" t="e">
        <f>VLOOKUP(A329,Revisión!$A$2:$L$703,10,FALSE)</f>
        <v>#N/A</v>
      </c>
      <c r="M329" s="18" t="e">
        <f>VLOOKUP(A329,Revisión!$A$2:$L$703,11,FALSE)</f>
        <v>#N/A</v>
      </c>
      <c r="N329" s="30" t="str">
        <f>IF(E329="Coinciden",D329,IF(E329="Revisar",VLOOKUP(A329,Revisión!$A$2:$L$703,12,FALSE),""))</f>
        <v>Echinacea purpurea</v>
      </c>
    </row>
    <row r="330" spans="1:14" x14ac:dyDescent="0.3">
      <c r="A330" t="s">
        <v>701</v>
      </c>
      <c r="B330" t="s">
        <v>702</v>
      </c>
      <c r="C330" t="s">
        <v>702</v>
      </c>
      <c r="D330" t="s">
        <v>702</v>
      </c>
      <c r="E330" t="s">
        <v>18</v>
      </c>
      <c r="F330" t="s">
        <v>19</v>
      </c>
      <c r="H330" s="23" t="e">
        <f>VLOOKUP(A330,Revisión!$A$2:$L$703,6,FALSE)</f>
        <v>#N/A</v>
      </c>
      <c r="I330" s="4" t="e">
        <f>VLOOKUP(A330,Revisión!$A$2:$L$703,7,FALSE)</f>
        <v>#N/A</v>
      </c>
      <c r="J330" s="4" t="e">
        <f>VLOOKUP(A330,Revisión!$A$2:$L$703,8,FALSE)</f>
        <v>#N/A</v>
      </c>
      <c r="K330" s="4" t="e">
        <f>VLOOKUP(A330,Revisión!$A$2:$L$703,9,FALSE)</f>
        <v>#N/A</v>
      </c>
      <c r="L330" s="4" t="e">
        <f>VLOOKUP(A330,Revisión!$A$2:$L$703,10,FALSE)</f>
        <v>#N/A</v>
      </c>
      <c r="M330" s="18" t="e">
        <f>VLOOKUP(A330,Revisión!$A$2:$L$703,11,FALSE)</f>
        <v>#N/A</v>
      </c>
      <c r="N330" s="30" t="str">
        <f>IF(E330="Coinciden",D330,IF(E330="Revisar",VLOOKUP(A330,Revisión!$A$2:$L$703,12,FALSE),""))</f>
        <v>Echinacea pallida</v>
      </c>
    </row>
    <row r="331" spans="1:14" x14ac:dyDescent="0.3">
      <c r="A331" t="s">
        <v>703</v>
      </c>
      <c r="E331" t="s">
        <v>8</v>
      </c>
      <c r="F331" t="s">
        <v>11</v>
      </c>
      <c r="H331" s="23" t="e">
        <f>VLOOKUP(A331,Revisión!$A$2:$L$703,6,FALSE)</f>
        <v>#N/A</v>
      </c>
      <c r="I331" s="4" t="e">
        <f>VLOOKUP(A331,Revisión!$A$2:$L$703,7,FALSE)</f>
        <v>#N/A</v>
      </c>
      <c r="J331" s="4" t="e">
        <f>VLOOKUP(A331,Revisión!$A$2:$L$703,8,FALSE)</f>
        <v>#N/A</v>
      </c>
      <c r="K331" s="4" t="e">
        <f>VLOOKUP(A331,Revisión!$A$2:$L$703,9,FALSE)</f>
        <v>#N/A</v>
      </c>
      <c r="L331" s="4" t="e">
        <f>VLOOKUP(A331,Revisión!$A$2:$L$703,10,FALSE)</f>
        <v>#N/A</v>
      </c>
      <c r="M331" s="18" t="e">
        <f>VLOOKUP(A331,Revisión!$A$2:$L$703,11,FALSE)</f>
        <v>#N/A</v>
      </c>
      <c r="N331" s="30" t="e">
        <f>IF(E331="Coinciden",D331,IF(E331="Revisar",VLOOKUP(A331,Revisión!$A$2:$L$703,12,FALSE),""))</f>
        <v>#N/A</v>
      </c>
    </row>
    <row r="332" spans="1:14" x14ac:dyDescent="0.3">
      <c r="A332" t="s">
        <v>704</v>
      </c>
      <c r="B332" t="s">
        <v>705</v>
      </c>
      <c r="C332" t="s">
        <v>705</v>
      </c>
      <c r="D332" t="s">
        <v>705</v>
      </c>
      <c r="E332" t="s">
        <v>18</v>
      </c>
      <c r="F332" t="s">
        <v>19</v>
      </c>
      <c r="H332" s="23" t="e">
        <f>VLOOKUP(A332,Revisión!$A$2:$L$703,6,FALSE)</f>
        <v>#N/A</v>
      </c>
      <c r="I332" s="4" t="e">
        <f>VLOOKUP(A332,Revisión!$A$2:$L$703,7,FALSE)</f>
        <v>#N/A</v>
      </c>
      <c r="J332" s="4" t="e">
        <f>VLOOKUP(A332,Revisión!$A$2:$L$703,8,FALSE)</f>
        <v>#N/A</v>
      </c>
      <c r="K332" s="4" t="e">
        <f>VLOOKUP(A332,Revisión!$A$2:$L$703,9,FALSE)</f>
        <v>#N/A</v>
      </c>
      <c r="L332" s="4" t="e">
        <f>VLOOKUP(A332,Revisión!$A$2:$L$703,10,FALSE)</f>
        <v>#N/A</v>
      </c>
      <c r="M332" s="18" t="e">
        <f>VLOOKUP(A332,Revisión!$A$2:$L$703,11,FALSE)</f>
        <v>#N/A</v>
      </c>
      <c r="N332" s="30" t="str">
        <f>IF(E332="Coinciden",D332,IF(E332="Revisar",VLOOKUP(A332,Revisión!$A$2:$L$703,12,FALSE),""))</f>
        <v>Bredia hirsuta</v>
      </c>
    </row>
    <row r="333" spans="1:14" x14ac:dyDescent="0.3">
      <c r="A333" t="s">
        <v>706</v>
      </c>
      <c r="B333" t="s">
        <v>707</v>
      </c>
      <c r="C333" t="s">
        <v>707</v>
      </c>
      <c r="D333" t="s">
        <v>707</v>
      </c>
      <c r="E333" t="s">
        <v>18</v>
      </c>
      <c r="F333" t="s">
        <v>19</v>
      </c>
      <c r="H333" s="23" t="e">
        <f>VLOOKUP(A333,Revisión!$A$2:$L$703,6,FALSE)</f>
        <v>#N/A</v>
      </c>
      <c r="I333" s="4" t="e">
        <f>VLOOKUP(A333,Revisión!$A$2:$L$703,7,FALSE)</f>
        <v>#N/A</v>
      </c>
      <c r="J333" s="4" t="e">
        <f>VLOOKUP(A333,Revisión!$A$2:$L$703,8,FALSE)</f>
        <v>#N/A</v>
      </c>
      <c r="K333" s="4" t="e">
        <f>VLOOKUP(A333,Revisión!$A$2:$L$703,9,FALSE)</f>
        <v>#N/A</v>
      </c>
      <c r="L333" s="4" t="e">
        <f>VLOOKUP(A333,Revisión!$A$2:$L$703,10,FALSE)</f>
        <v>#N/A</v>
      </c>
      <c r="M333" s="18" t="e">
        <f>VLOOKUP(A333,Revisión!$A$2:$L$703,11,FALSE)</f>
        <v>#N/A</v>
      </c>
      <c r="N333" s="30" t="str">
        <f>IF(E333="Coinciden",D333,IF(E333="Revisar",VLOOKUP(A333,Revisión!$A$2:$L$703,12,FALSE),""))</f>
        <v>Brocchinia acuminata</v>
      </c>
    </row>
    <row r="334" spans="1:14" x14ac:dyDescent="0.3">
      <c r="A334" t="s">
        <v>708</v>
      </c>
      <c r="B334" t="s">
        <v>709</v>
      </c>
      <c r="C334" t="s">
        <v>709</v>
      </c>
      <c r="D334" t="s">
        <v>709</v>
      </c>
      <c r="E334" t="s">
        <v>18</v>
      </c>
      <c r="F334" t="s">
        <v>19</v>
      </c>
      <c r="H334" s="23" t="e">
        <f>VLOOKUP(A334,Revisión!$A$2:$L$703,6,FALSE)</f>
        <v>#N/A</v>
      </c>
      <c r="I334" s="4" t="e">
        <f>VLOOKUP(A334,Revisión!$A$2:$L$703,7,FALSE)</f>
        <v>#N/A</v>
      </c>
      <c r="J334" s="4" t="e">
        <f>VLOOKUP(A334,Revisión!$A$2:$L$703,8,FALSE)</f>
        <v>#N/A</v>
      </c>
      <c r="K334" s="4" t="e">
        <f>VLOOKUP(A334,Revisión!$A$2:$L$703,9,FALSE)</f>
        <v>#N/A</v>
      </c>
      <c r="L334" s="4" t="e">
        <f>VLOOKUP(A334,Revisión!$A$2:$L$703,10,FALSE)</f>
        <v>#N/A</v>
      </c>
      <c r="M334" s="18" t="e">
        <f>VLOOKUP(A334,Revisión!$A$2:$L$703,11,FALSE)</f>
        <v>#N/A</v>
      </c>
      <c r="N334" s="30" t="str">
        <f>IF(E334="Coinciden",D334,IF(E334="Revisar",VLOOKUP(A334,Revisión!$A$2:$L$703,12,FALSE),""))</f>
        <v>Broughtonia sanguinea</v>
      </c>
    </row>
    <row r="335" spans="1:14" x14ac:dyDescent="0.3">
      <c r="A335" t="s">
        <v>710</v>
      </c>
      <c r="C335" t="s">
        <v>711</v>
      </c>
      <c r="D335" t="s">
        <v>711</v>
      </c>
      <c r="E335" t="s">
        <v>8</v>
      </c>
      <c r="F335" t="s">
        <v>49</v>
      </c>
      <c r="H335" s="23" t="str">
        <f>VLOOKUP(A335,Revisión!$A$2:$L$703,6,FALSE)</f>
        <v>Buddleja davidii</v>
      </c>
      <c r="I335" s="4" t="str">
        <f>VLOOKUP(A335,Revisión!$A$2:$L$703,7,FALSE)</f>
        <v>Buddleja davidii</v>
      </c>
      <c r="J335" s="4" t="str">
        <f>VLOOKUP(A335,Revisión!$A$2:$L$703,8,FALSE)</f>
        <v>Buddleja davidii</v>
      </c>
      <c r="K335" s="4" t="str">
        <f>VLOOKUP(A335,Revisión!$A$2:$L$703,9,FALSE)</f>
        <v>-</v>
      </c>
      <c r="L335" s="4" t="str">
        <f>VLOOKUP(A335,Revisión!$A$2:$L$703,10,FALSE)</f>
        <v>-</v>
      </c>
      <c r="M335" s="18">
        <f>VLOOKUP(A335,Revisión!$A$2:$L$703,11,FALSE)</f>
        <v>3</v>
      </c>
      <c r="N335" s="30" t="str">
        <f>IF(E335="Coinciden",D335,IF(E335="Revisar",VLOOKUP(A335,Revisión!$A$2:$L$703,12,FALSE),""))</f>
        <v>Buddleja davidii</v>
      </c>
    </row>
    <row r="336" spans="1:14" x14ac:dyDescent="0.3">
      <c r="A336" t="s">
        <v>712</v>
      </c>
      <c r="B336" t="s">
        <v>713</v>
      </c>
      <c r="C336" t="s">
        <v>713</v>
      </c>
      <c r="D336" t="s">
        <v>713</v>
      </c>
      <c r="E336" t="s">
        <v>18</v>
      </c>
      <c r="F336" t="s">
        <v>19</v>
      </c>
      <c r="H336" s="23" t="e">
        <f>VLOOKUP(A336,Revisión!$A$2:$L$703,6,FALSE)</f>
        <v>#N/A</v>
      </c>
      <c r="I336" s="4" t="e">
        <f>VLOOKUP(A336,Revisión!$A$2:$L$703,7,FALSE)</f>
        <v>#N/A</v>
      </c>
      <c r="J336" s="4" t="e">
        <f>VLOOKUP(A336,Revisión!$A$2:$L$703,8,FALSE)</f>
        <v>#N/A</v>
      </c>
      <c r="K336" s="4" t="e">
        <f>VLOOKUP(A336,Revisión!$A$2:$L$703,9,FALSE)</f>
        <v>#N/A</v>
      </c>
      <c r="L336" s="4" t="e">
        <f>VLOOKUP(A336,Revisión!$A$2:$L$703,10,FALSE)</f>
        <v>#N/A</v>
      </c>
      <c r="M336" s="18" t="e">
        <f>VLOOKUP(A336,Revisión!$A$2:$L$703,11,FALSE)</f>
        <v>#N/A</v>
      </c>
      <c r="N336" s="30" t="str">
        <f>IF(E336="Coinciden",D336,IF(E336="Revisar",VLOOKUP(A336,Revisión!$A$2:$L$703,12,FALSE),""))</f>
        <v>Bunchosia glandulosa</v>
      </c>
    </row>
    <row r="337" spans="1:14" x14ac:dyDescent="0.3">
      <c r="A337" t="s">
        <v>714</v>
      </c>
      <c r="B337" t="s">
        <v>715</v>
      </c>
      <c r="C337" t="s">
        <v>715</v>
      </c>
      <c r="D337" t="s">
        <v>715</v>
      </c>
      <c r="E337" t="s">
        <v>18</v>
      </c>
      <c r="F337" t="s">
        <v>19</v>
      </c>
      <c r="H337" s="23" t="e">
        <f>VLOOKUP(A337,Revisión!$A$2:$L$703,6,FALSE)</f>
        <v>#N/A</v>
      </c>
      <c r="I337" s="4" t="e">
        <f>VLOOKUP(A337,Revisión!$A$2:$L$703,7,FALSE)</f>
        <v>#N/A</v>
      </c>
      <c r="J337" s="4" t="e">
        <f>VLOOKUP(A337,Revisión!$A$2:$L$703,8,FALSE)</f>
        <v>#N/A</v>
      </c>
      <c r="K337" s="4" t="e">
        <f>VLOOKUP(A337,Revisión!$A$2:$L$703,9,FALSE)</f>
        <v>#N/A</v>
      </c>
      <c r="L337" s="4" t="e">
        <f>VLOOKUP(A337,Revisión!$A$2:$L$703,10,FALSE)</f>
        <v>#N/A</v>
      </c>
      <c r="M337" s="18" t="e">
        <f>VLOOKUP(A337,Revisión!$A$2:$L$703,11,FALSE)</f>
        <v>#N/A</v>
      </c>
      <c r="N337" s="30" t="str">
        <f>IF(E337="Coinciden",D337,IF(E337="Revisar",VLOOKUP(A337,Revisión!$A$2:$L$703,12,FALSE),""))</f>
        <v>Bursera graveolens</v>
      </c>
    </row>
    <row r="338" spans="1:14" x14ac:dyDescent="0.3">
      <c r="A338" t="s">
        <v>716</v>
      </c>
      <c r="B338" t="s">
        <v>717</v>
      </c>
      <c r="C338" t="s">
        <v>717</v>
      </c>
      <c r="D338" t="s">
        <v>717</v>
      </c>
      <c r="E338" t="s">
        <v>18</v>
      </c>
      <c r="F338" t="s">
        <v>19</v>
      </c>
      <c r="H338" s="23" t="e">
        <f>VLOOKUP(A338,Revisión!$A$2:$L$703,6,FALSE)</f>
        <v>#N/A</v>
      </c>
      <c r="I338" s="4" t="e">
        <f>VLOOKUP(A338,Revisión!$A$2:$L$703,7,FALSE)</f>
        <v>#N/A</v>
      </c>
      <c r="J338" s="4" t="e">
        <f>VLOOKUP(A338,Revisión!$A$2:$L$703,8,FALSE)</f>
        <v>#N/A</v>
      </c>
      <c r="K338" s="4" t="e">
        <f>VLOOKUP(A338,Revisión!$A$2:$L$703,9,FALSE)</f>
        <v>#N/A</v>
      </c>
      <c r="L338" s="4" t="e">
        <f>VLOOKUP(A338,Revisión!$A$2:$L$703,10,FALSE)</f>
        <v>#N/A</v>
      </c>
      <c r="M338" s="18" t="e">
        <f>VLOOKUP(A338,Revisión!$A$2:$L$703,11,FALSE)</f>
        <v>#N/A</v>
      </c>
      <c r="N338" s="30" t="str">
        <f>IF(E338="Coinciden",D338,IF(E338="Revisar",VLOOKUP(A338,Revisión!$A$2:$L$703,12,FALSE),""))</f>
        <v>Bursera simaruba</v>
      </c>
    </row>
    <row r="339" spans="1:14" x14ac:dyDescent="0.3">
      <c r="A339" t="s">
        <v>718</v>
      </c>
      <c r="C339" t="s">
        <v>719</v>
      </c>
      <c r="D339" t="s">
        <v>719</v>
      </c>
      <c r="E339" t="s">
        <v>8</v>
      </c>
      <c r="F339" t="s">
        <v>49</v>
      </c>
      <c r="H339" s="23" t="str">
        <f>VLOOKUP(A339,Revisión!$A$2:$L$703,6,FALSE)</f>
        <v>Byrsonima crassifolia</v>
      </c>
      <c r="I339" s="4" t="str">
        <f>VLOOKUP(A339,Revisión!$A$2:$L$703,7,FALSE)</f>
        <v>Byrsonima crassifolia</v>
      </c>
      <c r="J339" s="4" t="str">
        <f>VLOOKUP(A339,Revisión!$A$2:$L$703,8,FALSE)</f>
        <v>Byrsonima crassifolia</v>
      </c>
      <c r="K339" s="4" t="str">
        <f>VLOOKUP(A339,Revisión!$A$2:$L$703,9,FALSE)</f>
        <v>-</v>
      </c>
      <c r="L339" s="4" t="str">
        <f>VLOOKUP(A339,Revisión!$A$2:$L$703,10,FALSE)</f>
        <v>-</v>
      </c>
      <c r="M339" s="18">
        <f>VLOOKUP(A339,Revisión!$A$2:$L$703,11,FALSE)</f>
        <v>3</v>
      </c>
      <c r="N339" s="30" t="str">
        <f>IF(E339="Coinciden",D339,IF(E339="Revisar",VLOOKUP(A339,Revisión!$A$2:$L$703,12,FALSE),""))</f>
        <v>Byrsonima crassifolia</v>
      </c>
    </row>
    <row r="340" spans="1:14" x14ac:dyDescent="0.3">
      <c r="A340" t="s">
        <v>720</v>
      </c>
      <c r="B340" t="s">
        <v>721</v>
      </c>
      <c r="D340" t="s">
        <v>721</v>
      </c>
      <c r="E340" t="s">
        <v>8</v>
      </c>
      <c r="F340" t="s">
        <v>34</v>
      </c>
      <c r="H340" s="23" t="str">
        <f>VLOOKUP(A340,Revisión!$A$2:$L$703,6,FALSE)</f>
        <v>Byrsonima spicata</v>
      </c>
      <c r="I340" s="4" t="str">
        <f>VLOOKUP(A340,Revisión!$A$2:$L$703,7,FALSE)</f>
        <v>Byrsonima spicata</v>
      </c>
      <c r="J340" s="4" t="str">
        <f>VLOOKUP(A340,Revisión!$A$2:$L$703,8,FALSE)</f>
        <v>Byrsonima spicata</v>
      </c>
      <c r="K340" s="4" t="str">
        <f>VLOOKUP(A340,Revisión!$A$2:$L$703,9,FALSE)</f>
        <v>-</v>
      </c>
      <c r="L340" s="4" t="str">
        <f>VLOOKUP(A340,Revisión!$A$2:$L$703,10,FALSE)</f>
        <v>-</v>
      </c>
      <c r="M340" s="18">
        <f>VLOOKUP(A340,Revisión!$A$2:$L$703,11,FALSE)</f>
        <v>3</v>
      </c>
      <c r="N340" s="30" t="str">
        <f>IF(E340="Coinciden",D340,IF(E340="Revisar",VLOOKUP(A340,Revisión!$A$2:$L$703,12,FALSE),""))</f>
        <v>Byrsonima spicata</v>
      </c>
    </row>
    <row r="341" spans="1:14" x14ac:dyDescent="0.3">
      <c r="A341" t="s">
        <v>722</v>
      </c>
      <c r="C341" t="s">
        <v>723</v>
      </c>
      <c r="D341" t="s">
        <v>723</v>
      </c>
      <c r="E341" t="s">
        <v>8</v>
      </c>
      <c r="F341" t="s">
        <v>49</v>
      </c>
      <c r="H341" s="23" t="str">
        <f>VLOOKUP(A341,Revisión!$A$2:$L$703,6,FALSE)</f>
        <v>Byrsonima gardneriana</v>
      </c>
      <c r="I341" s="4" t="str">
        <f>VLOOKUP(A341,Revisión!$A$2:$L$703,7,FALSE)</f>
        <v>Byrsonima gardneriana</v>
      </c>
      <c r="J341" s="4" t="str">
        <f>VLOOKUP(A341,Revisión!$A$2:$L$703,8,FALSE)</f>
        <v>Byrsonima gardneriana</v>
      </c>
      <c r="K341" s="4" t="str">
        <f>VLOOKUP(A341,Revisión!$A$2:$L$703,9,FALSE)</f>
        <v>-</v>
      </c>
      <c r="L341" s="4" t="str">
        <f>VLOOKUP(A341,Revisión!$A$2:$L$703,10,FALSE)</f>
        <v>-</v>
      </c>
      <c r="M341" s="18">
        <f>VLOOKUP(A341,Revisión!$A$2:$L$703,11,FALSE)</f>
        <v>3</v>
      </c>
      <c r="N341" s="30" t="str">
        <f>IF(E341="Coinciden",D341,IF(E341="Revisar",VLOOKUP(A341,Revisión!$A$2:$L$703,12,FALSE),""))</f>
        <v>Byrsonima gardneriana</v>
      </c>
    </row>
    <row r="342" spans="1:14" x14ac:dyDescent="0.3">
      <c r="A342" t="s">
        <v>724</v>
      </c>
      <c r="E342" t="s">
        <v>8</v>
      </c>
      <c r="F342" t="s">
        <v>11</v>
      </c>
      <c r="H342" s="23" t="e">
        <f>VLOOKUP(A342,Revisión!$A$2:$L$703,6,FALSE)</f>
        <v>#N/A</v>
      </c>
      <c r="I342" s="4" t="e">
        <f>VLOOKUP(A342,Revisión!$A$2:$L$703,7,FALSE)</f>
        <v>#N/A</v>
      </c>
      <c r="J342" s="4" t="e">
        <f>VLOOKUP(A342,Revisión!$A$2:$L$703,8,FALSE)</f>
        <v>#N/A</v>
      </c>
      <c r="K342" s="4" t="e">
        <f>VLOOKUP(A342,Revisión!$A$2:$L$703,9,FALSE)</f>
        <v>#N/A</v>
      </c>
      <c r="L342" s="4" t="e">
        <f>VLOOKUP(A342,Revisión!$A$2:$L$703,10,FALSE)</f>
        <v>#N/A</v>
      </c>
      <c r="M342" s="18" t="e">
        <f>VLOOKUP(A342,Revisión!$A$2:$L$703,11,FALSE)</f>
        <v>#N/A</v>
      </c>
      <c r="N342" s="30" t="e">
        <f>IF(E342="Coinciden",D342,IF(E342="Revisar",VLOOKUP(A342,Revisión!$A$2:$L$703,12,FALSE),""))</f>
        <v>#N/A</v>
      </c>
    </row>
    <row r="343" spans="1:14" x14ac:dyDescent="0.3">
      <c r="A343" t="s">
        <v>725</v>
      </c>
      <c r="B343" t="s">
        <v>726</v>
      </c>
      <c r="C343" t="s">
        <v>726</v>
      </c>
      <c r="D343" t="s">
        <v>726</v>
      </c>
      <c r="E343" t="s">
        <v>18</v>
      </c>
      <c r="F343" t="s">
        <v>19</v>
      </c>
      <c r="H343" s="23" t="e">
        <f>VLOOKUP(A343,Revisión!$A$2:$L$703,6,FALSE)</f>
        <v>#N/A</v>
      </c>
      <c r="I343" s="4" t="e">
        <f>VLOOKUP(A343,Revisión!$A$2:$L$703,7,FALSE)</f>
        <v>#N/A</v>
      </c>
      <c r="J343" s="4" t="e">
        <f>VLOOKUP(A343,Revisión!$A$2:$L$703,8,FALSE)</f>
        <v>#N/A</v>
      </c>
      <c r="K343" s="4" t="e">
        <f>VLOOKUP(A343,Revisión!$A$2:$L$703,9,FALSE)</f>
        <v>#N/A</v>
      </c>
      <c r="L343" s="4" t="e">
        <f>VLOOKUP(A343,Revisión!$A$2:$L$703,10,FALSE)</f>
        <v>#N/A</v>
      </c>
      <c r="M343" s="18" t="e">
        <f>VLOOKUP(A343,Revisión!$A$2:$L$703,11,FALSE)</f>
        <v>#N/A</v>
      </c>
      <c r="N343" s="30" t="str">
        <f>IF(E343="Coinciden",D343,IF(E343="Revisar",VLOOKUP(A343,Revisión!$A$2:$L$703,12,FALSE),""))</f>
        <v>Exodeconus miersii</v>
      </c>
    </row>
    <row r="344" spans="1:14" x14ac:dyDescent="0.3">
      <c r="A344" t="s">
        <v>727</v>
      </c>
      <c r="B344" t="s">
        <v>728</v>
      </c>
      <c r="C344" t="s">
        <v>729</v>
      </c>
      <c r="D344" t="s">
        <v>729</v>
      </c>
      <c r="E344" t="s">
        <v>8</v>
      </c>
      <c r="F344" t="s">
        <v>23</v>
      </c>
      <c r="H344" s="23" t="str">
        <f>VLOOKUP(A344,Revisión!$A$2:$L$703,6,FALSE)</f>
        <v>Parasenecio adenostyloides</v>
      </c>
      <c r="I344" s="4" t="str">
        <f>VLOOKUP(A344,Revisión!$A$2:$L$703,7,FALSE)</f>
        <v>Parasenecio adenostyloides</v>
      </c>
      <c r="J344" s="4" t="str">
        <f>VLOOKUP(A344,Revisión!$A$2:$L$703,8,FALSE)</f>
        <v>Parasenecio adenostyloides</v>
      </c>
      <c r="K344" s="4" t="str">
        <f>VLOOKUP(A344,Revisión!$A$2:$L$703,9,FALSE)</f>
        <v>-</v>
      </c>
      <c r="L344" s="4" t="str">
        <f>VLOOKUP(A344,Revisión!$A$2:$L$703,10,FALSE)</f>
        <v>-</v>
      </c>
      <c r="M344" s="18">
        <f>VLOOKUP(A344,Revisión!$A$2:$L$703,11,FALSE)</f>
        <v>3</v>
      </c>
      <c r="N344" s="30" t="str">
        <f>IF(E344="Coinciden",D344,IF(E344="Revisar",VLOOKUP(A344,Revisión!$A$2:$L$703,12,FALSE),""))</f>
        <v>Parasenecio adenostyloides</v>
      </c>
    </row>
    <row r="345" spans="1:14" x14ac:dyDescent="0.3">
      <c r="A345" t="s">
        <v>730</v>
      </c>
      <c r="B345" t="s">
        <v>731</v>
      </c>
      <c r="C345" t="s">
        <v>731</v>
      </c>
      <c r="D345" t="s">
        <v>732</v>
      </c>
      <c r="E345" t="s">
        <v>8</v>
      </c>
      <c r="F345" t="s">
        <v>15</v>
      </c>
      <c r="H345" s="23" t="str">
        <f>VLOOKUP(A345,Revisión!$A$2:$L$703,6,FALSE)</f>
        <v>Japonicalia delphiniifolia</v>
      </c>
      <c r="I345" s="4" t="str">
        <f>VLOOKUP(A345,Revisión!$A$2:$L$703,7,FALSE)</f>
        <v>Parasenecio delphiniifolius</v>
      </c>
      <c r="J345" s="4" t="str">
        <f>VLOOKUP(A345,Revisión!$A$2:$L$703,8,FALSE)</f>
        <v>Japonicalia delphiniifolia</v>
      </c>
      <c r="K345" s="4" t="str">
        <f>VLOOKUP(A345,Revisión!$A$2:$L$703,9,FALSE)</f>
        <v>-</v>
      </c>
      <c r="L345" s="4" t="str">
        <f>VLOOKUP(A345,Revisión!$A$2:$L$703,10,FALSE)</f>
        <v>-</v>
      </c>
      <c r="M345" s="18">
        <f>VLOOKUP(A345,Revisión!$A$2:$L$703,11,FALSE)</f>
        <v>2</v>
      </c>
      <c r="N345" s="30" t="str">
        <f>IF(E345="Coinciden",D345,IF(E345="Revisar",VLOOKUP(A345,Revisión!$A$2:$L$703,12,FALSE),""))</f>
        <v>Japonicalia delphiniifolia</v>
      </c>
    </row>
    <row r="346" spans="1:14" x14ac:dyDescent="0.3">
      <c r="A346" t="s">
        <v>733</v>
      </c>
      <c r="B346" t="s">
        <v>734</v>
      </c>
      <c r="C346" t="s">
        <v>734</v>
      </c>
      <c r="D346" t="s">
        <v>734</v>
      </c>
      <c r="E346" t="s">
        <v>18</v>
      </c>
      <c r="F346" t="s">
        <v>19</v>
      </c>
      <c r="H346" s="23" t="e">
        <f>VLOOKUP(A346,Revisión!$A$2:$L$703,6,FALSE)</f>
        <v>#N/A</v>
      </c>
      <c r="I346" s="4" t="e">
        <f>VLOOKUP(A346,Revisión!$A$2:$L$703,7,FALSE)</f>
        <v>#N/A</v>
      </c>
      <c r="J346" s="4" t="e">
        <f>VLOOKUP(A346,Revisión!$A$2:$L$703,8,FALSE)</f>
        <v>#N/A</v>
      </c>
      <c r="K346" s="4" t="e">
        <f>VLOOKUP(A346,Revisión!$A$2:$L$703,9,FALSE)</f>
        <v>#N/A</v>
      </c>
      <c r="L346" s="4" t="e">
        <f>VLOOKUP(A346,Revisión!$A$2:$L$703,10,FALSE)</f>
        <v>#N/A</v>
      </c>
      <c r="M346" s="18" t="e">
        <f>VLOOKUP(A346,Revisión!$A$2:$L$703,11,FALSE)</f>
        <v>#N/A</v>
      </c>
      <c r="N346" s="30" t="str">
        <f>IF(E346="Coinciden",D346,IF(E346="Revisar",VLOOKUP(A346,Revisión!$A$2:$L$703,12,FALSE),""))</f>
        <v>Arnoglossum atriplicifolium</v>
      </c>
    </row>
    <row r="347" spans="1:14" x14ac:dyDescent="0.3">
      <c r="A347" t="s">
        <v>735</v>
      </c>
      <c r="B347" t="s">
        <v>736</v>
      </c>
      <c r="E347" t="s">
        <v>8</v>
      </c>
      <c r="F347" t="s">
        <v>9</v>
      </c>
      <c r="H347" s="23" t="str">
        <f>VLOOKUP(A347,Revisión!$A$2:$L$703,6,FALSE)</f>
        <v>Adenostyles alpina</v>
      </c>
      <c r="I347" s="4" t="str">
        <f>VLOOKUP(A347,Revisión!$A$2:$L$703,7,FALSE)</f>
        <v>Arnoglossum reniforme</v>
      </c>
      <c r="J347" s="4" t="str">
        <f>VLOOKUP(A347,Revisión!$A$2:$L$703,8,FALSE)</f>
        <v>Arnoglossum reniforme</v>
      </c>
      <c r="K347" s="4" t="str">
        <f>VLOOKUP(A347,Revisión!$A$2:$L$703,9,FALSE)</f>
        <v>-</v>
      </c>
      <c r="L347" s="4" t="str">
        <f>VLOOKUP(A347,Revisión!$A$2:$L$703,10,FALSE)</f>
        <v>-</v>
      </c>
      <c r="M347" s="18">
        <f>VLOOKUP(A347,Revisión!$A$2:$L$703,11,FALSE)</f>
        <v>2</v>
      </c>
      <c r="N347" s="30" t="str">
        <f>IF(E347="Coinciden",D347,IF(E347="Revisar",VLOOKUP(A347,Revisión!$A$2:$L$703,12,FALSE),""))</f>
        <v>Arnoglossum reniforme</v>
      </c>
    </row>
    <row r="348" spans="1:14" x14ac:dyDescent="0.3">
      <c r="A348" t="s">
        <v>737</v>
      </c>
      <c r="B348" t="s">
        <v>738</v>
      </c>
      <c r="E348" t="s">
        <v>8</v>
      </c>
      <c r="F348" t="s">
        <v>9</v>
      </c>
      <c r="H348" s="23" t="str">
        <f>VLOOKUP(A348,Revisión!$A$2:$L$703,6,FALSE)</f>
        <v>-</v>
      </c>
      <c r="I348" s="4" t="str">
        <f>VLOOKUP(A348,Revisión!$A$2:$L$703,7,FALSE)</f>
        <v>Arnoglossum plantagineum</v>
      </c>
      <c r="J348" s="4" t="str">
        <f>VLOOKUP(A348,Revisión!$A$2:$L$703,8,FALSE)</f>
        <v>Arnoglossum plantagineum</v>
      </c>
      <c r="K348" s="4" t="str">
        <f>VLOOKUP(A348,Revisión!$A$2:$L$703,9,FALSE)</f>
        <v>-</v>
      </c>
      <c r="L348" s="4" t="str">
        <f>VLOOKUP(A348,Revisión!$A$2:$L$703,10,FALSE)</f>
        <v>-</v>
      </c>
      <c r="M348" s="18">
        <f>VLOOKUP(A348,Revisión!$A$2:$L$703,11,FALSE)</f>
        <v>2</v>
      </c>
      <c r="N348" s="30" t="str">
        <f>IF(E348="Coinciden",D348,IF(E348="Revisar",VLOOKUP(A348,Revisión!$A$2:$L$703,12,FALSE),""))</f>
        <v>Arnoglossum plantagineum</v>
      </c>
    </row>
    <row r="349" spans="1:14" x14ac:dyDescent="0.3">
      <c r="A349" t="s">
        <v>739</v>
      </c>
      <c r="B349" t="s">
        <v>740</v>
      </c>
      <c r="C349" t="s">
        <v>741</v>
      </c>
      <c r="D349" t="s">
        <v>742</v>
      </c>
      <c r="E349" t="s">
        <v>8</v>
      </c>
      <c r="F349" t="s">
        <v>295</v>
      </c>
      <c r="H349" s="23" t="str">
        <f>VLOOKUP(A349,Revisión!$A$2:$L$703,6,FALSE)</f>
        <v>Parasenecio maximowicziana</v>
      </c>
      <c r="I349" s="4" t="str">
        <f>VLOOKUP(A349,Revisión!$A$2:$L$703,7,FALSE)</f>
        <v>Parasenecio maximowicziana</v>
      </c>
      <c r="J349" s="4" t="str">
        <f>VLOOKUP(A349,Revisión!$A$2:$L$703,8,FALSE)</f>
        <v>Parasenecio farfarifolius</v>
      </c>
      <c r="K349" s="4" t="str">
        <f>VLOOKUP(A349,Revisión!$A$2:$L$703,9,FALSE)</f>
        <v>Parasenecio maximowicziana</v>
      </c>
      <c r="L349" s="4" t="str">
        <f>VLOOKUP(A349,Revisión!$A$2:$L$703,10,FALSE)</f>
        <v>-</v>
      </c>
      <c r="M349" s="18">
        <f>VLOOKUP(A349,Revisión!$A$2:$L$703,11,FALSE)</f>
        <v>4</v>
      </c>
      <c r="N349" s="30" t="str">
        <f>IF(E349="Coinciden",D349,IF(E349="Revisar",VLOOKUP(A349,Revisión!$A$2:$L$703,12,FALSE),""))</f>
        <v>Parasenecio maximowicziana</v>
      </c>
    </row>
    <row r="350" spans="1:14" x14ac:dyDescent="0.3">
      <c r="A350" t="s">
        <v>743</v>
      </c>
      <c r="B350" t="s">
        <v>744</v>
      </c>
      <c r="C350" t="s">
        <v>744</v>
      </c>
      <c r="D350" t="s">
        <v>744</v>
      </c>
      <c r="E350" t="s">
        <v>18</v>
      </c>
      <c r="F350" t="s">
        <v>19</v>
      </c>
      <c r="H350" s="23" t="e">
        <f>VLOOKUP(A350,Revisión!$A$2:$L$703,6,FALSE)</f>
        <v>#N/A</v>
      </c>
      <c r="I350" s="4" t="e">
        <f>VLOOKUP(A350,Revisión!$A$2:$L$703,7,FALSE)</f>
        <v>#N/A</v>
      </c>
      <c r="J350" s="4" t="e">
        <f>VLOOKUP(A350,Revisión!$A$2:$L$703,8,FALSE)</f>
        <v>#N/A</v>
      </c>
      <c r="K350" s="4" t="e">
        <f>VLOOKUP(A350,Revisión!$A$2:$L$703,9,FALSE)</f>
        <v>#N/A</v>
      </c>
      <c r="L350" s="4" t="e">
        <f>VLOOKUP(A350,Revisión!$A$2:$L$703,10,FALSE)</f>
        <v>#N/A</v>
      </c>
      <c r="M350" s="18" t="e">
        <f>VLOOKUP(A350,Revisión!$A$2:$L$703,11,FALSE)</f>
        <v>#N/A</v>
      </c>
      <c r="N350" s="30" t="str">
        <f>IF(E350="Coinciden",D350,IF(E350="Revisar",VLOOKUP(A350,Revisión!$A$2:$L$703,12,FALSE),""))</f>
        <v>Caesalpinia pulcherrima</v>
      </c>
    </row>
    <row r="351" spans="1:14" x14ac:dyDescent="0.3">
      <c r="A351" t="s">
        <v>745</v>
      </c>
      <c r="B351" t="s">
        <v>746</v>
      </c>
      <c r="C351" t="s">
        <v>746</v>
      </c>
      <c r="D351" t="s">
        <v>746</v>
      </c>
      <c r="E351" t="s">
        <v>18</v>
      </c>
      <c r="F351" t="s">
        <v>19</v>
      </c>
      <c r="H351" s="23" t="e">
        <f>VLOOKUP(A351,Revisión!$A$2:$L$703,6,FALSE)</f>
        <v>#N/A</v>
      </c>
      <c r="I351" s="4" t="e">
        <f>VLOOKUP(A351,Revisión!$A$2:$L$703,7,FALSE)</f>
        <v>#N/A</v>
      </c>
      <c r="J351" s="4" t="e">
        <f>VLOOKUP(A351,Revisión!$A$2:$L$703,8,FALSE)</f>
        <v>#N/A</v>
      </c>
      <c r="K351" s="4" t="e">
        <f>VLOOKUP(A351,Revisión!$A$2:$L$703,9,FALSE)</f>
        <v>#N/A</v>
      </c>
      <c r="L351" s="4" t="e">
        <f>VLOOKUP(A351,Revisión!$A$2:$L$703,10,FALSE)</f>
        <v>#N/A</v>
      </c>
      <c r="M351" s="18" t="e">
        <f>VLOOKUP(A351,Revisión!$A$2:$L$703,11,FALSE)</f>
        <v>#N/A</v>
      </c>
      <c r="N351" s="30" t="str">
        <f>IF(E351="Coinciden",D351,IF(E351="Revisar",VLOOKUP(A351,Revisión!$A$2:$L$703,12,FALSE),""))</f>
        <v>Caiophora coronata</v>
      </c>
    </row>
    <row r="352" spans="1:14" x14ac:dyDescent="0.3">
      <c r="A352" t="s">
        <v>747</v>
      </c>
      <c r="B352" t="s">
        <v>748</v>
      </c>
      <c r="D352" t="s">
        <v>748</v>
      </c>
      <c r="E352" t="s">
        <v>8</v>
      </c>
      <c r="F352" t="s">
        <v>34</v>
      </c>
      <c r="H352" s="23" t="str">
        <f>VLOOKUP(A352,Revisión!$A$2:$L$703,6,FALSE)</f>
        <v>Calamagrostis arundinacea</v>
      </c>
      <c r="I352" s="4" t="str">
        <f>VLOOKUP(A352,Revisión!$A$2:$L$703,7,FALSE)</f>
        <v>Calamagrostis arundinacea</v>
      </c>
      <c r="J352" s="4" t="str">
        <f>VLOOKUP(A352,Revisión!$A$2:$L$703,8,FALSE)</f>
        <v>Calamagrostis arundinacea</v>
      </c>
      <c r="K352" s="4" t="str">
        <f>VLOOKUP(A352,Revisión!$A$2:$L$703,9,FALSE)</f>
        <v>-</v>
      </c>
      <c r="L352" s="4" t="str">
        <f>VLOOKUP(A352,Revisión!$A$2:$L$703,10,FALSE)</f>
        <v>-</v>
      </c>
      <c r="M352" s="18">
        <f>VLOOKUP(A352,Revisión!$A$2:$L$703,11,FALSE)</f>
        <v>3</v>
      </c>
      <c r="N352" s="30" t="str">
        <f>IF(E352="Coinciden",D352,IF(E352="Revisar",VLOOKUP(A352,Revisión!$A$2:$L$703,12,FALSE),""))</f>
        <v>Calamagrostis arundinacea</v>
      </c>
    </row>
    <row r="353" spans="1:14" x14ac:dyDescent="0.3">
      <c r="A353" t="s">
        <v>749</v>
      </c>
      <c r="B353" t="s">
        <v>750</v>
      </c>
      <c r="C353" t="s">
        <v>750</v>
      </c>
      <c r="E353" t="s">
        <v>8</v>
      </c>
      <c r="F353" t="s">
        <v>323</v>
      </c>
      <c r="H353" s="23" t="str">
        <f>VLOOKUP(A353,Revisión!$A$2:$L$703,6,FALSE)</f>
        <v>Montiopsis potentilloides</v>
      </c>
      <c r="I353" s="4" t="str">
        <f>VLOOKUP(A353,Revisión!$A$2:$L$703,7,FALSE)</f>
        <v>-</v>
      </c>
      <c r="J353" s="4" t="str">
        <f>VLOOKUP(A353,Revisión!$A$2:$L$703,8,FALSE)</f>
        <v>Montiopsis potentilloides</v>
      </c>
      <c r="K353" s="4" t="str">
        <f>VLOOKUP(A353,Revisión!$A$2:$L$703,9,FALSE)</f>
        <v>-</v>
      </c>
      <c r="L353" s="4" t="str">
        <f>VLOOKUP(A353,Revisión!$A$2:$L$703,10,FALSE)</f>
        <v>-</v>
      </c>
      <c r="M353" s="18">
        <f>VLOOKUP(A353,Revisión!$A$2:$L$703,11,FALSE)</f>
        <v>3</v>
      </c>
      <c r="N353" s="30" t="str">
        <f>IF(E353="Coinciden",D353,IF(E353="Revisar",VLOOKUP(A353,Revisión!$A$2:$L$703,12,FALSE),""))</f>
        <v>Montiopsis potentilloides</v>
      </c>
    </row>
    <row r="354" spans="1:14" x14ac:dyDescent="0.3">
      <c r="A354" t="s">
        <v>751</v>
      </c>
      <c r="B354" t="s">
        <v>752</v>
      </c>
      <c r="C354" t="s">
        <v>752</v>
      </c>
      <c r="D354" t="s">
        <v>752</v>
      </c>
      <c r="E354" t="s">
        <v>18</v>
      </c>
      <c r="F354" t="s">
        <v>19</v>
      </c>
      <c r="H354" s="23" t="e">
        <f>VLOOKUP(A354,Revisión!$A$2:$L$703,6,FALSE)</f>
        <v>#N/A</v>
      </c>
      <c r="I354" s="4" t="e">
        <f>VLOOKUP(A354,Revisión!$A$2:$L$703,7,FALSE)</f>
        <v>#N/A</v>
      </c>
      <c r="J354" s="4" t="e">
        <f>VLOOKUP(A354,Revisión!$A$2:$L$703,8,FALSE)</f>
        <v>#N/A</v>
      </c>
      <c r="K354" s="4" t="e">
        <f>VLOOKUP(A354,Revisión!$A$2:$L$703,9,FALSE)</f>
        <v>#N/A</v>
      </c>
      <c r="L354" s="4" t="e">
        <f>VLOOKUP(A354,Revisión!$A$2:$L$703,10,FALSE)</f>
        <v>#N/A</v>
      </c>
      <c r="M354" s="18" t="e">
        <f>VLOOKUP(A354,Revisión!$A$2:$L$703,11,FALSE)</f>
        <v>#N/A</v>
      </c>
      <c r="N354" s="30" t="str">
        <f>IF(E354="Coinciden",D354,IF(E354="Revisar",VLOOKUP(A354,Revisión!$A$2:$L$703,12,FALSE),""))</f>
        <v>Calandrinia affinis</v>
      </c>
    </row>
    <row r="355" spans="1:14" x14ac:dyDescent="0.3">
      <c r="A355" t="s">
        <v>753</v>
      </c>
      <c r="B355" t="s">
        <v>754</v>
      </c>
      <c r="C355" t="s">
        <v>754</v>
      </c>
      <c r="D355" t="s">
        <v>754</v>
      </c>
      <c r="E355" t="s">
        <v>18</v>
      </c>
      <c r="F355" t="s">
        <v>19</v>
      </c>
      <c r="H355" s="23" t="e">
        <f>VLOOKUP(A355,Revisión!$A$2:$L$703,6,FALSE)</f>
        <v>#N/A</v>
      </c>
      <c r="I355" s="4" t="e">
        <f>VLOOKUP(A355,Revisión!$A$2:$L$703,7,FALSE)</f>
        <v>#N/A</v>
      </c>
      <c r="J355" s="4" t="e">
        <f>VLOOKUP(A355,Revisión!$A$2:$L$703,8,FALSE)</f>
        <v>#N/A</v>
      </c>
      <c r="K355" s="4" t="e">
        <f>VLOOKUP(A355,Revisión!$A$2:$L$703,9,FALSE)</f>
        <v>#N/A</v>
      </c>
      <c r="L355" s="4" t="e">
        <f>VLOOKUP(A355,Revisión!$A$2:$L$703,10,FALSE)</f>
        <v>#N/A</v>
      </c>
      <c r="M355" s="18" t="e">
        <f>VLOOKUP(A355,Revisión!$A$2:$L$703,11,FALSE)</f>
        <v>#N/A</v>
      </c>
      <c r="N355" s="30" t="str">
        <f>IF(E355="Coinciden",D355,IF(E355="Revisar",VLOOKUP(A355,Revisión!$A$2:$L$703,12,FALSE),""))</f>
        <v>Cistanthe picta</v>
      </c>
    </row>
    <row r="356" spans="1:14" x14ac:dyDescent="0.3">
      <c r="A356" t="s">
        <v>755</v>
      </c>
      <c r="B356" t="s">
        <v>756</v>
      </c>
      <c r="C356" t="s">
        <v>756</v>
      </c>
      <c r="D356" t="s">
        <v>756</v>
      </c>
      <c r="E356" t="s">
        <v>18</v>
      </c>
      <c r="F356" t="s">
        <v>19</v>
      </c>
      <c r="H356" s="23" t="e">
        <f>VLOOKUP(A356,Revisión!$A$2:$L$703,6,FALSE)</f>
        <v>#N/A</v>
      </c>
      <c r="I356" s="4" t="e">
        <f>VLOOKUP(A356,Revisión!$A$2:$L$703,7,FALSE)</f>
        <v>#N/A</v>
      </c>
      <c r="J356" s="4" t="e">
        <f>VLOOKUP(A356,Revisión!$A$2:$L$703,8,FALSE)</f>
        <v>#N/A</v>
      </c>
      <c r="K356" s="4" t="e">
        <f>VLOOKUP(A356,Revisión!$A$2:$L$703,9,FALSE)</f>
        <v>#N/A</v>
      </c>
      <c r="L356" s="4" t="e">
        <f>VLOOKUP(A356,Revisión!$A$2:$L$703,10,FALSE)</f>
        <v>#N/A</v>
      </c>
      <c r="M356" s="18" t="e">
        <f>VLOOKUP(A356,Revisión!$A$2:$L$703,11,FALSE)</f>
        <v>#N/A</v>
      </c>
      <c r="N356" s="30" t="str">
        <f>IF(E356="Coinciden",D356,IF(E356="Revisar",VLOOKUP(A356,Revisión!$A$2:$L$703,12,FALSE),""))</f>
        <v>Montiopsis cistiflora</v>
      </c>
    </row>
    <row r="357" spans="1:14" x14ac:dyDescent="0.3">
      <c r="A357" t="s">
        <v>757</v>
      </c>
      <c r="B357" t="s">
        <v>758</v>
      </c>
      <c r="C357" t="s">
        <v>758</v>
      </c>
      <c r="D357" t="s">
        <v>758</v>
      </c>
      <c r="E357" t="s">
        <v>18</v>
      </c>
      <c r="F357" t="s">
        <v>19</v>
      </c>
      <c r="H357" s="23" t="e">
        <f>VLOOKUP(A357,Revisión!$A$2:$L$703,6,FALSE)</f>
        <v>#N/A</v>
      </c>
      <c r="I357" s="4" t="e">
        <f>VLOOKUP(A357,Revisión!$A$2:$L$703,7,FALSE)</f>
        <v>#N/A</v>
      </c>
      <c r="J357" s="4" t="e">
        <f>VLOOKUP(A357,Revisión!$A$2:$L$703,8,FALSE)</f>
        <v>#N/A</v>
      </c>
      <c r="K357" s="4" t="e">
        <f>VLOOKUP(A357,Revisión!$A$2:$L$703,9,FALSE)</f>
        <v>#N/A</v>
      </c>
      <c r="L357" s="4" t="e">
        <f>VLOOKUP(A357,Revisión!$A$2:$L$703,10,FALSE)</f>
        <v>#N/A</v>
      </c>
      <c r="M357" s="18" t="e">
        <f>VLOOKUP(A357,Revisión!$A$2:$L$703,11,FALSE)</f>
        <v>#N/A</v>
      </c>
      <c r="N357" s="30" t="str">
        <f>IF(E357="Coinciden",D357,IF(E357="Revisar",VLOOKUP(A357,Revisión!$A$2:$L$703,12,FALSE),""))</f>
        <v>Calandrinia compacta</v>
      </c>
    </row>
    <row r="358" spans="1:14" x14ac:dyDescent="0.3">
      <c r="A358" t="s">
        <v>759</v>
      </c>
      <c r="E358" t="s">
        <v>8</v>
      </c>
      <c r="F358" t="s">
        <v>11</v>
      </c>
      <c r="H358" s="23" t="str">
        <f>VLOOKUP(A358,Revisión!$A$2:$L$703,6,FALSE)</f>
        <v>Montiopsis sericea</v>
      </c>
      <c r="I358" s="4" t="str">
        <f>VLOOKUP(A358,Revisión!$A$2:$L$703,7,FALSE)</f>
        <v>Montiopsis umbellata </v>
      </c>
      <c r="J358" s="4" t="str">
        <f>VLOOKUP(A358,Revisión!$A$2:$L$703,8,FALSE)</f>
        <v>Montiopsis sericea</v>
      </c>
      <c r="K358" s="4" t="str">
        <f>VLOOKUP(A358,Revisión!$A$2:$L$703,9,FALSE)</f>
        <v>Montiopsis sericea</v>
      </c>
      <c r="L358" s="4" t="str">
        <f>VLOOKUP(A358,Revisión!$A$2:$L$703,10,FALSE)</f>
        <v>Montiopsis sericea</v>
      </c>
      <c r="M358" s="18">
        <f>VLOOKUP(A358,Revisión!$A$2:$L$703,11,FALSE)</f>
        <v>5</v>
      </c>
      <c r="N358" s="30" t="str">
        <f>IF(E358="Coinciden",D358,IF(E358="Revisar",VLOOKUP(A358,Revisión!$A$2:$L$703,12,FALSE),""))</f>
        <v>Montiopsis sericea</v>
      </c>
    </row>
    <row r="359" spans="1:14" x14ac:dyDescent="0.3">
      <c r="A359" t="s">
        <v>760</v>
      </c>
      <c r="B359" t="s">
        <v>761</v>
      </c>
      <c r="C359" t="s">
        <v>761</v>
      </c>
      <c r="D359" t="s">
        <v>761</v>
      </c>
      <c r="E359" t="s">
        <v>18</v>
      </c>
      <c r="F359" t="s">
        <v>19</v>
      </c>
      <c r="H359" s="23" t="e">
        <f>VLOOKUP(A359,Revisión!$A$2:$L$703,6,FALSE)</f>
        <v>#N/A</v>
      </c>
      <c r="I359" s="4" t="e">
        <f>VLOOKUP(A359,Revisión!$A$2:$L$703,7,FALSE)</f>
        <v>#N/A</v>
      </c>
      <c r="J359" s="4" t="e">
        <f>VLOOKUP(A359,Revisión!$A$2:$L$703,8,FALSE)</f>
        <v>#N/A</v>
      </c>
      <c r="K359" s="4" t="e">
        <f>VLOOKUP(A359,Revisión!$A$2:$L$703,9,FALSE)</f>
        <v>#N/A</v>
      </c>
      <c r="L359" s="4" t="e">
        <f>VLOOKUP(A359,Revisión!$A$2:$L$703,10,FALSE)</f>
        <v>#N/A</v>
      </c>
      <c r="M359" s="18" t="e">
        <f>VLOOKUP(A359,Revisión!$A$2:$L$703,11,FALSE)</f>
        <v>#N/A</v>
      </c>
      <c r="N359" s="30" t="str">
        <f>IF(E359="Coinciden",D359,IF(E359="Revisar",VLOOKUP(A359,Revisión!$A$2:$L$703,12,FALSE),""))</f>
        <v>Calandrinia caespitosa</v>
      </c>
    </row>
    <row r="360" spans="1:14" x14ac:dyDescent="0.3">
      <c r="A360" t="s">
        <v>762</v>
      </c>
      <c r="E360" t="s">
        <v>8</v>
      </c>
      <c r="F360" t="s">
        <v>11</v>
      </c>
      <c r="H360" s="23" t="e">
        <f>VLOOKUP(A360,Revisión!$A$2:$L$703,6,FALSE)</f>
        <v>#N/A</v>
      </c>
      <c r="I360" s="4" t="e">
        <f>VLOOKUP(A360,Revisión!$A$2:$L$703,7,FALSE)</f>
        <v>#N/A</v>
      </c>
      <c r="J360" s="4" t="e">
        <f>VLOOKUP(A360,Revisión!$A$2:$L$703,8,FALSE)</f>
        <v>#N/A</v>
      </c>
      <c r="K360" s="4" t="e">
        <f>VLOOKUP(A360,Revisión!$A$2:$L$703,9,FALSE)</f>
        <v>#N/A</v>
      </c>
      <c r="L360" s="4" t="e">
        <f>VLOOKUP(A360,Revisión!$A$2:$L$703,10,FALSE)</f>
        <v>#N/A</v>
      </c>
      <c r="M360" s="18" t="e">
        <f>VLOOKUP(A360,Revisión!$A$2:$L$703,11,FALSE)</f>
        <v>#N/A</v>
      </c>
      <c r="N360" s="30" t="e">
        <f>IF(E360="Coinciden",D360,IF(E360="Revisar",VLOOKUP(A360,Revisión!$A$2:$L$703,12,FALSE),""))</f>
        <v>#N/A</v>
      </c>
    </row>
    <row r="361" spans="1:14" x14ac:dyDescent="0.3">
      <c r="A361" t="s">
        <v>763</v>
      </c>
      <c r="B361" t="s">
        <v>764</v>
      </c>
      <c r="C361" t="s">
        <v>765</v>
      </c>
      <c r="D361" t="s">
        <v>765</v>
      </c>
      <c r="E361" t="s">
        <v>8</v>
      </c>
      <c r="F361" t="s">
        <v>23</v>
      </c>
      <c r="H361" s="23" t="str">
        <f>VLOOKUP(A361,Revisión!$A$2:$L$703,6,FALSE)</f>
        <v>Calceolaria corymbosa subsp. montana</v>
      </c>
      <c r="I361" s="4" t="str">
        <f>VLOOKUP(A361,Revisión!$A$2:$L$703,7,FALSE)</f>
        <v>Calceolaria mollissima</v>
      </c>
      <c r="J361" s="4" t="str">
        <f>VLOOKUP(A361,Revisión!$A$2:$L$703,8,FALSE)</f>
        <v>Calceolaria mollissima</v>
      </c>
      <c r="K361" s="4" t="str">
        <f>VLOOKUP(A361,Revisión!$A$2:$L$703,9,FALSE)</f>
        <v>-</v>
      </c>
      <c r="L361" s="4" t="str">
        <f>VLOOKUP(A361,Revisión!$A$2:$L$703,10,FALSE)</f>
        <v>-</v>
      </c>
      <c r="M361" s="18">
        <f>VLOOKUP(A361,Revisión!$A$2:$L$703,11,FALSE)</f>
        <v>2</v>
      </c>
      <c r="N361" s="30" t="str">
        <f>IF(E361="Coinciden",D361,IF(E361="Revisar",VLOOKUP(A361,Revisión!$A$2:$L$703,12,FALSE),""))</f>
        <v>Calceolaria mollissima</v>
      </c>
    </row>
    <row r="362" spans="1:14" x14ac:dyDescent="0.3">
      <c r="A362" t="s">
        <v>766</v>
      </c>
      <c r="B362" t="s">
        <v>767</v>
      </c>
      <c r="D362" t="s">
        <v>767</v>
      </c>
      <c r="E362" t="s">
        <v>8</v>
      </c>
      <c r="F362" t="s">
        <v>34</v>
      </c>
      <c r="H362" s="23" t="str">
        <f>VLOOKUP(A362,Revisión!$A$2:$L$703,6,FALSE)</f>
        <v>Calceolaria biflora</v>
      </c>
      <c r="I362" s="4" t="str">
        <f>VLOOKUP(A362,Revisión!$A$2:$L$703,7,FALSE)</f>
        <v>Calceolaria biflora</v>
      </c>
      <c r="J362" s="4" t="str">
        <f>VLOOKUP(A362,Revisión!$A$2:$L$703,8,FALSE)</f>
        <v>Calceolaria biflora</v>
      </c>
      <c r="K362" s="4" t="str">
        <f>VLOOKUP(A362,Revisión!$A$2:$L$703,9,FALSE)</f>
        <v>-</v>
      </c>
      <c r="L362" s="4" t="str">
        <f>VLOOKUP(A362,Revisión!$A$2:$L$703,10,FALSE)</f>
        <v>-</v>
      </c>
      <c r="M362" s="18">
        <f>VLOOKUP(A362,Revisión!$A$2:$L$703,11,FALSE)</f>
        <v>3</v>
      </c>
      <c r="N362" s="30" t="str">
        <f>IF(E362="Coinciden",D362,IF(E362="Revisar",VLOOKUP(A362,Revisión!$A$2:$L$703,12,FALSE),""))</f>
        <v>Calceolaria biflora</v>
      </c>
    </row>
    <row r="363" spans="1:14" x14ac:dyDescent="0.3">
      <c r="A363" t="s">
        <v>768</v>
      </c>
      <c r="B363" t="s">
        <v>769</v>
      </c>
      <c r="C363" t="s">
        <v>769</v>
      </c>
      <c r="D363" t="s">
        <v>769</v>
      </c>
      <c r="E363" t="s">
        <v>18</v>
      </c>
      <c r="F363" t="s">
        <v>19</v>
      </c>
      <c r="H363" s="23" t="e">
        <f>VLOOKUP(A363,Revisión!$A$2:$L$703,6,FALSE)</f>
        <v>#N/A</v>
      </c>
      <c r="I363" s="4" t="e">
        <f>VLOOKUP(A363,Revisión!$A$2:$L$703,7,FALSE)</f>
        <v>#N/A</v>
      </c>
      <c r="J363" s="4" t="e">
        <f>VLOOKUP(A363,Revisión!$A$2:$L$703,8,FALSE)</f>
        <v>#N/A</v>
      </c>
      <c r="K363" s="4" t="e">
        <f>VLOOKUP(A363,Revisión!$A$2:$L$703,9,FALSE)</f>
        <v>#N/A</v>
      </c>
      <c r="L363" s="4" t="e">
        <f>VLOOKUP(A363,Revisión!$A$2:$L$703,10,FALSE)</f>
        <v>#N/A</v>
      </c>
      <c r="M363" s="18" t="e">
        <f>VLOOKUP(A363,Revisión!$A$2:$L$703,11,FALSE)</f>
        <v>#N/A</v>
      </c>
      <c r="N363" s="30" t="str">
        <f>IF(E363="Coinciden",D363,IF(E363="Revisar",VLOOKUP(A363,Revisión!$A$2:$L$703,12,FALSE),""))</f>
        <v>Calceolaria crenatiflora</v>
      </c>
    </row>
    <row r="364" spans="1:14" x14ac:dyDescent="0.3">
      <c r="A364" t="s">
        <v>770</v>
      </c>
      <c r="B364" t="s">
        <v>771</v>
      </c>
      <c r="C364" t="s">
        <v>772</v>
      </c>
      <c r="D364" t="s">
        <v>771</v>
      </c>
      <c r="E364" t="s">
        <v>8</v>
      </c>
      <c r="F364" t="s">
        <v>493</v>
      </c>
      <c r="H364" s="23" t="str">
        <f>VLOOKUP(A364,Revisión!$A$2:$L$703,6,FALSE)</f>
        <v>Calceolaria arachnoidea</v>
      </c>
      <c r="I364" s="4" t="str">
        <f>VLOOKUP(A364,Revisión!$A$2:$L$703,7,FALSE)</f>
        <v>Calceolaria arachnoidea</v>
      </c>
      <c r="J364" s="4" t="str">
        <f>VLOOKUP(A364,Revisión!$A$2:$L$703,8,FALSE)</f>
        <v>Calceolaria arachnoidea</v>
      </c>
      <c r="K364" s="4" t="str">
        <f>VLOOKUP(A364,Revisión!$A$2:$L$703,9,FALSE)</f>
        <v>-</v>
      </c>
      <c r="L364" s="4" t="str">
        <f>VLOOKUP(A364,Revisión!$A$2:$L$703,10,FALSE)</f>
        <v>-</v>
      </c>
      <c r="M364" s="18">
        <f>VLOOKUP(A364,Revisión!$A$2:$L$703,11,FALSE)</f>
        <v>3</v>
      </c>
      <c r="N364" s="30" t="str">
        <f>IF(E364="Coinciden",D364,IF(E364="Revisar",VLOOKUP(A364,Revisión!$A$2:$L$703,12,FALSE),""))</f>
        <v>Calceolaria arachnoidea</v>
      </c>
    </row>
    <row r="365" spans="1:14" x14ac:dyDescent="0.3">
      <c r="A365" t="s">
        <v>773</v>
      </c>
      <c r="B365" t="s">
        <v>774</v>
      </c>
      <c r="C365" t="s">
        <v>774</v>
      </c>
      <c r="D365" t="s">
        <v>774</v>
      </c>
      <c r="E365" t="s">
        <v>18</v>
      </c>
      <c r="F365" t="s">
        <v>19</v>
      </c>
      <c r="H365" s="23" t="e">
        <f>VLOOKUP(A365,Revisión!$A$2:$L$703,6,FALSE)</f>
        <v>#N/A</v>
      </c>
      <c r="I365" s="4" t="e">
        <f>VLOOKUP(A365,Revisión!$A$2:$L$703,7,FALSE)</f>
        <v>#N/A</v>
      </c>
      <c r="J365" s="4" t="e">
        <f>VLOOKUP(A365,Revisión!$A$2:$L$703,8,FALSE)</f>
        <v>#N/A</v>
      </c>
      <c r="K365" s="4" t="e">
        <f>VLOOKUP(A365,Revisión!$A$2:$L$703,9,FALSE)</f>
        <v>#N/A</v>
      </c>
      <c r="L365" s="4" t="e">
        <f>VLOOKUP(A365,Revisión!$A$2:$L$703,10,FALSE)</f>
        <v>#N/A</v>
      </c>
      <c r="M365" s="18" t="e">
        <f>VLOOKUP(A365,Revisión!$A$2:$L$703,11,FALSE)</f>
        <v>#N/A</v>
      </c>
      <c r="N365" s="30" t="str">
        <f>IF(E365="Coinciden",D365,IF(E365="Revisar",VLOOKUP(A365,Revisión!$A$2:$L$703,12,FALSE),""))</f>
        <v>Caldcluvia paniculata</v>
      </c>
    </row>
    <row r="366" spans="1:14" x14ac:dyDescent="0.3">
      <c r="A366" t="s">
        <v>775</v>
      </c>
      <c r="B366" t="s">
        <v>776</v>
      </c>
      <c r="C366" t="s">
        <v>776</v>
      </c>
      <c r="D366" t="s">
        <v>776</v>
      </c>
      <c r="E366" t="s">
        <v>18</v>
      </c>
      <c r="F366" t="s">
        <v>19</v>
      </c>
      <c r="H366" s="23" t="e">
        <f>VLOOKUP(A366,Revisión!$A$2:$L$703,6,FALSE)</f>
        <v>#N/A</v>
      </c>
      <c r="I366" s="4" t="e">
        <f>VLOOKUP(A366,Revisión!$A$2:$L$703,7,FALSE)</f>
        <v>#N/A</v>
      </c>
      <c r="J366" s="4" t="e">
        <f>VLOOKUP(A366,Revisión!$A$2:$L$703,8,FALSE)</f>
        <v>#N/A</v>
      </c>
      <c r="K366" s="4" t="e">
        <f>VLOOKUP(A366,Revisión!$A$2:$L$703,9,FALSE)</f>
        <v>#N/A</v>
      </c>
      <c r="L366" s="4" t="e">
        <f>VLOOKUP(A366,Revisión!$A$2:$L$703,10,FALSE)</f>
        <v>#N/A</v>
      </c>
      <c r="M366" s="18" t="e">
        <f>VLOOKUP(A366,Revisión!$A$2:$L$703,11,FALSE)</f>
        <v>#N/A</v>
      </c>
      <c r="N366" s="30" t="str">
        <f>IF(E366="Coinciden",D366,IF(E366="Revisar",VLOOKUP(A366,Revisión!$A$2:$L$703,12,FALSE),""))</f>
        <v>Calea lucidivenia</v>
      </c>
    </row>
    <row r="367" spans="1:14" x14ac:dyDescent="0.3">
      <c r="A367" t="s">
        <v>777</v>
      </c>
      <c r="B367" t="s">
        <v>778</v>
      </c>
      <c r="C367" t="s">
        <v>778</v>
      </c>
      <c r="D367" t="s">
        <v>778</v>
      </c>
      <c r="E367" t="s">
        <v>18</v>
      </c>
      <c r="F367" t="s">
        <v>19</v>
      </c>
      <c r="H367" s="23" t="e">
        <f>VLOOKUP(A367,Revisión!$A$2:$L$703,6,FALSE)</f>
        <v>#N/A</v>
      </c>
      <c r="I367" s="4" t="e">
        <f>VLOOKUP(A367,Revisión!$A$2:$L$703,7,FALSE)</f>
        <v>#N/A</v>
      </c>
      <c r="J367" s="4" t="e">
        <f>VLOOKUP(A367,Revisión!$A$2:$L$703,8,FALSE)</f>
        <v>#N/A</v>
      </c>
      <c r="K367" s="4" t="e">
        <f>VLOOKUP(A367,Revisión!$A$2:$L$703,9,FALSE)</f>
        <v>#N/A</v>
      </c>
      <c r="L367" s="4" t="e">
        <f>VLOOKUP(A367,Revisión!$A$2:$L$703,10,FALSE)</f>
        <v>#N/A</v>
      </c>
      <c r="M367" s="18" t="e">
        <f>VLOOKUP(A367,Revisión!$A$2:$L$703,11,FALSE)</f>
        <v>#N/A</v>
      </c>
      <c r="N367" s="30" t="str">
        <f>IF(E367="Coinciden",D367,IF(E367="Revisar",VLOOKUP(A367,Revisión!$A$2:$L$703,12,FALSE),""))</f>
        <v>Calendula arvensis</v>
      </c>
    </row>
    <row r="368" spans="1:14" x14ac:dyDescent="0.3">
      <c r="A368" t="s">
        <v>779</v>
      </c>
      <c r="B368" t="s">
        <v>780</v>
      </c>
      <c r="C368" t="s">
        <v>780</v>
      </c>
      <c r="D368" t="s">
        <v>780</v>
      </c>
      <c r="E368" t="s">
        <v>18</v>
      </c>
      <c r="F368" t="s">
        <v>19</v>
      </c>
      <c r="H368" s="23" t="e">
        <f>VLOOKUP(A368,Revisión!$A$2:$L$703,6,FALSE)</f>
        <v>#N/A</v>
      </c>
      <c r="I368" s="4" t="e">
        <f>VLOOKUP(A368,Revisión!$A$2:$L$703,7,FALSE)</f>
        <v>#N/A</v>
      </c>
      <c r="J368" s="4" t="e">
        <f>VLOOKUP(A368,Revisión!$A$2:$L$703,8,FALSE)</f>
        <v>#N/A</v>
      </c>
      <c r="K368" s="4" t="e">
        <f>VLOOKUP(A368,Revisión!$A$2:$L$703,9,FALSE)</f>
        <v>#N/A</v>
      </c>
      <c r="L368" s="4" t="e">
        <f>VLOOKUP(A368,Revisión!$A$2:$L$703,10,FALSE)</f>
        <v>#N/A</v>
      </c>
      <c r="M368" s="18" t="e">
        <f>VLOOKUP(A368,Revisión!$A$2:$L$703,11,FALSE)</f>
        <v>#N/A</v>
      </c>
      <c r="N368" s="30" t="str">
        <f>IF(E368="Coinciden",D368,IF(E368="Revisar",VLOOKUP(A368,Revisión!$A$2:$L$703,12,FALSE),""))</f>
        <v>Calliandra tergemina</v>
      </c>
    </row>
    <row r="369" spans="1:14" x14ac:dyDescent="0.3">
      <c r="A369" t="s">
        <v>781</v>
      </c>
      <c r="B369" t="s">
        <v>782</v>
      </c>
      <c r="C369" t="s">
        <v>782</v>
      </c>
      <c r="D369" t="s">
        <v>782</v>
      </c>
      <c r="E369" t="s">
        <v>18</v>
      </c>
      <c r="F369" t="s">
        <v>19</v>
      </c>
      <c r="H369" s="23" t="e">
        <f>VLOOKUP(A369,Revisión!$A$2:$L$703,6,FALSE)</f>
        <v>#N/A</v>
      </c>
      <c r="I369" s="4" t="e">
        <f>VLOOKUP(A369,Revisión!$A$2:$L$703,7,FALSE)</f>
        <v>#N/A</v>
      </c>
      <c r="J369" s="4" t="e">
        <f>VLOOKUP(A369,Revisión!$A$2:$L$703,8,FALSE)</f>
        <v>#N/A</v>
      </c>
      <c r="K369" s="4" t="e">
        <f>VLOOKUP(A369,Revisión!$A$2:$L$703,9,FALSE)</f>
        <v>#N/A</v>
      </c>
      <c r="L369" s="4" t="e">
        <f>VLOOKUP(A369,Revisión!$A$2:$L$703,10,FALSE)</f>
        <v>#N/A</v>
      </c>
      <c r="M369" s="18" t="e">
        <f>VLOOKUP(A369,Revisión!$A$2:$L$703,11,FALSE)</f>
        <v>#N/A</v>
      </c>
      <c r="N369" s="30" t="str">
        <f>IF(E369="Coinciden",D369,IF(E369="Revisar",VLOOKUP(A369,Revisión!$A$2:$L$703,12,FALSE),""))</f>
        <v>Callicarpa japonica</v>
      </c>
    </row>
    <row r="370" spans="1:14" x14ac:dyDescent="0.3">
      <c r="A370" t="s">
        <v>783</v>
      </c>
      <c r="B370" t="s">
        <v>784</v>
      </c>
      <c r="C370" t="s">
        <v>784</v>
      </c>
      <c r="D370" t="s">
        <v>784</v>
      </c>
      <c r="E370" t="s">
        <v>18</v>
      </c>
      <c r="F370" t="s">
        <v>19</v>
      </c>
      <c r="H370" s="23" t="e">
        <f>VLOOKUP(A370,Revisión!$A$2:$L$703,6,FALSE)</f>
        <v>#N/A</v>
      </c>
      <c r="I370" s="4" t="e">
        <f>VLOOKUP(A370,Revisión!$A$2:$L$703,7,FALSE)</f>
        <v>#N/A</v>
      </c>
      <c r="J370" s="4" t="e">
        <f>VLOOKUP(A370,Revisión!$A$2:$L$703,8,FALSE)</f>
        <v>#N/A</v>
      </c>
      <c r="K370" s="4" t="e">
        <f>VLOOKUP(A370,Revisión!$A$2:$L$703,9,FALSE)</f>
        <v>#N/A</v>
      </c>
      <c r="L370" s="4" t="e">
        <f>VLOOKUP(A370,Revisión!$A$2:$L$703,10,FALSE)</f>
        <v>#N/A</v>
      </c>
      <c r="M370" s="18" t="e">
        <f>VLOOKUP(A370,Revisión!$A$2:$L$703,11,FALSE)</f>
        <v>#N/A</v>
      </c>
      <c r="N370" s="30" t="str">
        <f>IF(E370="Coinciden",D370,IF(E370="Revisar",VLOOKUP(A370,Revisión!$A$2:$L$703,12,FALSE),""))</f>
        <v>Calluna vulgaris</v>
      </c>
    </row>
    <row r="371" spans="1:14" x14ac:dyDescent="0.3">
      <c r="A371" t="s">
        <v>785</v>
      </c>
      <c r="B371" t="s">
        <v>786</v>
      </c>
      <c r="C371" t="s">
        <v>786</v>
      </c>
      <c r="D371" t="s">
        <v>786</v>
      </c>
      <c r="E371" t="s">
        <v>18</v>
      </c>
      <c r="F371" t="s">
        <v>19</v>
      </c>
      <c r="H371" s="23" t="e">
        <f>VLOOKUP(A371,Revisión!$A$2:$L$703,6,FALSE)</f>
        <v>#N/A</v>
      </c>
      <c r="I371" s="4" t="e">
        <f>VLOOKUP(A371,Revisión!$A$2:$L$703,7,FALSE)</f>
        <v>#N/A</v>
      </c>
      <c r="J371" s="4" t="e">
        <f>VLOOKUP(A371,Revisión!$A$2:$L$703,8,FALSE)</f>
        <v>#N/A</v>
      </c>
      <c r="K371" s="4" t="e">
        <f>VLOOKUP(A371,Revisión!$A$2:$L$703,9,FALSE)</f>
        <v>#N/A</v>
      </c>
      <c r="L371" s="4" t="e">
        <f>VLOOKUP(A371,Revisión!$A$2:$L$703,10,FALSE)</f>
        <v>#N/A</v>
      </c>
      <c r="M371" s="18" t="e">
        <f>VLOOKUP(A371,Revisión!$A$2:$L$703,11,FALSE)</f>
        <v>#N/A</v>
      </c>
      <c r="N371" s="30" t="str">
        <f>IF(E371="Coinciden",D371,IF(E371="Revisar",VLOOKUP(A371,Revisión!$A$2:$L$703,12,FALSE),""))</f>
        <v>Calochortus gunnisonii</v>
      </c>
    </row>
    <row r="372" spans="1:14" x14ac:dyDescent="0.3">
      <c r="A372" t="s">
        <v>787</v>
      </c>
      <c r="B372" t="s">
        <v>788</v>
      </c>
      <c r="C372" t="s">
        <v>788</v>
      </c>
      <c r="D372" t="s">
        <v>788</v>
      </c>
      <c r="E372" t="s">
        <v>18</v>
      </c>
      <c r="F372" t="s">
        <v>19</v>
      </c>
      <c r="H372" s="23" t="e">
        <f>VLOOKUP(A372,Revisión!$A$2:$L$703,6,FALSE)</f>
        <v>#N/A</v>
      </c>
      <c r="I372" s="4" t="e">
        <f>VLOOKUP(A372,Revisión!$A$2:$L$703,7,FALSE)</f>
        <v>#N/A</v>
      </c>
      <c r="J372" s="4" t="e">
        <f>VLOOKUP(A372,Revisión!$A$2:$L$703,8,FALSE)</f>
        <v>#N/A</v>
      </c>
      <c r="K372" s="4" t="e">
        <f>VLOOKUP(A372,Revisión!$A$2:$L$703,9,FALSE)</f>
        <v>#N/A</v>
      </c>
      <c r="L372" s="4" t="e">
        <f>VLOOKUP(A372,Revisión!$A$2:$L$703,10,FALSE)</f>
        <v>#N/A</v>
      </c>
      <c r="M372" s="18" t="e">
        <f>VLOOKUP(A372,Revisión!$A$2:$L$703,11,FALSE)</f>
        <v>#N/A</v>
      </c>
      <c r="N372" s="30" t="str">
        <f>IF(E372="Coinciden",D372,IF(E372="Revisar",VLOOKUP(A372,Revisión!$A$2:$L$703,12,FALSE),""))</f>
        <v>Calophyllum eputamen</v>
      </c>
    </row>
    <row r="373" spans="1:14" x14ac:dyDescent="0.3">
      <c r="A373" t="s">
        <v>789</v>
      </c>
      <c r="B373" t="s">
        <v>790</v>
      </c>
      <c r="C373" t="s">
        <v>790</v>
      </c>
      <c r="D373" t="s">
        <v>790</v>
      </c>
      <c r="E373" t="s">
        <v>18</v>
      </c>
      <c r="F373" t="s">
        <v>19</v>
      </c>
      <c r="H373" s="23" t="e">
        <f>VLOOKUP(A373,Revisión!$A$2:$L$703,6,FALSE)</f>
        <v>#N/A</v>
      </c>
      <c r="I373" s="4" t="e">
        <f>VLOOKUP(A373,Revisión!$A$2:$L$703,7,FALSE)</f>
        <v>#N/A</v>
      </c>
      <c r="J373" s="4" t="e">
        <f>VLOOKUP(A373,Revisión!$A$2:$L$703,8,FALSE)</f>
        <v>#N/A</v>
      </c>
      <c r="K373" s="4" t="e">
        <f>VLOOKUP(A373,Revisión!$A$2:$L$703,9,FALSE)</f>
        <v>#N/A</v>
      </c>
      <c r="L373" s="4" t="e">
        <f>VLOOKUP(A373,Revisión!$A$2:$L$703,10,FALSE)</f>
        <v>#N/A</v>
      </c>
      <c r="M373" s="18" t="e">
        <f>VLOOKUP(A373,Revisión!$A$2:$L$703,11,FALSE)</f>
        <v>#N/A</v>
      </c>
      <c r="N373" s="30" t="str">
        <f>IF(E373="Coinciden",D373,IF(E373="Revisar",VLOOKUP(A373,Revisión!$A$2:$L$703,12,FALSE),""))</f>
        <v>Calophyllum eputamen var. eputamen</v>
      </c>
    </row>
    <row r="374" spans="1:14" x14ac:dyDescent="0.3">
      <c r="A374" t="s">
        <v>791</v>
      </c>
      <c r="B374" t="s">
        <v>792</v>
      </c>
      <c r="C374" t="s">
        <v>792</v>
      </c>
      <c r="D374" t="s">
        <v>792</v>
      </c>
      <c r="E374" t="s">
        <v>18</v>
      </c>
      <c r="F374" t="s">
        <v>19</v>
      </c>
      <c r="H374" s="23" t="e">
        <f>VLOOKUP(A374,Revisión!$A$2:$L$703,6,FALSE)</f>
        <v>#N/A</v>
      </c>
      <c r="I374" s="4" t="e">
        <f>VLOOKUP(A374,Revisión!$A$2:$L$703,7,FALSE)</f>
        <v>#N/A</v>
      </c>
      <c r="J374" s="4" t="e">
        <f>VLOOKUP(A374,Revisión!$A$2:$L$703,8,FALSE)</f>
        <v>#N/A</v>
      </c>
      <c r="K374" s="4" t="e">
        <f>VLOOKUP(A374,Revisión!$A$2:$L$703,9,FALSE)</f>
        <v>#N/A</v>
      </c>
      <c r="L374" s="4" t="e">
        <f>VLOOKUP(A374,Revisión!$A$2:$L$703,10,FALSE)</f>
        <v>#N/A</v>
      </c>
      <c r="M374" s="18" t="e">
        <f>VLOOKUP(A374,Revisión!$A$2:$L$703,11,FALSE)</f>
        <v>#N/A</v>
      </c>
      <c r="N374" s="30" t="str">
        <f>IF(E374="Coinciden",D374,IF(E374="Revisar",VLOOKUP(A374,Revisión!$A$2:$L$703,12,FALSE),""))</f>
        <v>Calopogon tuberosus var. tuberosus</v>
      </c>
    </row>
    <row r="375" spans="1:14" x14ac:dyDescent="0.3">
      <c r="A375" t="s">
        <v>793</v>
      </c>
      <c r="B375" t="s">
        <v>794</v>
      </c>
      <c r="C375" t="s">
        <v>794</v>
      </c>
      <c r="D375" t="s">
        <v>794</v>
      </c>
      <c r="E375" t="s">
        <v>18</v>
      </c>
      <c r="F375" t="s">
        <v>19</v>
      </c>
      <c r="H375" s="23" t="e">
        <f>VLOOKUP(A375,Revisión!$A$2:$L$703,6,FALSE)</f>
        <v>#N/A</v>
      </c>
      <c r="I375" s="4" t="e">
        <f>VLOOKUP(A375,Revisión!$A$2:$L$703,7,FALSE)</f>
        <v>#N/A</v>
      </c>
      <c r="J375" s="4" t="e">
        <f>VLOOKUP(A375,Revisión!$A$2:$L$703,8,FALSE)</f>
        <v>#N/A</v>
      </c>
      <c r="K375" s="4" t="e">
        <f>VLOOKUP(A375,Revisión!$A$2:$L$703,9,FALSE)</f>
        <v>#N/A</v>
      </c>
      <c r="L375" s="4" t="e">
        <f>VLOOKUP(A375,Revisión!$A$2:$L$703,10,FALSE)</f>
        <v>#N/A</v>
      </c>
      <c r="M375" s="18" t="e">
        <f>VLOOKUP(A375,Revisión!$A$2:$L$703,11,FALSE)</f>
        <v>#N/A</v>
      </c>
      <c r="N375" s="30" t="str">
        <f>IF(E375="Coinciden",D375,IF(E375="Revisar",VLOOKUP(A375,Revisión!$A$2:$L$703,12,FALSE),""))</f>
        <v>Caltha palustris</v>
      </c>
    </row>
    <row r="376" spans="1:14" x14ac:dyDescent="0.3">
      <c r="A376" t="s">
        <v>795</v>
      </c>
      <c r="B376" t="s">
        <v>796</v>
      </c>
      <c r="C376" t="s">
        <v>796</v>
      </c>
      <c r="D376" t="s">
        <v>796</v>
      </c>
      <c r="E376" t="s">
        <v>18</v>
      </c>
      <c r="F376" t="s">
        <v>19</v>
      </c>
      <c r="H376" s="23" t="e">
        <f>VLOOKUP(A376,Revisión!$A$2:$L$703,6,FALSE)</f>
        <v>#N/A</v>
      </c>
      <c r="I376" s="4" t="e">
        <f>VLOOKUP(A376,Revisión!$A$2:$L$703,7,FALSE)</f>
        <v>#N/A</v>
      </c>
      <c r="J376" s="4" t="e">
        <f>VLOOKUP(A376,Revisión!$A$2:$L$703,8,FALSE)</f>
        <v>#N/A</v>
      </c>
      <c r="K376" s="4" t="e">
        <f>VLOOKUP(A376,Revisión!$A$2:$L$703,9,FALSE)</f>
        <v>#N/A</v>
      </c>
      <c r="L376" s="4" t="e">
        <f>VLOOKUP(A376,Revisión!$A$2:$L$703,10,FALSE)</f>
        <v>#N/A</v>
      </c>
      <c r="M376" s="18" t="e">
        <f>VLOOKUP(A376,Revisión!$A$2:$L$703,11,FALSE)</f>
        <v>#N/A</v>
      </c>
      <c r="N376" s="30" t="str">
        <f>IF(E376="Coinciden",D376,IF(E376="Revisar",VLOOKUP(A376,Revisión!$A$2:$L$703,12,FALSE),""))</f>
        <v>Caltha leptosepala</v>
      </c>
    </row>
    <row r="377" spans="1:14" x14ac:dyDescent="0.3">
      <c r="A377" t="s">
        <v>797</v>
      </c>
      <c r="B377" t="s">
        <v>798</v>
      </c>
      <c r="C377" t="s">
        <v>798</v>
      </c>
      <c r="D377" t="s">
        <v>798</v>
      </c>
      <c r="E377" t="s">
        <v>18</v>
      </c>
      <c r="F377" t="s">
        <v>19</v>
      </c>
      <c r="H377" s="23" t="e">
        <f>VLOOKUP(A377,Revisión!$A$2:$L$703,6,FALSE)</f>
        <v>#N/A</v>
      </c>
      <c r="I377" s="4" t="e">
        <f>VLOOKUP(A377,Revisión!$A$2:$L$703,7,FALSE)</f>
        <v>#N/A</v>
      </c>
      <c r="J377" s="4" t="e">
        <f>VLOOKUP(A377,Revisión!$A$2:$L$703,8,FALSE)</f>
        <v>#N/A</v>
      </c>
      <c r="K377" s="4" t="e">
        <f>VLOOKUP(A377,Revisión!$A$2:$L$703,9,FALSE)</f>
        <v>#N/A</v>
      </c>
      <c r="L377" s="4" t="e">
        <f>VLOOKUP(A377,Revisión!$A$2:$L$703,10,FALSE)</f>
        <v>#N/A</v>
      </c>
      <c r="M377" s="18" t="e">
        <f>VLOOKUP(A377,Revisión!$A$2:$L$703,11,FALSE)</f>
        <v>#N/A</v>
      </c>
      <c r="N377" s="30" t="str">
        <f>IF(E377="Coinciden",D377,IF(E377="Revisar",VLOOKUP(A377,Revisión!$A$2:$L$703,12,FALSE),""))</f>
        <v>Calystegia pubescens</v>
      </c>
    </row>
    <row r="378" spans="1:14" x14ac:dyDescent="0.3">
      <c r="A378" t="s">
        <v>799</v>
      </c>
      <c r="B378" t="s">
        <v>800</v>
      </c>
      <c r="C378" t="s">
        <v>800</v>
      </c>
      <c r="D378" t="s">
        <v>800</v>
      </c>
      <c r="E378" t="s">
        <v>18</v>
      </c>
      <c r="F378" t="s">
        <v>19</v>
      </c>
      <c r="H378" s="23" t="e">
        <f>VLOOKUP(A378,Revisión!$A$2:$L$703,6,FALSE)</f>
        <v>#N/A</v>
      </c>
      <c r="I378" s="4" t="e">
        <f>VLOOKUP(A378,Revisión!$A$2:$L$703,7,FALSE)</f>
        <v>#N/A</v>
      </c>
      <c r="J378" s="4" t="e">
        <f>VLOOKUP(A378,Revisión!$A$2:$L$703,8,FALSE)</f>
        <v>#N/A</v>
      </c>
      <c r="K378" s="4" t="e">
        <f>VLOOKUP(A378,Revisión!$A$2:$L$703,9,FALSE)</f>
        <v>#N/A</v>
      </c>
      <c r="L378" s="4" t="e">
        <f>VLOOKUP(A378,Revisión!$A$2:$L$703,10,FALSE)</f>
        <v>#N/A</v>
      </c>
      <c r="M378" s="18" t="e">
        <f>VLOOKUP(A378,Revisión!$A$2:$L$703,11,FALSE)</f>
        <v>#N/A</v>
      </c>
      <c r="N378" s="30" t="str">
        <f>IF(E378="Coinciden",D378,IF(E378="Revisar",VLOOKUP(A378,Revisión!$A$2:$L$703,12,FALSE),""))</f>
        <v>Calystegia sepium</v>
      </c>
    </row>
    <row r="379" spans="1:14" x14ac:dyDescent="0.3">
      <c r="A379" t="s">
        <v>801</v>
      </c>
      <c r="D379" t="s">
        <v>802</v>
      </c>
      <c r="E379" t="s">
        <v>8</v>
      </c>
      <c r="F379" t="s">
        <v>9</v>
      </c>
      <c r="H379" s="23" t="str">
        <f>VLOOKUP(A379,Revisión!$A$2:$L$703,6,FALSE)</f>
        <v>Camassia scilloides</v>
      </c>
      <c r="I379" s="4" t="str">
        <f>VLOOKUP(A379,Revisión!$A$2:$L$703,7,FALSE)</f>
        <v>Camassia quamash subsp. quamash</v>
      </c>
      <c r="J379" s="4" t="str">
        <f>VLOOKUP(A379,Revisión!$A$2:$L$703,8,FALSE)</f>
        <v>Camassia quamash subsp. quamash</v>
      </c>
      <c r="K379" s="4" t="str">
        <f>VLOOKUP(A379,Revisión!$A$2:$L$703,9,FALSE)</f>
        <v>-</v>
      </c>
      <c r="L379" s="4" t="str">
        <f>VLOOKUP(A379,Revisión!$A$2:$L$703,10,FALSE)</f>
        <v>-</v>
      </c>
      <c r="M379" s="18">
        <f>VLOOKUP(A379,Revisión!$A$2:$L$703,11,FALSE)</f>
        <v>2</v>
      </c>
      <c r="N379" s="30" t="str">
        <f>IF(E379="Coinciden",D379,IF(E379="Revisar",VLOOKUP(A379,Revisión!$A$2:$L$703,12,FALSE),""))</f>
        <v>Camassia quamash subsp. quamash</v>
      </c>
    </row>
    <row r="380" spans="1:14" x14ac:dyDescent="0.3">
      <c r="A380" t="s">
        <v>803</v>
      </c>
      <c r="B380" t="s">
        <v>804</v>
      </c>
      <c r="D380" t="s">
        <v>804</v>
      </c>
      <c r="E380" t="s">
        <v>8</v>
      </c>
      <c r="F380" t="s">
        <v>34</v>
      </c>
      <c r="H380" s="23" t="str">
        <f>VLOOKUP(A380,Revisión!$A$2:$L$703,6,FALSE)</f>
        <v>Camellia sasanqua</v>
      </c>
      <c r="I380" s="4" t="str">
        <f>VLOOKUP(A380,Revisión!$A$2:$L$703,7,FALSE)</f>
        <v>Camellia sasanqua</v>
      </c>
      <c r="J380" s="4" t="str">
        <f>VLOOKUP(A380,Revisión!$A$2:$L$703,8,FALSE)</f>
        <v>Camellia sasanqua</v>
      </c>
      <c r="K380" s="4" t="str">
        <f>VLOOKUP(A380,Revisión!$A$2:$L$703,9,FALSE)</f>
        <v>-</v>
      </c>
      <c r="L380" s="4" t="str">
        <f>VLOOKUP(A380,Revisión!$A$2:$L$703,10,FALSE)</f>
        <v>-</v>
      </c>
      <c r="M380" s="18">
        <f>VLOOKUP(A380,Revisión!$A$2:$L$703,11,FALSE)</f>
        <v>3</v>
      </c>
      <c r="N380" s="30" t="str">
        <f>IF(E380="Coinciden",D380,IF(E380="Revisar",VLOOKUP(A380,Revisión!$A$2:$L$703,12,FALSE),""))</f>
        <v>Camellia sasanqua</v>
      </c>
    </row>
    <row r="381" spans="1:14" x14ac:dyDescent="0.3">
      <c r="A381" t="s">
        <v>805</v>
      </c>
      <c r="B381" t="s">
        <v>806</v>
      </c>
      <c r="C381" t="s">
        <v>806</v>
      </c>
      <c r="D381" t="s">
        <v>806</v>
      </c>
      <c r="E381" t="s">
        <v>18</v>
      </c>
      <c r="F381" t="s">
        <v>19</v>
      </c>
      <c r="H381" s="23" t="e">
        <f>VLOOKUP(A381,Revisión!$A$2:$L$703,6,FALSE)</f>
        <v>#N/A</v>
      </c>
      <c r="I381" s="4" t="e">
        <f>VLOOKUP(A381,Revisión!$A$2:$L$703,7,FALSE)</f>
        <v>#N/A</v>
      </c>
      <c r="J381" s="4" t="e">
        <f>VLOOKUP(A381,Revisión!$A$2:$L$703,8,FALSE)</f>
        <v>#N/A</v>
      </c>
      <c r="K381" s="4" t="e">
        <f>VLOOKUP(A381,Revisión!$A$2:$L$703,9,FALSE)</f>
        <v>#N/A</v>
      </c>
      <c r="L381" s="4" t="e">
        <f>VLOOKUP(A381,Revisión!$A$2:$L$703,10,FALSE)</f>
        <v>#N/A</v>
      </c>
      <c r="M381" s="18" t="e">
        <f>VLOOKUP(A381,Revisión!$A$2:$L$703,11,FALSE)</f>
        <v>#N/A</v>
      </c>
      <c r="N381" s="30" t="str">
        <f>IF(E381="Coinciden",D381,IF(E381="Revisar",VLOOKUP(A381,Revisión!$A$2:$L$703,12,FALSE),""))</f>
        <v>Camellia japonica</v>
      </c>
    </row>
    <row r="382" spans="1:14" x14ac:dyDescent="0.3">
      <c r="A382" t="s">
        <v>807</v>
      </c>
      <c r="B382" t="s">
        <v>808</v>
      </c>
      <c r="C382" t="s">
        <v>808</v>
      </c>
      <c r="D382" t="s">
        <v>808</v>
      </c>
      <c r="E382" t="s">
        <v>18</v>
      </c>
      <c r="F382" t="s">
        <v>19</v>
      </c>
      <c r="H382" s="23" t="e">
        <f>VLOOKUP(A382,Revisión!$A$2:$L$703,6,FALSE)</f>
        <v>#N/A</v>
      </c>
      <c r="I382" s="4" t="e">
        <f>VLOOKUP(A382,Revisión!$A$2:$L$703,7,FALSE)</f>
        <v>#N/A</v>
      </c>
      <c r="J382" s="4" t="e">
        <f>VLOOKUP(A382,Revisión!$A$2:$L$703,8,FALSE)</f>
        <v>#N/A</v>
      </c>
      <c r="K382" s="4" t="e">
        <f>VLOOKUP(A382,Revisión!$A$2:$L$703,9,FALSE)</f>
        <v>#N/A</v>
      </c>
      <c r="L382" s="4" t="e">
        <f>VLOOKUP(A382,Revisión!$A$2:$L$703,10,FALSE)</f>
        <v>#N/A</v>
      </c>
      <c r="M382" s="18" t="e">
        <f>VLOOKUP(A382,Revisión!$A$2:$L$703,11,FALSE)</f>
        <v>#N/A</v>
      </c>
      <c r="N382" s="30" t="str">
        <f>IF(E382="Coinciden",D382,IF(E382="Revisar",VLOOKUP(A382,Revisión!$A$2:$L$703,12,FALSE),""))</f>
        <v>Campanula punctata</v>
      </c>
    </row>
    <row r="383" spans="1:14" x14ac:dyDescent="0.3">
      <c r="A383" t="s">
        <v>809</v>
      </c>
      <c r="B383" t="s">
        <v>810</v>
      </c>
      <c r="D383" t="s">
        <v>810</v>
      </c>
      <c r="E383" t="s">
        <v>8</v>
      </c>
      <c r="F383" t="s">
        <v>34</v>
      </c>
      <c r="H383" s="23" t="str">
        <f>VLOOKUP(A383,Revisión!$A$2:$L$703,6,FALSE)</f>
        <v>Campanula drabifolia</v>
      </c>
      <c r="I383" s="4" t="str">
        <f>VLOOKUP(A383,Revisión!$A$2:$L$703,7,FALSE)</f>
        <v>Campanula drabifolia</v>
      </c>
      <c r="J383" s="4" t="str">
        <f>VLOOKUP(A383,Revisión!$A$2:$L$703,8,FALSE)</f>
        <v>Campanula drabifolia</v>
      </c>
      <c r="K383" s="4" t="str">
        <f>VLOOKUP(A383,Revisión!$A$2:$L$703,9,FALSE)</f>
        <v>-</v>
      </c>
      <c r="L383" s="4" t="str">
        <f>VLOOKUP(A383,Revisión!$A$2:$L$703,10,FALSE)</f>
        <v>-</v>
      </c>
      <c r="M383" s="18">
        <f>VLOOKUP(A383,Revisión!$A$2:$L$703,11,FALSE)</f>
        <v>3</v>
      </c>
      <c r="N383" s="30" t="str">
        <f>IF(E383="Coinciden",D383,IF(E383="Revisar",VLOOKUP(A383,Revisión!$A$2:$L$703,12,FALSE),""))</f>
        <v>Campanula drabifolia</v>
      </c>
    </row>
    <row r="384" spans="1:14" x14ac:dyDescent="0.3">
      <c r="A384" t="s">
        <v>811</v>
      </c>
      <c r="B384" t="s">
        <v>812</v>
      </c>
      <c r="C384" t="s">
        <v>812</v>
      </c>
      <c r="D384" t="s">
        <v>812</v>
      </c>
      <c r="E384" t="s">
        <v>18</v>
      </c>
      <c r="F384" t="s">
        <v>19</v>
      </c>
      <c r="H384" s="23" t="e">
        <f>VLOOKUP(A384,Revisión!$A$2:$L$703,6,FALSE)</f>
        <v>#N/A</v>
      </c>
      <c r="I384" s="4" t="e">
        <f>VLOOKUP(A384,Revisión!$A$2:$L$703,7,FALSE)</f>
        <v>#N/A</v>
      </c>
      <c r="J384" s="4" t="e">
        <f>VLOOKUP(A384,Revisión!$A$2:$L$703,8,FALSE)</f>
        <v>#N/A</v>
      </c>
      <c r="K384" s="4" t="e">
        <f>VLOOKUP(A384,Revisión!$A$2:$L$703,9,FALSE)</f>
        <v>#N/A</v>
      </c>
      <c r="L384" s="4" t="e">
        <f>VLOOKUP(A384,Revisión!$A$2:$L$703,10,FALSE)</f>
        <v>#N/A</v>
      </c>
      <c r="M384" s="18" t="e">
        <f>VLOOKUP(A384,Revisión!$A$2:$L$703,11,FALSE)</f>
        <v>#N/A</v>
      </c>
      <c r="N384" s="30" t="str">
        <f>IF(E384="Coinciden",D384,IF(E384="Revisar",VLOOKUP(A384,Revisión!$A$2:$L$703,12,FALSE),""))</f>
        <v>Campanula rotundifolia</v>
      </c>
    </row>
    <row r="385" spans="1:14" x14ac:dyDescent="0.3">
      <c r="A385" t="s">
        <v>813</v>
      </c>
      <c r="B385" t="s">
        <v>814</v>
      </c>
      <c r="C385" t="s">
        <v>815</v>
      </c>
      <c r="D385" t="s">
        <v>814</v>
      </c>
      <c r="E385" t="s">
        <v>8</v>
      </c>
      <c r="F385" t="s">
        <v>493</v>
      </c>
      <c r="H385" s="23" t="str">
        <f>VLOOKUP(A385,Revisión!$A$2:$L$703,6,FALSE)</f>
        <v>Campanulastrum americanum</v>
      </c>
      <c r="I385" s="4" t="str">
        <f>VLOOKUP(A385,Revisión!$A$2:$L$703,7,FALSE)</f>
        <v>Campanula americana</v>
      </c>
      <c r="J385" s="4" t="str">
        <f>VLOOKUP(A385,Revisión!$A$2:$L$703,8,FALSE)</f>
        <v>Campanulastrum americanum</v>
      </c>
      <c r="K385" s="4" t="str">
        <f>VLOOKUP(A385,Revisión!$A$2:$L$703,9,FALSE)</f>
        <v>-</v>
      </c>
      <c r="L385" s="4" t="str">
        <f>VLOOKUP(A385,Revisión!$A$2:$L$703,10,FALSE)</f>
        <v>-</v>
      </c>
      <c r="M385" s="18">
        <f>VLOOKUP(A385,Revisión!$A$2:$L$703,11,FALSE)</f>
        <v>2</v>
      </c>
      <c r="N385" s="30" t="str">
        <f>IF(E385="Coinciden",D385,IF(E385="Revisar",VLOOKUP(A385,Revisión!$A$2:$L$703,12,FALSE),""))</f>
        <v>Campanulastrum americanum</v>
      </c>
    </row>
    <row r="386" spans="1:14" x14ac:dyDescent="0.3">
      <c r="A386" t="s">
        <v>816</v>
      </c>
      <c r="B386" t="s">
        <v>817</v>
      </c>
      <c r="C386" t="s">
        <v>817</v>
      </c>
      <c r="D386" t="s">
        <v>817</v>
      </c>
      <c r="E386" t="s">
        <v>18</v>
      </c>
      <c r="F386" t="s">
        <v>19</v>
      </c>
      <c r="H386" s="23" t="e">
        <f>VLOOKUP(A386,Revisión!$A$2:$L$703,6,FALSE)</f>
        <v>#N/A</v>
      </c>
      <c r="I386" s="4" t="e">
        <f>VLOOKUP(A386,Revisión!$A$2:$L$703,7,FALSE)</f>
        <v>#N/A</v>
      </c>
      <c r="J386" s="4" t="e">
        <f>VLOOKUP(A386,Revisión!$A$2:$L$703,8,FALSE)</f>
        <v>#N/A</v>
      </c>
      <c r="K386" s="4" t="e">
        <f>VLOOKUP(A386,Revisión!$A$2:$L$703,9,FALSE)</f>
        <v>#N/A</v>
      </c>
      <c r="L386" s="4" t="e">
        <f>VLOOKUP(A386,Revisión!$A$2:$L$703,10,FALSE)</f>
        <v>#N/A</v>
      </c>
      <c r="M386" s="18" t="e">
        <f>VLOOKUP(A386,Revisión!$A$2:$L$703,11,FALSE)</f>
        <v>#N/A</v>
      </c>
      <c r="N386" s="30" t="str">
        <f>IF(E386="Coinciden",D386,IF(E386="Revisar",VLOOKUP(A386,Revisión!$A$2:$L$703,12,FALSE),""))</f>
        <v>Campnosperma seychellarum</v>
      </c>
    </row>
    <row r="387" spans="1:14" x14ac:dyDescent="0.3">
      <c r="A387" t="s">
        <v>818</v>
      </c>
      <c r="B387" t="s">
        <v>819</v>
      </c>
      <c r="C387" t="s">
        <v>819</v>
      </c>
      <c r="D387" t="s">
        <v>819</v>
      </c>
      <c r="E387" t="s">
        <v>18</v>
      </c>
      <c r="F387" t="s">
        <v>19</v>
      </c>
      <c r="H387" s="23" t="e">
        <f>VLOOKUP(A387,Revisión!$A$2:$L$703,6,FALSE)</f>
        <v>#N/A</v>
      </c>
      <c r="I387" s="4" t="e">
        <f>VLOOKUP(A387,Revisión!$A$2:$L$703,7,FALSE)</f>
        <v>#N/A</v>
      </c>
      <c r="J387" s="4" t="e">
        <f>VLOOKUP(A387,Revisión!$A$2:$L$703,8,FALSE)</f>
        <v>#N/A</v>
      </c>
      <c r="K387" s="4" t="e">
        <f>VLOOKUP(A387,Revisión!$A$2:$L$703,9,FALSE)</f>
        <v>#N/A</v>
      </c>
      <c r="L387" s="4" t="e">
        <f>VLOOKUP(A387,Revisión!$A$2:$L$703,10,FALSE)</f>
        <v>#N/A</v>
      </c>
      <c r="M387" s="18" t="e">
        <f>VLOOKUP(A387,Revisión!$A$2:$L$703,11,FALSE)</f>
        <v>#N/A</v>
      </c>
      <c r="N387" s="30" t="str">
        <f>IF(E387="Coinciden",D387,IF(E387="Revisar",VLOOKUP(A387,Revisión!$A$2:$L$703,12,FALSE),""))</f>
        <v>Campsis radicans</v>
      </c>
    </row>
    <row r="388" spans="1:14" x14ac:dyDescent="0.3">
      <c r="A388" t="s">
        <v>820</v>
      </c>
      <c r="B388" t="s">
        <v>821</v>
      </c>
      <c r="C388" t="s">
        <v>821</v>
      </c>
      <c r="D388" t="s">
        <v>821</v>
      </c>
      <c r="E388" t="s">
        <v>18</v>
      </c>
      <c r="F388" t="s">
        <v>19</v>
      </c>
      <c r="H388" s="23" t="e">
        <f>VLOOKUP(A388,Revisión!$A$2:$L$703,6,FALSE)</f>
        <v>#N/A</v>
      </c>
      <c r="I388" s="4" t="e">
        <f>VLOOKUP(A388,Revisión!$A$2:$L$703,7,FALSE)</f>
        <v>#N/A</v>
      </c>
      <c r="J388" s="4" t="e">
        <f>VLOOKUP(A388,Revisión!$A$2:$L$703,8,FALSE)</f>
        <v>#N/A</v>
      </c>
      <c r="K388" s="4" t="e">
        <f>VLOOKUP(A388,Revisión!$A$2:$L$703,9,FALSE)</f>
        <v>#N/A</v>
      </c>
      <c r="L388" s="4" t="e">
        <f>VLOOKUP(A388,Revisión!$A$2:$L$703,10,FALSE)</f>
        <v>#N/A</v>
      </c>
      <c r="M388" s="18" t="e">
        <f>VLOOKUP(A388,Revisión!$A$2:$L$703,11,FALSE)</f>
        <v>#N/A</v>
      </c>
      <c r="N388" s="30" t="str">
        <f>IF(E388="Coinciden",D388,IF(E388="Revisar",VLOOKUP(A388,Revisión!$A$2:$L$703,12,FALSE),""))</f>
        <v>Campsis grandiflora</v>
      </c>
    </row>
    <row r="389" spans="1:14" x14ac:dyDescent="0.3">
      <c r="A389" t="s">
        <v>822</v>
      </c>
      <c r="B389" t="s">
        <v>823</v>
      </c>
      <c r="C389" t="s">
        <v>823</v>
      </c>
      <c r="D389" t="s">
        <v>823</v>
      </c>
      <c r="E389" t="s">
        <v>18</v>
      </c>
      <c r="F389" t="s">
        <v>19</v>
      </c>
      <c r="H389" s="23" t="e">
        <f>VLOOKUP(A389,Revisión!$A$2:$L$703,6,FALSE)</f>
        <v>#N/A</v>
      </c>
      <c r="I389" s="4" t="e">
        <f>VLOOKUP(A389,Revisión!$A$2:$L$703,7,FALSE)</f>
        <v>#N/A</v>
      </c>
      <c r="J389" s="4" t="e">
        <f>VLOOKUP(A389,Revisión!$A$2:$L$703,8,FALSE)</f>
        <v>#N/A</v>
      </c>
      <c r="K389" s="4" t="e">
        <f>VLOOKUP(A389,Revisión!$A$2:$L$703,9,FALSE)</f>
        <v>#N/A</v>
      </c>
      <c r="L389" s="4" t="e">
        <f>VLOOKUP(A389,Revisión!$A$2:$L$703,10,FALSE)</f>
        <v>#N/A</v>
      </c>
      <c r="M389" s="18" t="e">
        <f>VLOOKUP(A389,Revisión!$A$2:$L$703,11,FALSE)</f>
        <v>#N/A</v>
      </c>
      <c r="N389" s="30" t="str">
        <f>IF(E389="Coinciden",D389,IF(E389="Revisar",VLOOKUP(A389,Revisión!$A$2:$L$703,12,FALSE),""))</f>
        <v>Canavalia lineata</v>
      </c>
    </row>
    <row r="390" spans="1:14" x14ac:dyDescent="0.3">
      <c r="A390" t="s">
        <v>824</v>
      </c>
      <c r="B390" t="s">
        <v>825</v>
      </c>
      <c r="C390" t="s">
        <v>825</v>
      </c>
      <c r="D390" t="s">
        <v>825</v>
      </c>
      <c r="E390" t="s">
        <v>18</v>
      </c>
      <c r="F390" t="s">
        <v>19</v>
      </c>
      <c r="H390" s="23" t="e">
        <f>VLOOKUP(A390,Revisión!$A$2:$L$703,6,FALSE)</f>
        <v>#N/A</v>
      </c>
      <c r="I390" s="4" t="e">
        <f>VLOOKUP(A390,Revisión!$A$2:$L$703,7,FALSE)</f>
        <v>#N/A</v>
      </c>
      <c r="J390" s="4" t="e">
        <f>VLOOKUP(A390,Revisión!$A$2:$L$703,8,FALSE)</f>
        <v>#N/A</v>
      </c>
      <c r="K390" s="4" t="e">
        <f>VLOOKUP(A390,Revisión!$A$2:$L$703,9,FALSE)</f>
        <v>#N/A</v>
      </c>
      <c r="L390" s="4" t="e">
        <f>VLOOKUP(A390,Revisión!$A$2:$L$703,10,FALSE)</f>
        <v>#N/A</v>
      </c>
      <c r="M390" s="18" t="e">
        <f>VLOOKUP(A390,Revisión!$A$2:$L$703,11,FALSE)</f>
        <v>#N/A</v>
      </c>
      <c r="N390" s="30" t="str">
        <f>IF(E390="Coinciden",D390,IF(E390="Revisar",VLOOKUP(A390,Revisión!$A$2:$L$703,12,FALSE),""))</f>
        <v>Canistrum triangulare</v>
      </c>
    </row>
    <row r="391" spans="1:14" x14ac:dyDescent="0.3">
      <c r="A391" t="s">
        <v>826</v>
      </c>
      <c r="E391" t="s">
        <v>8</v>
      </c>
      <c r="F391" t="s">
        <v>11</v>
      </c>
      <c r="H391" s="23" t="e">
        <f>VLOOKUP(A391,Revisión!$A$2:$L$703,6,FALSE)</f>
        <v>#N/A</v>
      </c>
      <c r="I391" s="4" t="e">
        <f>VLOOKUP(A391,Revisión!$A$2:$L$703,7,FALSE)</f>
        <v>#N/A</v>
      </c>
      <c r="J391" s="4" t="e">
        <f>VLOOKUP(A391,Revisión!$A$2:$L$703,8,FALSE)</f>
        <v>#N/A</v>
      </c>
      <c r="K391" s="4" t="e">
        <f>VLOOKUP(A391,Revisión!$A$2:$L$703,9,FALSE)</f>
        <v>#N/A</v>
      </c>
      <c r="L391" s="4" t="e">
        <f>VLOOKUP(A391,Revisión!$A$2:$L$703,10,FALSE)</f>
        <v>#N/A</v>
      </c>
      <c r="M391" s="18" t="e">
        <f>VLOOKUP(A391,Revisión!$A$2:$L$703,11,FALSE)</f>
        <v>#N/A</v>
      </c>
      <c r="N391" s="30" t="e">
        <f>IF(E391="Coinciden",D391,IF(E391="Revisar",VLOOKUP(A391,Revisión!$A$2:$L$703,12,FALSE),""))</f>
        <v>#N/A</v>
      </c>
    </row>
    <row r="392" spans="1:14" x14ac:dyDescent="0.3">
      <c r="A392" t="s">
        <v>827</v>
      </c>
      <c r="B392" t="s">
        <v>828</v>
      </c>
      <c r="C392" t="s">
        <v>828</v>
      </c>
      <c r="D392" t="s">
        <v>828</v>
      </c>
      <c r="E392" t="s">
        <v>18</v>
      </c>
      <c r="F392" t="s">
        <v>19</v>
      </c>
      <c r="H392" s="23" t="e">
        <f>VLOOKUP(A392,Revisión!$A$2:$L$703,6,FALSE)</f>
        <v>#N/A</v>
      </c>
      <c r="I392" s="4" t="e">
        <f>VLOOKUP(A392,Revisión!$A$2:$L$703,7,FALSE)</f>
        <v>#N/A</v>
      </c>
      <c r="J392" s="4" t="e">
        <f>VLOOKUP(A392,Revisión!$A$2:$L$703,8,FALSE)</f>
        <v>#N/A</v>
      </c>
      <c r="K392" s="4" t="e">
        <f>VLOOKUP(A392,Revisión!$A$2:$L$703,9,FALSE)</f>
        <v>#N/A</v>
      </c>
      <c r="L392" s="4" t="e">
        <f>VLOOKUP(A392,Revisión!$A$2:$L$703,10,FALSE)</f>
        <v>#N/A</v>
      </c>
      <c r="M392" s="18" t="e">
        <f>VLOOKUP(A392,Revisión!$A$2:$L$703,11,FALSE)</f>
        <v>#N/A</v>
      </c>
      <c r="N392" s="30" t="str">
        <f>IF(E392="Coinciden",D392,IF(E392="Revisar",VLOOKUP(A392,Revisión!$A$2:$L$703,12,FALSE),""))</f>
        <v>Canna glauca</v>
      </c>
    </row>
    <row r="393" spans="1:14" x14ac:dyDescent="0.3">
      <c r="A393" t="s">
        <v>829</v>
      </c>
      <c r="B393" t="s">
        <v>830</v>
      </c>
      <c r="C393" t="s">
        <v>830</v>
      </c>
      <c r="D393" t="s">
        <v>830</v>
      </c>
      <c r="E393" t="s">
        <v>18</v>
      </c>
      <c r="F393" t="s">
        <v>19</v>
      </c>
      <c r="H393" s="23" t="e">
        <f>VLOOKUP(A393,Revisión!$A$2:$L$703,6,FALSE)</f>
        <v>#N/A</v>
      </c>
      <c r="I393" s="4" t="e">
        <f>VLOOKUP(A393,Revisión!$A$2:$L$703,7,FALSE)</f>
        <v>#N/A</v>
      </c>
      <c r="J393" s="4" t="e">
        <f>VLOOKUP(A393,Revisión!$A$2:$L$703,8,FALSE)</f>
        <v>#N/A</v>
      </c>
      <c r="K393" s="4" t="e">
        <f>VLOOKUP(A393,Revisión!$A$2:$L$703,9,FALSE)</f>
        <v>#N/A</v>
      </c>
      <c r="L393" s="4" t="e">
        <f>VLOOKUP(A393,Revisión!$A$2:$L$703,10,FALSE)</f>
        <v>#N/A</v>
      </c>
      <c r="M393" s="18" t="e">
        <f>VLOOKUP(A393,Revisión!$A$2:$L$703,11,FALSE)</f>
        <v>#N/A</v>
      </c>
      <c r="N393" s="30" t="str">
        <f>IF(E393="Coinciden",D393,IF(E393="Revisar",VLOOKUP(A393,Revisión!$A$2:$L$703,12,FALSE),""))</f>
        <v>Pyrostria bibracteata</v>
      </c>
    </row>
    <row r="394" spans="1:14" x14ac:dyDescent="0.3">
      <c r="A394" t="s">
        <v>831</v>
      </c>
      <c r="B394" t="s">
        <v>832</v>
      </c>
      <c r="C394" t="s">
        <v>832</v>
      </c>
      <c r="D394" t="s">
        <v>832</v>
      </c>
      <c r="E394" t="s">
        <v>18</v>
      </c>
      <c r="F394" t="s">
        <v>19</v>
      </c>
      <c r="H394" s="23" t="e">
        <f>VLOOKUP(A394,Revisión!$A$2:$L$703,6,FALSE)</f>
        <v>#N/A</v>
      </c>
      <c r="I394" s="4" t="e">
        <f>VLOOKUP(A394,Revisión!$A$2:$L$703,7,FALSE)</f>
        <v>#N/A</v>
      </c>
      <c r="J394" s="4" t="e">
        <f>VLOOKUP(A394,Revisión!$A$2:$L$703,8,FALSE)</f>
        <v>#N/A</v>
      </c>
      <c r="K394" s="4" t="e">
        <f>VLOOKUP(A394,Revisión!$A$2:$L$703,9,FALSE)</f>
        <v>#N/A</v>
      </c>
      <c r="L394" s="4" t="e">
        <f>VLOOKUP(A394,Revisión!$A$2:$L$703,10,FALSE)</f>
        <v>#N/A</v>
      </c>
      <c r="M394" s="18" t="e">
        <f>VLOOKUP(A394,Revisión!$A$2:$L$703,11,FALSE)</f>
        <v>#N/A</v>
      </c>
      <c r="N394" s="30" t="str">
        <f>IF(E394="Coinciden",D394,IF(E394="Revisar",VLOOKUP(A394,Revisión!$A$2:$L$703,12,FALSE),""))</f>
        <v>Caperonia palustris</v>
      </c>
    </row>
    <row r="395" spans="1:14" x14ac:dyDescent="0.3">
      <c r="A395" t="s">
        <v>833</v>
      </c>
      <c r="B395" t="s">
        <v>834</v>
      </c>
      <c r="C395" t="s">
        <v>834</v>
      </c>
      <c r="D395" t="s">
        <v>834</v>
      </c>
      <c r="E395" t="s">
        <v>18</v>
      </c>
      <c r="F395" t="s">
        <v>19</v>
      </c>
      <c r="H395" s="23" t="e">
        <f>VLOOKUP(A395,Revisión!$A$2:$L$703,6,FALSE)</f>
        <v>#N/A</v>
      </c>
      <c r="I395" s="4" t="e">
        <f>VLOOKUP(A395,Revisión!$A$2:$L$703,7,FALSE)</f>
        <v>#N/A</v>
      </c>
      <c r="J395" s="4" t="e">
        <f>VLOOKUP(A395,Revisión!$A$2:$L$703,8,FALSE)</f>
        <v>#N/A</v>
      </c>
      <c r="K395" s="4" t="e">
        <f>VLOOKUP(A395,Revisión!$A$2:$L$703,9,FALSE)</f>
        <v>#N/A</v>
      </c>
      <c r="L395" s="4" t="e">
        <f>VLOOKUP(A395,Revisión!$A$2:$L$703,10,FALSE)</f>
        <v>#N/A</v>
      </c>
      <c r="M395" s="18" t="e">
        <f>VLOOKUP(A395,Revisión!$A$2:$L$703,11,FALSE)</f>
        <v>#N/A</v>
      </c>
      <c r="N395" s="30" t="str">
        <f>IF(E395="Coinciden",D395,IF(E395="Revisar",VLOOKUP(A395,Revisión!$A$2:$L$703,12,FALSE),""))</f>
        <v>Corydalis aurea</v>
      </c>
    </row>
    <row r="396" spans="1:14" x14ac:dyDescent="0.3">
      <c r="A396" t="s">
        <v>835</v>
      </c>
      <c r="C396" t="s">
        <v>836</v>
      </c>
      <c r="D396" t="s">
        <v>836</v>
      </c>
      <c r="E396" t="s">
        <v>8</v>
      </c>
      <c r="F396" t="s">
        <v>49</v>
      </c>
      <c r="H396" s="23" t="str">
        <f>VLOOKUP(A396,Revisión!$A$2:$L$703,6,FALSE)</f>
        <v>-</v>
      </c>
      <c r="I396" s="4" t="str">
        <f>VLOOKUP(A396,Revisión!$A$2:$L$703,7,FALSE)</f>
        <v>Morisonia ferruginea</v>
      </c>
      <c r="J396" s="4" t="str">
        <f>VLOOKUP(A396,Revisión!$A$2:$L$703,8,FALSE)</f>
        <v>Morisonia ferruginea</v>
      </c>
      <c r="K396" s="4" t="str">
        <f>VLOOKUP(A396,Revisión!$A$2:$L$703,9,FALSE)</f>
        <v>-</v>
      </c>
      <c r="L396" s="4" t="str">
        <f>VLOOKUP(A396,Revisión!$A$2:$L$703,10,FALSE)</f>
        <v>-</v>
      </c>
      <c r="M396" s="18">
        <f>VLOOKUP(A396,Revisión!$A$2:$L$703,11,FALSE)</f>
        <v>2</v>
      </c>
      <c r="N396" s="30" t="str">
        <f>IF(E396="Coinciden",D396,IF(E396="Revisar",VLOOKUP(A396,Revisión!$A$2:$L$703,12,FALSE),""))</f>
        <v>Morisonia ferruginea</v>
      </c>
    </row>
    <row r="397" spans="1:14" x14ac:dyDescent="0.3">
      <c r="A397" t="s">
        <v>837</v>
      </c>
      <c r="B397" t="s">
        <v>838</v>
      </c>
      <c r="D397" t="s">
        <v>838</v>
      </c>
      <c r="E397" t="s">
        <v>8</v>
      </c>
      <c r="F397" t="s">
        <v>34</v>
      </c>
      <c r="H397" s="23" t="str">
        <f>VLOOKUP(A397,Revisión!$A$2:$L$703,6,FALSE)</f>
        <v>Capparis spinosa var. ovata</v>
      </c>
      <c r="I397" s="4" t="str">
        <f>VLOOKUP(A397,Revisión!$A$2:$L$703,7,FALSE)</f>
        <v>Capparis spinosa var. ovata</v>
      </c>
      <c r="J397" s="4" t="str">
        <f>VLOOKUP(A397,Revisión!$A$2:$L$703,8,FALSE)</f>
        <v>Capparis spinosa var. ovata</v>
      </c>
      <c r="K397" s="4" t="str">
        <f>VLOOKUP(A397,Revisión!$A$2:$L$703,9,FALSE)</f>
        <v>-</v>
      </c>
      <c r="L397" s="4" t="str">
        <f>VLOOKUP(A397,Revisión!$A$2:$L$703,10,FALSE)</f>
        <v>-</v>
      </c>
      <c r="M397" s="18">
        <f>VLOOKUP(A397,Revisión!$A$2:$L$703,11,FALSE)</f>
        <v>3</v>
      </c>
      <c r="N397" s="30" t="str">
        <f>IF(E397="Coinciden",D397,IF(E397="Revisar",VLOOKUP(A397,Revisión!$A$2:$L$703,12,FALSE),""))</f>
        <v>Capparis spinosa var. ovata</v>
      </c>
    </row>
    <row r="398" spans="1:14" x14ac:dyDescent="0.3">
      <c r="A398" t="s">
        <v>839</v>
      </c>
      <c r="B398" t="s">
        <v>840</v>
      </c>
      <c r="C398" t="s">
        <v>840</v>
      </c>
      <c r="D398" t="s">
        <v>840</v>
      </c>
      <c r="E398" t="s">
        <v>18</v>
      </c>
      <c r="F398" t="s">
        <v>19</v>
      </c>
      <c r="H398" s="23" t="e">
        <f>VLOOKUP(A398,Revisión!$A$2:$L$703,6,FALSE)</f>
        <v>#N/A</v>
      </c>
      <c r="I398" s="4" t="e">
        <f>VLOOKUP(A398,Revisión!$A$2:$L$703,7,FALSE)</f>
        <v>#N/A</v>
      </c>
      <c r="J398" s="4" t="e">
        <f>VLOOKUP(A398,Revisión!$A$2:$L$703,8,FALSE)</f>
        <v>#N/A</v>
      </c>
      <c r="K398" s="4" t="e">
        <f>VLOOKUP(A398,Revisión!$A$2:$L$703,9,FALSE)</f>
        <v>#N/A</v>
      </c>
      <c r="L398" s="4" t="e">
        <f>VLOOKUP(A398,Revisión!$A$2:$L$703,10,FALSE)</f>
        <v>#N/A</v>
      </c>
      <c r="M398" s="18" t="e">
        <f>VLOOKUP(A398,Revisión!$A$2:$L$703,11,FALSE)</f>
        <v>#N/A</v>
      </c>
      <c r="N398" s="30" t="str">
        <f>IF(E398="Coinciden",D398,IF(E398="Revisar",VLOOKUP(A398,Revisión!$A$2:$L$703,12,FALSE),""))</f>
        <v>Capraria biflora</v>
      </c>
    </row>
    <row r="399" spans="1:14" x14ac:dyDescent="0.3">
      <c r="A399" t="s">
        <v>841</v>
      </c>
      <c r="B399" t="s">
        <v>842</v>
      </c>
      <c r="C399" t="s">
        <v>842</v>
      </c>
      <c r="D399" t="s">
        <v>842</v>
      </c>
      <c r="E399" t="s">
        <v>18</v>
      </c>
      <c r="F399" t="s">
        <v>19</v>
      </c>
      <c r="H399" s="23" t="e">
        <f>VLOOKUP(A399,Revisión!$A$2:$L$703,6,FALSE)</f>
        <v>#N/A</v>
      </c>
      <c r="I399" s="4" t="e">
        <f>VLOOKUP(A399,Revisión!$A$2:$L$703,7,FALSE)</f>
        <v>#N/A</v>
      </c>
      <c r="J399" s="4" t="e">
        <f>VLOOKUP(A399,Revisión!$A$2:$L$703,8,FALSE)</f>
        <v>#N/A</v>
      </c>
      <c r="K399" s="4" t="e">
        <f>VLOOKUP(A399,Revisión!$A$2:$L$703,9,FALSE)</f>
        <v>#N/A</v>
      </c>
      <c r="L399" s="4" t="e">
        <f>VLOOKUP(A399,Revisión!$A$2:$L$703,10,FALSE)</f>
        <v>#N/A</v>
      </c>
      <c r="M399" s="18" t="e">
        <f>VLOOKUP(A399,Revisión!$A$2:$L$703,11,FALSE)</f>
        <v>#N/A</v>
      </c>
      <c r="N399" s="30" t="str">
        <f>IF(E399="Coinciden",D399,IF(E399="Revisar",VLOOKUP(A399,Revisión!$A$2:$L$703,12,FALSE),""))</f>
        <v>Capsella bursa-pastoris</v>
      </c>
    </row>
    <row r="400" spans="1:14" x14ac:dyDescent="0.3">
      <c r="A400" t="s">
        <v>843</v>
      </c>
      <c r="B400" t="s">
        <v>844</v>
      </c>
      <c r="C400" t="s">
        <v>844</v>
      </c>
      <c r="D400" t="s">
        <v>844</v>
      </c>
      <c r="E400" t="s">
        <v>18</v>
      </c>
      <c r="F400" t="s">
        <v>19</v>
      </c>
      <c r="H400" s="23" t="e">
        <f>VLOOKUP(A400,Revisión!$A$2:$L$703,6,FALSE)</f>
        <v>#N/A</v>
      </c>
      <c r="I400" s="4" t="e">
        <f>VLOOKUP(A400,Revisión!$A$2:$L$703,7,FALSE)</f>
        <v>#N/A</v>
      </c>
      <c r="J400" s="4" t="e">
        <f>VLOOKUP(A400,Revisión!$A$2:$L$703,8,FALSE)</f>
        <v>#N/A</v>
      </c>
      <c r="K400" s="4" t="e">
        <f>VLOOKUP(A400,Revisión!$A$2:$L$703,9,FALSE)</f>
        <v>#N/A</v>
      </c>
      <c r="L400" s="4" t="e">
        <f>VLOOKUP(A400,Revisión!$A$2:$L$703,10,FALSE)</f>
        <v>#N/A</v>
      </c>
      <c r="M400" s="18" t="e">
        <f>VLOOKUP(A400,Revisión!$A$2:$L$703,11,FALSE)</f>
        <v>#N/A</v>
      </c>
      <c r="N400" s="30" t="str">
        <f>IF(E400="Coinciden",D400,IF(E400="Revisar",VLOOKUP(A400,Revisión!$A$2:$L$703,12,FALSE),""))</f>
        <v>Capsicum frutescens</v>
      </c>
    </row>
    <row r="401" spans="1:14" x14ac:dyDescent="0.3">
      <c r="A401" t="s">
        <v>845</v>
      </c>
      <c r="C401" t="s">
        <v>846</v>
      </c>
      <c r="D401" t="s">
        <v>846</v>
      </c>
      <c r="E401" t="s">
        <v>8</v>
      </c>
      <c r="F401" t="s">
        <v>49</v>
      </c>
      <c r="H401" s="23" t="str">
        <f>VLOOKUP(A401,Revisión!$A$2:$L$703,6,FALSE)</f>
        <v>Cardamine lyrata</v>
      </c>
      <c r="I401" s="4" t="str">
        <f>VLOOKUP(A401,Revisión!$A$2:$L$703,7,FALSE)</f>
        <v>Cardamine lyrata</v>
      </c>
      <c r="J401" s="4" t="str">
        <f>VLOOKUP(A401,Revisión!$A$2:$L$703,8,FALSE)</f>
        <v>Cardamine lyrata</v>
      </c>
      <c r="K401" s="4" t="str">
        <f>VLOOKUP(A401,Revisión!$A$2:$L$703,9,FALSE)</f>
        <v>-</v>
      </c>
      <c r="L401" s="4" t="str">
        <f>VLOOKUP(A401,Revisión!$A$2:$L$703,10,FALSE)</f>
        <v>-</v>
      </c>
      <c r="M401" s="18">
        <f>VLOOKUP(A401,Revisión!$A$2:$L$703,11,FALSE)</f>
        <v>3</v>
      </c>
      <c r="N401" s="30" t="str">
        <f>IF(E401="Coinciden",D401,IF(E401="Revisar",VLOOKUP(A401,Revisión!$A$2:$L$703,12,FALSE),""))</f>
        <v>Cardamine lyrata</v>
      </c>
    </row>
    <row r="402" spans="1:14" x14ac:dyDescent="0.3">
      <c r="A402" t="s">
        <v>847</v>
      </c>
      <c r="B402" t="s">
        <v>848</v>
      </c>
      <c r="C402" t="s">
        <v>849</v>
      </c>
      <c r="D402" t="s">
        <v>849</v>
      </c>
      <c r="E402" t="s">
        <v>8</v>
      </c>
      <c r="F402" t="s">
        <v>23</v>
      </c>
      <c r="H402" s="23" t="str">
        <f>VLOOKUP(A402,Revisión!$A$2:$L$703,6,FALSE)</f>
        <v>Cardamine scutata</v>
      </c>
      <c r="I402" s="4" t="str">
        <f>VLOOKUP(A402,Revisión!$A$2:$L$703,7,FALSE)</f>
        <v>Cardamine scutata</v>
      </c>
      <c r="J402" s="4" t="str">
        <f>VLOOKUP(A402,Revisión!$A$2:$L$703,8,FALSE)</f>
        <v>Cardamine scutata</v>
      </c>
      <c r="K402" s="4" t="str">
        <f>VLOOKUP(A402,Revisión!$A$2:$L$703,9,FALSE)</f>
        <v>-</v>
      </c>
      <c r="L402" s="4" t="str">
        <f>VLOOKUP(A402,Revisión!$A$2:$L$703,10,FALSE)</f>
        <v>-</v>
      </c>
      <c r="M402" s="18">
        <f>VLOOKUP(A402,Revisión!$A$2:$L$703,11,FALSE)</f>
        <v>3</v>
      </c>
      <c r="N402" s="30" t="str">
        <f>IF(E402="Coinciden",D402,IF(E402="Revisar",VLOOKUP(A402,Revisión!$A$2:$L$703,12,FALSE),""))</f>
        <v>Cardamine scutata</v>
      </c>
    </row>
    <row r="403" spans="1:14" x14ac:dyDescent="0.3">
      <c r="A403" t="s">
        <v>850</v>
      </c>
      <c r="D403" t="s">
        <v>851</v>
      </c>
      <c r="E403" t="s">
        <v>8</v>
      </c>
      <c r="F403" t="s">
        <v>9</v>
      </c>
      <c r="H403" s="23" t="str">
        <f>VLOOKUP(A403,Revisión!$A$2:$L$703,6,FALSE)</f>
        <v>-</v>
      </c>
      <c r="I403" s="4" t="str">
        <f>VLOOKUP(A403,Revisión!$A$2:$L$703,7,FALSE)</f>
        <v>Macropodium nivale </v>
      </c>
      <c r="J403" s="4" t="str">
        <f>VLOOKUP(A403,Revisión!$A$2:$L$703,8,FALSE)</f>
        <v>Macropodium nivale </v>
      </c>
      <c r="K403" s="4" t="str">
        <f>VLOOKUP(A403,Revisión!$A$2:$L$703,9,FALSE)</f>
        <v>-</v>
      </c>
      <c r="L403" s="4" t="str">
        <f>VLOOKUP(A403,Revisión!$A$2:$L$703,10,FALSE)</f>
        <v>-</v>
      </c>
      <c r="M403" s="18">
        <f>VLOOKUP(A403,Revisión!$A$2:$L$703,11,FALSE)</f>
        <v>2</v>
      </c>
      <c r="N403" s="30" t="str">
        <f>IF(E403="Coinciden",D403,IF(E403="Revisar",VLOOKUP(A403,Revisión!$A$2:$L$703,12,FALSE),""))</f>
        <v>Macropodium nivale</v>
      </c>
    </row>
    <row r="404" spans="1:14" x14ac:dyDescent="0.3">
      <c r="A404" t="s">
        <v>852</v>
      </c>
      <c r="B404" t="s">
        <v>853</v>
      </c>
      <c r="D404" t="s">
        <v>853</v>
      </c>
      <c r="E404" t="s">
        <v>8</v>
      </c>
      <c r="F404" t="s">
        <v>34</v>
      </c>
      <c r="H404" s="23" t="str">
        <f>VLOOKUP(A404,Revisión!$A$2:$L$703,6,FALSE)</f>
        <v>Cardamine angustata</v>
      </c>
      <c r="I404" s="4" t="str">
        <f>VLOOKUP(A404,Revisión!$A$2:$L$703,7,FALSE)</f>
        <v>Cardamine angustata</v>
      </c>
      <c r="J404" s="4" t="str">
        <f>VLOOKUP(A404,Revisión!$A$2:$L$703,8,FALSE)</f>
        <v>Cardamine angustata</v>
      </c>
      <c r="K404" s="4" t="str">
        <f>VLOOKUP(A404,Revisión!$A$2:$L$703,9,FALSE)</f>
        <v>-</v>
      </c>
      <c r="L404" s="4" t="str">
        <f>VLOOKUP(A404,Revisión!$A$2:$L$703,10,FALSE)</f>
        <v>-</v>
      </c>
      <c r="M404" s="18">
        <f>VLOOKUP(A404,Revisión!$A$2:$L$703,11,FALSE)</f>
        <v>3</v>
      </c>
      <c r="N404" s="30" t="str">
        <f>IF(E404="Coinciden",D404,IF(E404="Revisar",VLOOKUP(A404,Revisión!$A$2:$L$703,12,FALSE),""))</f>
        <v>Cardamine angustata</v>
      </c>
    </row>
    <row r="405" spans="1:14" x14ac:dyDescent="0.3">
      <c r="A405" t="s">
        <v>854</v>
      </c>
      <c r="B405" t="s">
        <v>855</v>
      </c>
      <c r="C405" t="s">
        <v>855</v>
      </c>
      <c r="D405" t="s">
        <v>855</v>
      </c>
      <c r="E405" t="s">
        <v>18</v>
      </c>
      <c r="F405" t="s">
        <v>19</v>
      </c>
      <c r="H405" s="23" t="e">
        <f>VLOOKUP(A405,Revisión!$A$2:$L$703,6,FALSE)</f>
        <v>#N/A</v>
      </c>
      <c r="I405" s="4" t="e">
        <f>VLOOKUP(A405,Revisión!$A$2:$L$703,7,FALSE)</f>
        <v>#N/A</v>
      </c>
      <c r="J405" s="4" t="e">
        <f>VLOOKUP(A405,Revisión!$A$2:$L$703,8,FALSE)</f>
        <v>#N/A</v>
      </c>
      <c r="K405" s="4" t="e">
        <f>VLOOKUP(A405,Revisión!$A$2:$L$703,9,FALSE)</f>
        <v>#N/A</v>
      </c>
      <c r="L405" s="4" t="e">
        <f>VLOOKUP(A405,Revisión!$A$2:$L$703,10,FALSE)</f>
        <v>#N/A</v>
      </c>
      <c r="M405" s="18" t="e">
        <f>VLOOKUP(A405,Revisión!$A$2:$L$703,11,FALSE)</f>
        <v>#N/A</v>
      </c>
      <c r="N405" s="30" t="str">
        <f>IF(E405="Coinciden",D405,IF(E405="Revisar",VLOOKUP(A405,Revisión!$A$2:$L$703,12,FALSE),""))</f>
        <v>Cardamine bulbosa</v>
      </c>
    </row>
    <row r="406" spans="1:14" x14ac:dyDescent="0.3">
      <c r="A406" t="s">
        <v>856</v>
      </c>
      <c r="B406" t="s">
        <v>857</v>
      </c>
      <c r="C406" t="s">
        <v>857</v>
      </c>
      <c r="D406" t="s">
        <v>857</v>
      </c>
      <c r="E406" t="s">
        <v>18</v>
      </c>
      <c r="F406" t="s">
        <v>19</v>
      </c>
      <c r="H406" s="23" t="e">
        <f>VLOOKUP(A406,Revisión!$A$2:$L$703,6,FALSE)</f>
        <v>#N/A</v>
      </c>
      <c r="I406" s="4" t="e">
        <f>VLOOKUP(A406,Revisión!$A$2:$L$703,7,FALSE)</f>
        <v>#N/A</v>
      </c>
      <c r="J406" s="4" t="e">
        <f>VLOOKUP(A406,Revisión!$A$2:$L$703,8,FALSE)</f>
        <v>#N/A</v>
      </c>
      <c r="K406" s="4" t="e">
        <f>VLOOKUP(A406,Revisión!$A$2:$L$703,9,FALSE)</f>
        <v>#N/A</v>
      </c>
      <c r="L406" s="4" t="e">
        <f>VLOOKUP(A406,Revisión!$A$2:$L$703,10,FALSE)</f>
        <v>#N/A</v>
      </c>
      <c r="M406" s="18" t="e">
        <f>VLOOKUP(A406,Revisión!$A$2:$L$703,11,FALSE)</f>
        <v>#N/A</v>
      </c>
      <c r="N406" s="30" t="str">
        <f>IF(E406="Coinciden",D406,IF(E406="Revisar",VLOOKUP(A406,Revisión!$A$2:$L$703,12,FALSE),""))</f>
        <v>Cardamine tanakae</v>
      </c>
    </row>
    <row r="407" spans="1:14" x14ac:dyDescent="0.3">
      <c r="A407" t="s">
        <v>858</v>
      </c>
      <c r="B407" t="s">
        <v>859</v>
      </c>
      <c r="C407" t="s">
        <v>859</v>
      </c>
      <c r="D407" t="s">
        <v>859</v>
      </c>
      <c r="E407" t="s">
        <v>18</v>
      </c>
      <c r="F407" t="s">
        <v>19</v>
      </c>
      <c r="H407" s="23" t="e">
        <f>VLOOKUP(A407,Revisión!$A$2:$L$703,6,FALSE)</f>
        <v>#N/A</v>
      </c>
      <c r="I407" s="4" t="e">
        <f>VLOOKUP(A407,Revisión!$A$2:$L$703,7,FALSE)</f>
        <v>#N/A</v>
      </c>
      <c r="J407" s="4" t="e">
        <f>VLOOKUP(A407,Revisión!$A$2:$L$703,8,FALSE)</f>
        <v>#N/A</v>
      </c>
      <c r="K407" s="4" t="e">
        <f>VLOOKUP(A407,Revisión!$A$2:$L$703,9,FALSE)</f>
        <v>#N/A</v>
      </c>
      <c r="L407" s="4" t="e">
        <f>VLOOKUP(A407,Revisión!$A$2:$L$703,10,FALSE)</f>
        <v>#N/A</v>
      </c>
      <c r="M407" s="18" t="e">
        <f>VLOOKUP(A407,Revisión!$A$2:$L$703,11,FALSE)</f>
        <v>#N/A</v>
      </c>
      <c r="N407" s="30" t="str">
        <f>IF(E407="Coinciden",D407,IF(E407="Revisar",VLOOKUP(A407,Revisión!$A$2:$L$703,12,FALSE),""))</f>
        <v>Lepidium draba</v>
      </c>
    </row>
    <row r="408" spans="1:14" x14ac:dyDescent="0.3">
      <c r="A408" t="s">
        <v>860</v>
      </c>
      <c r="C408" t="s">
        <v>861</v>
      </c>
      <c r="D408" t="s">
        <v>861</v>
      </c>
      <c r="E408" t="s">
        <v>8</v>
      </c>
      <c r="F408" t="s">
        <v>49</v>
      </c>
      <c r="H408" s="23" t="str">
        <f>VLOOKUP(A408,Revisión!$A$2:$L$703,6,FALSE)</f>
        <v>Hydrangea alternifolia</v>
      </c>
      <c r="I408" s="4" t="str">
        <f>VLOOKUP(A408,Revisión!$A$2:$L$703,7,FALSE)</f>
        <v>Hydrangea alternifolia</v>
      </c>
      <c r="J408" s="4" t="str">
        <f>VLOOKUP(A408,Revisión!$A$2:$L$703,8,FALSE)</f>
        <v>Hydrangea alternifolia</v>
      </c>
      <c r="K408" s="4" t="str">
        <f>VLOOKUP(A408,Revisión!$A$2:$L$703,9,FALSE)</f>
        <v>-</v>
      </c>
      <c r="L408" s="4" t="str">
        <f>VLOOKUP(A408,Revisión!$A$2:$L$703,10,FALSE)</f>
        <v>-</v>
      </c>
      <c r="M408" s="18">
        <f>VLOOKUP(A408,Revisión!$A$2:$L$703,11,FALSE)</f>
        <v>3</v>
      </c>
      <c r="N408" s="30" t="str">
        <f>IF(E408="Coinciden",D408,IF(E408="Revisar",VLOOKUP(A408,Revisión!$A$2:$L$703,12,FALSE),""))</f>
        <v>Hydrangea alternifolia</v>
      </c>
    </row>
    <row r="409" spans="1:14" x14ac:dyDescent="0.3">
      <c r="A409" t="s">
        <v>862</v>
      </c>
      <c r="B409" t="s">
        <v>863</v>
      </c>
      <c r="C409" t="s">
        <v>863</v>
      </c>
      <c r="D409" t="s">
        <v>863</v>
      </c>
      <c r="E409" t="s">
        <v>18</v>
      </c>
      <c r="F409" t="s">
        <v>19</v>
      </c>
      <c r="H409" s="23" t="e">
        <f>VLOOKUP(A409,Revisión!$A$2:$L$703,6,FALSE)</f>
        <v>#N/A</v>
      </c>
      <c r="I409" s="4" t="e">
        <f>VLOOKUP(A409,Revisión!$A$2:$L$703,7,FALSE)</f>
        <v>#N/A</v>
      </c>
      <c r="J409" s="4" t="e">
        <f>VLOOKUP(A409,Revisión!$A$2:$L$703,8,FALSE)</f>
        <v>#N/A</v>
      </c>
      <c r="K409" s="4" t="e">
        <f>VLOOKUP(A409,Revisión!$A$2:$L$703,9,FALSE)</f>
        <v>#N/A</v>
      </c>
      <c r="L409" s="4" t="e">
        <f>VLOOKUP(A409,Revisión!$A$2:$L$703,10,FALSE)</f>
        <v>#N/A</v>
      </c>
      <c r="M409" s="18" t="e">
        <f>VLOOKUP(A409,Revisión!$A$2:$L$703,11,FALSE)</f>
        <v>#N/A</v>
      </c>
      <c r="N409" s="30" t="str">
        <f>IF(E409="Coinciden",D409,IF(E409="Revisar",VLOOKUP(A409,Revisión!$A$2:$L$703,12,FALSE),""))</f>
        <v>Cardiospermum corindum</v>
      </c>
    </row>
    <row r="410" spans="1:14" x14ac:dyDescent="0.3">
      <c r="A410" t="s">
        <v>864</v>
      </c>
      <c r="B410" t="s">
        <v>865</v>
      </c>
      <c r="C410" t="s">
        <v>865</v>
      </c>
      <c r="D410" t="s">
        <v>865</v>
      </c>
      <c r="E410" t="s">
        <v>18</v>
      </c>
      <c r="F410" t="s">
        <v>19</v>
      </c>
      <c r="H410" s="23" t="e">
        <f>VLOOKUP(A410,Revisión!$A$2:$L$703,6,FALSE)</f>
        <v>#N/A</v>
      </c>
      <c r="I410" s="4" t="e">
        <f>VLOOKUP(A410,Revisión!$A$2:$L$703,7,FALSE)</f>
        <v>#N/A</v>
      </c>
      <c r="J410" s="4" t="e">
        <f>VLOOKUP(A410,Revisión!$A$2:$L$703,8,FALSE)</f>
        <v>#N/A</v>
      </c>
      <c r="K410" s="4" t="e">
        <f>VLOOKUP(A410,Revisión!$A$2:$L$703,9,FALSE)</f>
        <v>#N/A</v>
      </c>
      <c r="L410" s="4" t="e">
        <f>VLOOKUP(A410,Revisión!$A$2:$L$703,10,FALSE)</f>
        <v>#N/A</v>
      </c>
      <c r="M410" s="18" t="e">
        <f>VLOOKUP(A410,Revisión!$A$2:$L$703,11,FALSE)</f>
        <v>#N/A</v>
      </c>
      <c r="N410" s="30" t="str">
        <f>IF(E410="Coinciden",D410,IF(E410="Revisar",VLOOKUP(A410,Revisión!$A$2:$L$703,12,FALSE),""))</f>
        <v>Carduus pycnocephalus</v>
      </c>
    </row>
    <row r="411" spans="1:14" x14ac:dyDescent="0.3">
      <c r="A411" t="s">
        <v>866</v>
      </c>
      <c r="B411" t="s">
        <v>867</v>
      </c>
      <c r="D411" t="s">
        <v>867</v>
      </c>
      <c r="E411" t="s">
        <v>8</v>
      </c>
      <c r="F411" t="s">
        <v>34</v>
      </c>
      <c r="H411" s="23" t="str">
        <f>VLOOKUP(A411,Revisión!$A$2:$L$703,6,FALSE)</f>
        <v>Carduus acanthoides</v>
      </c>
      <c r="I411" s="4" t="str">
        <f>VLOOKUP(A411,Revisión!$A$2:$L$703,7,FALSE)</f>
        <v>carduus acanthoides</v>
      </c>
      <c r="J411" s="4" t="str">
        <f>VLOOKUP(A411,Revisión!$A$2:$L$703,8,FALSE)</f>
        <v>Carduus acanthoides</v>
      </c>
      <c r="K411" s="4" t="str">
        <f>VLOOKUP(A411,Revisión!$A$2:$L$703,9,FALSE)</f>
        <v>-</v>
      </c>
      <c r="L411" s="4" t="str">
        <f>VLOOKUP(A411,Revisión!$A$2:$L$703,10,FALSE)</f>
        <v>-</v>
      </c>
      <c r="M411" s="18">
        <f>VLOOKUP(A411,Revisión!$A$2:$L$703,11,FALSE)</f>
        <v>3</v>
      </c>
      <c r="N411" s="30" t="str">
        <f>IF(E411="Coinciden",D411,IF(E411="Revisar",VLOOKUP(A411,Revisión!$A$2:$L$703,12,FALSE),""))</f>
        <v>carduus acanthoides</v>
      </c>
    </row>
    <row r="412" spans="1:14" x14ac:dyDescent="0.3">
      <c r="A412" t="s">
        <v>868</v>
      </c>
      <c r="B412" t="s">
        <v>869</v>
      </c>
      <c r="C412" t="s">
        <v>869</v>
      </c>
      <c r="D412" t="s">
        <v>869</v>
      </c>
      <c r="E412" t="s">
        <v>18</v>
      </c>
      <c r="F412" t="s">
        <v>19</v>
      </c>
      <c r="H412" s="23" t="e">
        <f>VLOOKUP(A412,Revisión!$A$2:$L$703,6,FALSE)</f>
        <v>#N/A</v>
      </c>
      <c r="I412" s="4" t="e">
        <f>VLOOKUP(A412,Revisión!$A$2:$L$703,7,FALSE)</f>
        <v>#N/A</v>
      </c>
      <c r="J412" s="4" t="e">
        <f>VLOOKUP(A412,Revisión!$A$2:$L$703,8,FALSE)</f>
        <v>#N/A</v>
      </c>
      <c r="K412" s="4" t="e">
        <f>VLOOKUP(A412,Revisión!$A$2:$L$703,9,FALSE)</f>
        <v>#N/A</v>
      </c>
      <c r="L412" s="4" t="e">
        <f>VLOOKUP(A412,Revisión!$A$2:$L$703,10,FALSE)</f>
        <v>#N/A</v>
      </c>
      <c r="M412" s="18" t="e">
        <f>VLOOKUP(A412,Revisión!$A$2:$L$703,11,FALSE)</f>
        <v>#N/A</v>
      </c>
      <c r="N412" s="30" t="str">
        <f>IF(E412="Coinciden",D412,IF(E412="Revisar",VLOOKUP(A412,Revisión!$A$2:$L$703,12,FALSE),""))</f>
        <v>Carduus tenuiflorus</v>
      </c>
    </row>
    <row r="413" spans="1:14" x14ac:dyDescent="0.3">
      <c r="A413" t="s">
        <v>870</v>
      </c>
      <c r="B413" t="s">
        <v>871</v>
      </c>
      <c r="C413" t="s">
        <v>871</v>
      </c>
      <c r="D413" t="s">
        <v>871</v>
      </c>
      <c r="E413" t="s">
        <v>18</v>
      </c>
      <c r="F413" t="s">
        <v>19</v>
      </c>
      <c r="H413" s="23" t="e">
        <f>VLOOKUP(A413,Revisión!$A$2:$L$703,6,FALSE)</f>
        <v>#N/A</v>
      </c>
      <c r="I413" s="4" t="e">
        <f>VLOOKUP(A413,Revisión!$A$2:$L$703,7,FALSE)</f>
        <v>#N/A</v>
      </c>
      <c r="J413" s="4" t="e">
        <f>VLOOKUP(A413,Revisión!$A$2:$L$703,8,FALSE)</f>
        <v>#N/A</v>
      </c>
      <c r="K413" s="4" t="e">
        <f>VLOOKUP(A413,Revisión!$A$2:$L$703,9,FALSE)</f>
        <v>#N/A</v>
      </c>
      <c r="L413" s="4" t="e">
        <f>VLOOKUP(A413,Revisión!$A$2:$L$703,10,FALSE)</f>
        <v>#N/A</v>
      </c>
      <c r="M413" s="18" t="e">
        <f>VLOOKUP(A413,Revisión!$A$2:$L$703,11,FALSE)</f>
        <v>#N/A</v>
      </c>
      <c r="N413" s="30" t="str">
        <f>IF(E413="Coinciden",D413,IF(E413="Revisar",VLOOKUP(A413,Revisión!$A$2:$L$703,12,FALSE),""))</f>
        <v>Cirsium hookerianum</v>
      </c>
    </row>
    <row r="414" spans="1:14" x14ac:dyDescent="0.3">
      <c r="A414" t="s">
        <v>872</v>
      </c>
      <c r="B414" t="s">
        <v>873</v>
      </c>
      <c r="C414" t="s">
        <v>873</v>
      </c>
      <c r="D414" t="s">
        <v>873</v>
      </c>
      <c r="E414" t="s">
        <v>18</v>
      </c>
      <c r="F414" t="s">
        <v>19</v>
      </c>
      <c r="H414" s="23" t="e">
        <f>VLOOKUP(A414,Revisión!$A$2:$L$703,6,FALSE)</f>
        <v>#N/A</v>
      </c>
      <c r="I414" s="4" t="e">
        <f>VLOOKUP(A414,Revisión!$A$2:$L$703,7,FALSE)</f>
        <v>#N/A</v>
      </c>
      <c r="J414" s="4" t="e">
        <f>VLOOKUP(A414,Revisión!$A$2:$L$703,8,FALSE)</f>
        <v>#N/A</v>
      </c>
      <c r="K414" s="4" t="e">
        <f>VLOOKUP(A414,Revisión!$A$2:$L$703,9,FALSE)</f>
        <v>#N/A</v>
      </c>
      <c r="L414" s="4" t="e">
        <f>VLOOKUP(A414,Revisión!$A$2:$L$703,10,FALSE)</f>
        <v>#N/A</v>
      </c>
      <c r="M414" s="18" t="e">
        <f>VLOOKUP(A414,Revisión!$A$2:$L$703,11,FALSE)</f>
        <v>#N/A</v>
      </c>
      <c r="N414" s="30" t="str">
        <f>IF(E414="Coinciden",D414,IF(E414="Revisar",VLOOKUP(A414,Revisión!$A$2:$L$703,12,FALSE),""))</f>
        <v>Carex curvicollis</v>
      </c>
    </row>
    <row r="415" spans="1:14" x14ac:dyDescent="0.3">
      <c r="A415" t="s">
        <v>874</v>
      </c>
      <c r="B415" t="s">
        <v>875</v>
      </c>
      <c r="C415" t="s">
        <v>875</v>
      </c>
      <c r="D415" t="s">
        <v>875</v>
      </c>
      <c r="E415" t="s">
        <v>18</v>
      </c>
      <c r="F415" t="s">
        <v>19</v>
      </c>
      <c r="H415" s="23" t="e">
        <f>VLOOKUP(A415,Revisión!$A$2:$L$703,6,FALSE)</f>
        <v>#N/A</v>
      </c>
      <c r="I415" s="4" t="e">
        <f>VLOOKUP(A415,Revisión!$A$2:$L$703,7,FALSE)</f>
        <v>#N/A</v>
      </c>
      <c r="J415" s="4" t="e">
        <f>VLOOKUP(A415,Revisión!$A$2:$L$703,8,FALSE)</f>
        <v>#N/A</v>
      </c>
      <c r="K415" s="4" t="e">
        <f>VLOOKUP(A415,Revisión!$A$2:$L$703,9,FALSE)</f>
        <v>#N/A</v>
      </c>
      <c r="L415" s="4" t="e">
        <f>VLOOKUP(A415,Revisión!$A$2:$L$703,10,FALSE)</f>
        <v>#N/A</v>
      </c>
      <c r="M415" s="18" t="e">
        <f>VLOOKUP(A415,Revisión!$A$2:$L$703,11,FALSE)</f>
        <v>#N/A</v>
      </c>
      <c r="N415" s="30" t="str">
        <f>IF(E415="Coinciden",D415,IF(E415="Revisar",VLOOKUP(A415,Revisión!$A$2:$L$703,12,FALSE),""))</f>
        <v>Carica papaya</v>
      </c>
    </row>
    <row r="416" spans="1:14" x14ac:dyDescent="0.3">
      <c r="A416" t="s">
        <v>876</v>
      </c>
      <c r="B416" t="s">
        <v>877</v>
      </c>
      <c r="C416" t="s">
        <v>877</v>
      </c>
      <c r="D416" t="s">
        <v>877</v>
      </c>
      <c r="E416" t="s">
        <v>18</v>
      </c>
      <c r="F416" t="s">
        <v>19</v>
      </c>
      <c r="H416" s="23" t="e">
        <f>VLOOKUP(A416,Revisión!$A$2:$L$703,6,FALSE)</f>
        <v>#N/A</v>
      </c>
      <c r="I416" s="4" t="e">
        <f>VLOOKUP(A416,Revisión!$A$2:$L$703,7,FALSE)</f>
        <v>#N/A</v>
      </c>
      <c r="J416" s="4" t="e">
        <f>VLOOKUP(A416,Revisión!$A$2:$L$703,8,FALSE)</f>
        <v>#N/A</v>
      </c>
      <c r="K416" s="4" t="e">
        <f>VLOOKUP(A416,Revisión!$A$2:$L$703,9,FALSE)</f>
        <v>#N/A</v>
      </c>
      <c r="L416" s="4" t="e">
        <f>VLOOKUP(A416,Revisión!$A$2:$L$703,10,FALSE)</f>
        <v>#N/A</v>
      </c>
      <c r="M416" s="18" t="e">
        <f>VLOOKUP(A416,Revisión!$A$2:$L$703,11,FALSE)</f>
        <v>#N/A</v>
      </c>
      <c r="N416" s="30" t="str">
        <f>IF(E416="Coinciden",D416,IF(E416="Revisar",VLOOKUP(A416,Revisión!$A$2:$L$703,12,FALSE),""))</f>
        <v>Carmichaelia odorata</v>
      </c>
    </row>
    <row r="417" spans="1:14" x14ac:dyDescent="0.3">
      <c r="A417" t="s">
        <v>878</v>
      </c>
      <c r="B417" t="s">
        <v>879</v>
      </c>
      <c r="C417" t="s">
        <v>879</v>
      </c>
      <c r="D417" t="s">
        <v>879</v>
      </c>
      <c r="E417" t="s">
        <v>18</v>
      </c>
      <c r="F417" t="s">
        <v>19</v>
      </c>
      <c r="H417" s="23" t="e">
        <f>VLOOKUP(A417,Revisión!$A$2:$L$703,6,FALSE)</f>
        <v>#N/A</v>
      </c>
      <c r="I417" s="4" t="e">
        <f>VLOOKUP(A417,Revisión!$A$2:$L$703,7,FALSE)</f>
        <v>#N/A</v>
      </c>
      <c r="J417" s="4" t="e">
        <f>VLOOKUP(A417,Revisión!$A$2:$L$703,8,FALSE)</f>
        <v>#N/A</v>
      </c>
      <c r="K417" s="4" t="e">
        <f>VLOOKUP(A417,Revisión!$A$2:$L$703,9,FALSE)</f>
        <v>#N/A</v>
      </c>
      <c r="L417" s="4" t="e">
        <f>VLOOKUP(A417,Revisión!$A$2:$L$703,10,FALSE)</f>
        <v>#N/A</v>
      </c>
      <c r="M417" s="18" t="e">
        <f>VLOOKUP(A417,Revisión!$A$2:$L$703,11,FALSE)</f>
        <v>#N/A</v>
      </c>
      <c r="N417" s="30" t="str">
        <f>IF(E417="Coinciden",D417,IF(E417="Revisar",VLOOKUP(A417,Revisión!$A$2:$L$703,12,FALSE),""))</f>
        <v>Carolus chasei</v>
      </c>
    </row>
    <row r="418" spans="1:14" x14ac:dyDescent="0.3">
      <c r="A418" t="s">
        <v>880</v>
      </c>
      <c r="B418" t="s">
        <v>881</v>
      </c>
      <c r="C418" t="s">
        <v>881</v>
      </c>
      <c r="D418" t="s">
        <v>881</v>
      </c>
      <c r="E418" t="s">
        <v>18</v>
      </c>
      <c r="F418" t="s">
        <v>19</v>
      </c>
      <c r="H418" s="23" t="e">
        <f>VLOOKUP(A418,Revisión!$A$2:$L$703,6,FALSE)</f>
        <v>#N/A</v>
      </c>
      <c r="I418" s="4" t="e">
        <f>VLOOKUP(A418,Revisión!$A$2:$L$703,7,FALSE)</f>
        <v>#N/A</v>
      </c>
      <c r="J418" s="4" t="e">
        <f>VLOOKUP(A418,Revisión!$A$2:$L$703,8,FALSE)</f>
        <v>#N/A</v>
      </c>
      <c r="K418" s="4" t="e">
        <f>VLOOKUP(A418,Revisión!$A$2:$L$703,9,FALSE)</f>
        <v>#N/A</v>
      </c>
      <c r="L418" s="4" t="e">
        <f>VLOOKUP(A418,Revisión!$A$2:$L$703,10,FALSE)</f>
        <v>#N/A</v>
      </c>
      <c r="M418" s="18" t="e">
        <f>VLOOKUP(A418,Revisión!$A$2:$L$703,11,FALSE)</f>
        <v>#N/A</v>
      </c>
      <c r="N418" s="30" t="str">
        <f>IF(E418="Coinciden",D418,IF(E418="Revisar",VLOOKUP(A418,Revisión!$A$2:$L$703,12,FALSE),""))</f>
        <v>Carpesium divaricatum</v>
      </c>
    </row>
    <row r="419" spans="1:14" x14ac:dyDescent="0.3">
      <c r="A419" t="s">
        <v>882</v>
      </c>
      <c r="E419" t="s">
        <v>8</v>
      </c>
      <c r="F419" t="s">
        <v>11</v>
      </c>
      <c r="H419" s="23" t="e">
        <f>VLOOKUP(A419,Revisión!$A$2:$L$703,6,FALSE)</f>
        <v>#N/A</v>
      </c>
      <c r="I419" s="4" t="e">
        <f>VLOOKUP(A419,Revisión!$A$2:$L$703,7,FALSE)</f>
        <v>#N/A</v>
      </c>
      <c r="J419" s="4" t="e">
        <f>VLOOKUP(A419,Revisión!$A$2:$L$703,8,FALSE)</f>
        <v>#N/A</v>
      </c>
      <c r="K419" s="4" t="e">
        <f>VLOOKUP(A419,Revisión!$A$2:$L$703,9,FALSE)</f>
        <v>#N/A</v>
      </c>
      <c r="L419" s="4" t="e">
        <f>VLOOKUP(A419,Revisión!$A$2:$L$703,10,FALSE)</f>
        <v>#N/A</v>
      </c>
      <c r="M419" s="18" t="e">
        <f>VLOOKUP(A419,Revisión!$A$2:$L$703,11,FALSE)</f>
        <v>#N/A</v>
      </c>
      <c r="N419" s="30" t="e">
        <f>IF(E419="Coinciden",D419,IF(E419="Revisar",VLOOKUP(A419,Revisión!$A$2:$L$703,12,FALSE),""))</f>
        <v>#N/A</v>
      </c>
    </row>
    <row r="420" spans="1:14" x14ac:dyDescent="0.3">
      <c r="A420" t="s">
        <v>883</v>
      </c>
      <c r="B420" t="s">
        <v>884</v>
      </c>
      <c r="C420" t="s">
        <v>884</v>
      </c>
      <c r="D420" t="s">
        <v>884</v>
      </c>
      <c r="E420" t="s">
        <v>18</v>
      </c>
      <c r="F420" t="s">
        <v>19</v>
      </c>
      <c r="H420" s="23" t="e">
        <f>VLOOKUP(A420,Revisión!$A$2:$L$703,6,FALSE)</f>
        <v>#N/A</v>
      </c>
      <c r="I420" s="4" t="e">
        <f>VLOOKUP(A420,Revisión!$A$2:$L$703,7,FALSE)</f>
        <v>#N/A</v>
      </c>
      <c r="J420" s="4" t="e">
        <f>VLOOKUP(A420,Revisión!$A$2:$L$703,8,FALSE)</f>
        <v>#N/A</v>
      </c>
      <c r="K420" s="4" t="e">
        <f>VLOOKUP(A420,Revisión!$A$2:$L$703,9,FALSE)</f>
        <v>#N/A</v>
      </c>
      <c r="L420" s="4" t="e">
        <f>VLOOKUP(A420,Revisión!$A$2:$L$703,10,FALSE)</f>
        <v>#N/A</v>
      </c>
      <c r="M420" s="18" t="e">
        <f>VLOOKUP(A420,Revisión!$A$2:$L$703,11,FALSE)</f>
        <v>#N/A</v>
      </c>
      <c r="N420" s="30" t="str">
        <f>IF(E420="Coinciden",D420,IF(E420="Revisar",VLOOKUP(A420,Revisión!$A$2:$L$703,12,FALSE),""))</f>
        <v>Tripora divaricata</v>
      </c>
    </row>
    <row r="421" spans="1:14" x14ac:dyDescent="0.3">
      <c r="A421" t="s">
        <v>885</v>
      </c>
      <c r="B421" t="s">
        <v>886</v>
      </c>
      <c r="D421" t="s">
        <v>886</v>
      </c>
      <c r="E421" t="s">
        <v>8</v>
      </c>
      <c r="F421" t="s">
        <v>34</v>
      </c>
      <c r="H421" s="23" t="str">
        <f>VLOOKUP(A421,Revisión!$A$2:$L$703,6,FALSE)</f>
        <v>Casearia coriacea</v>
      </c>
      <c r="I421" s="4" t="str">
        <f>VLOOKUP(A421,Revisión!$A$2:$L$703,7,FALSE)</f>
        <v>Casearia coriacea</v>
      </c>
      <c r="J421" s="4" t="str">
        <f>VLOOKUP(A421,Revisión!$A$2:$L$703,8,FALSE)</f>
        <v>Casearia coriacea</v>
      </c>
      <c r="K421" s="4" t="str">
        <f>VLOOKUP(A421,Revisión!$A$2:$L$703,9,FALSE)</f>
        <v>-</v>
      </c>
      <c r="L421" s="4" t="str">
        <f>VLOOKUP(A421,Revisión!$A$2:$L$703,10,FALSE)</f>
        <v>-</v>
      </c>
      <c r="M421" s="18">
        <f>VLOOKUP(A421,Revisión!$A$2:$L$703,11,FALSE)</f>
        <v>3</v>
      </c>
      <c r="N421" s="30" t="str">
        <f>IF(E421="Coinciden",D421,IF(E421="Revisar",VLOOKUP(A421,Revisión!$A$2:$L$703,12,FALSE),""))</f>
        <v>Casearia coriacea</v>
      </c>
    </row>
    <row r="422" spans="1:14" x14ac:dyDescent="0.3">
      <c r="A422" t="s">
        <v>887</v>
      </c>
      <c r="E422" t="s">
        <v>8</v>
      </c>
      <c r="F422" t="s">
        <v>11</v>
      </c>
      <c r="H422" s="23" t="e">
        <f>VLOOKUP(A422,Revisión!$A$2:$L$703,6,FALSE)</f>
        <v>#N/A</v>
      </c>
      <c r="I422" s="4" t="e">
        <f>VLOOKUP(A422,Revisión!$A$2:$L$703,7,FALSE)</f>
        <v>#N/A</v>
      </c>
      <c r="J422" s="4" t="e">
        <f>VLOOKUP(A422,Revisión!$A$2:$L$703,8,FALSE)</f>
        <v>#N/A</v>
      </c>
      <c r="K422" s="4" t="e">
        <f>VLOOKUP(A422,Revisión!$A$2:$L$703,9,FALSE)</f>
        <v>#N/A</v>
      </c>
      <c r="L422" s="4" t="e">
        <f>VLOOKUP(A422,Revisión!$A$2:$L$703,10,FALSE)</f>
        <v>#N/A</v>
      </c>
      <c r="M422" s="18" t="e">
        <f>VLOOKUP(A422,Revisión!$A$2:$L$703,11,FALSE)</f>
        <v>#N/A</v>
      </c>
      <c r="N422" s="30" t="e">
        <f>IF(E422="Coinciden",D422,IF(E422="Revisar",VLOOKUP(A422,Revisión!$A$2:$L$703,12,FALSE),""))</f>
        <v>#N/A</v>
      </c>
    </row>
    <row r="423" spans="1:14" x14ac:dyDescent="0.3">
      <c r="A423" t="s">
        <v>888</v>
      </c>
      <c r="B423" t="s">
        <v>889</v>
      </c>
      <c r="C423" t="s">
        <v>889</v>
      </c>
      <c r="D423" t="s">
        <v>889</v>
      </c>
      <c r="E423" t="s">
        <v>18</v>
      </c>
      <c r="F423" t="s">
        <v>19</v>
      </c>
      <c r="H423" s="23" t="e">
        <f>VLOOKUP(A423,Revisión!$A$2:$L$703,6,FALSE)</f>
        <v>#N/A</v>
      </c>
      <c r="I423" s="4" t="e">
        <f>VLOOKUP(A423,Revisión!$A$2:$L$703,7,FALSE)</f>
        <v>#N/A</v>
      </c>
      <c r="J423" s="4" t="e">
        <f>VLOOKUP(A423,Revisión!$A$2:$L$703,8,FALSE)</f>
        <v>#N/A</v>
      </c>
      <c r="K423" s="4" t="e">
        <f>VLOOKUP(A423,Revisión!$A$2:$L$703,9,FALSE)</f>
        <v>#N/A</v>
      </c>
      <c r="L423" s="4" t="e">
        <f>VLOOKUP(A423,Revisión!$A$2:$L$703,10,FALSE)</f>
        <v>#N/A</v>
      </c>
      <c r="M423" s="18" t="e">
        <f>VLOOKUP(A423,Revisión!$A$2:$L$703,11,FALSE)</f>
        <v>#N/A</v>
      </c>
      <c r="N423" s="30" t="str">
        <f>IF(E423="Coinciden",D423,IF(E423="Revisar",VLOOKUP(A423,Revisión!$A$2:$L$703,12,FALSE),""))</f>
        <v>Senna pistaciifolia var. picta</v>
      </c>
    </row>
    <row r="424" spans="1:14" x14ac:dyDescent="0.3">
      <c r="A424" t="s">
        <v>890</v>
      </c>
      <c r="C424" t="s">
        <v>891</v>
      </c>
      <c r="D424" t="s">
        <v>892</v>
      </c>
      <c r="E424" t="s">
        <v>8</v>
      </c>
      <c r="F424" t="s">
        <v>9</v>
      </c>
      <c r="H424" s="23" t="str">
        <f>VLOOKUP(A424,Revisión!$A$2:$L$703,6,FALSE)</f>
        <v>Chamaecrista</v>
      </c>
      <c r="I424" s="4" t="str">
        <f>VLOOKUP(A424,Revisión!$A$2:$L$703,7,FALSE)</f>
        <v>Chamaecrista fasciculata</v>
      </c>
      <c r="J424" s="4" t="str">
        <f>VLOOKUP(A424,Revisión!$A$2:$L$703,8,FALSE)</f>
        <v>Chamaecrista fasciculata</v>
      </c>
      <c r="K424" s="4" t="str">
        <f>VLOOKUP(A424,Revisión!$A$2:$L$703,9,FALSE)</f>
        <v>-</v>
      </c>
      <c r="L424" s="4" t="str">
        <f>VLOOKUP(A424,Revisión!$A$2:$L$703,10,FALSE)</f>
        <v>-</v>
      </c>
      <c r="M424" s="18">
        <f>VLOOKUP(A424,Revisión!$A$2:$L$703,11,FALSE)</f>
        <v>2</v>
      </c>
      <c r="N424" s="30" t="str">
        <f>IF(E424="Coinciden",D424,IF(E424="Revisar",VLOOKUP(A424,Revisión!$A$2:$L$703,12,FALSE),""))</f>
        <v>Chamaecrista fasciculata</v>
      </c>
    </row>
    <row r="425" spans="1:14" x14ac:dyDescent="0.3">
      <c r="A425" t="s">
        <v>893</v>
      </c>
      <c r="E425" t="s">
        <v>8</v>
      </c>
      <c r="F425" t="s">
        <v>11</v>
      </c>
      <c r="H425" s="23" t="e">
        <f>VLOOKUP(A425,Revisión!$A$2:$L$703,6,FALSE)</f>
        <v>#N/A</v>
      </c>
      <c r="I425" s="4" t="e">
        <f>VLOOKUP(A425,Revisión!$A$2:$L$703,7,FALSE)</f>
        <v>#N/A</v>
      </c>
      <c r="J425" s="4" t="e">
        <f>VLOOKUP(A425,Revisión!$A$2:$L$703,8,FALSE)</f>
        <v>#N/A</v>
      </c>
      <c r="K425" s="4" t="e">
        <f>VLOOKUP(A425,Revisión!$A$2:$L$703,9,FALSE)</f>
        <v>#N/A</v>
      </c>
      <c r="L425" s="4" t="e">
        <f>VLOOKUP(A425,Revisión!$A$2:$L$703,10,FALSE)</f>
        <v>#N/A</v>
      </c>
      <c r="M425" s="18" t="e">
        <f>VLOOKUP(A425,Revisión!$A$2:$L$703,11,FALSE)</f>
        <v>#N/A</v>
      </c>
      <c r="N425" s="30" t="e">
        <f>IF(E425="Coinciden",D425,IF(E425="Revisar",VLOOKUP(A425,Revisión!$A$2:$L$703,12,FALSE),""))</f>
        <v>#N/A</v>
      </c>
    </row>
    <row r="426" spans="1:14" x14ac:dyDescent="0.3">
      <c r="A426" t="s">
        <v>894</v>
      </c>
      <c r="B426" t="s">
        <v>895</v>
      </c>
      <c r="C426" t="s">
        <v>895</v>
      </c>
      <c r="D426" t="s">
        <v>895</v>
      </c>
      <c r="E426" t="s">
        <v>18</v>
      </c>
      <c r="F426" t="s">
        <v>19</v>
      </c>
      <c r="H426" s="23" t="e">
        <f>VLOOKUP(A426,Revisión!$A$2:$L$703,6,FALSE)</f>
        <v>#N/A</v>
      </c>
      <c r="I426" s="4" t="e">
        <f>VLOOKUP(A426,Revisión!$A$2:$L$703,7,FALSE)</f>
        <v>#N/A</v>
      </c>
      <c r="J426" s="4" t="e">
        <f>VLOOKUP(A426,Revisión!$A$2:$L$703,8,FALSE)</f>
        <v>#N/A</v>
      </c>
      <c r="K426" s="4" t="e">
        <f>VLOOKUP(A426,Revisión!$A$2:$L$703,9,FALSE)</f>
        <v>#N/A</v>
      </c>
      <c r="L426" s="4" t="e">
        <f>VLOOKUP(A426,Revisión!$A$2:$L$703,10,FALSE)</f>
        <v>#N/A</v>
      </c>
      <c r="M426" s="18" t="e">
        <f>VLOOKUP(A426,Revisión!$A$2:$L$703,11,FALSE)</f>
        <v>#N/A</v>
      </c>
      <c r="N426" s="30" t="str">
        <f>IF(E426="Coinciden",D426,IF(E426="Revisar",VLOOKUP(A426,Revisión!$A$2:$L$703,12,FALSE),""))</f>
        <v>Senna occidentalis</v>
      </c>
    </row>
    <row r="427" spans="1:14" x14ac:dyDescent="0.3">
      <c r="A427" t="s">
        <v>896</v>
      </c>
      <c r="B427" t="s">
        <v>897</v>
      </c>
      <c r="C427" t="s">
        <v>897</v>
      </c>
      <c r="D427" t="s">
        <v>897</v>
      </c>
      <c r="E427" t="s">
        <v>18</v>
      </c>
      <c r="F427" t="s">
        <v>19</v>
      </c>
      <c r="H427" s="23" t="e">
        <f>VLOOKUP(A427,Revisión!$A$2:$L$703,6,FALSE)</f>
        <v>#N/A</v>
      </c>
      <c r="I427" s="4" t="e">
        <f>VLOOKUP(A427,Revisión!$A$2:$L$703,7,FALSE)</f>
        <v>#N/A</v>
      </c>
      <c r="J427" s="4" t="e">
        <f>VLOOKUP(A427,Revisión!$A$2:$L$703,8,FALSE)</f>
        <v>#N/A</v>
      </c>
      <c r="K427" s="4" t="e">
        <f>VLOOKUP(A427,Revisión!$A$2:$L$703,9,FALSE)</f>
        <v>#N/A</v>
      </c>
      <c r="L427" s="4" t="e">
        <f>VLOOKUP(A427,Revisión!$A$2:$L$703,10,FALSE)</f>
        <v>#N/A</v>
      </c>
      <c r="M427" s="18" t="e">
        <f>VLOOKUP(A427,Revisión!$A$2:$L$703,11,FALSE)</f>
        <v>#N/A</v>
      </c>
      <c r="N427" s="30" t="str">
        <f>IF(E427="Coinciden",D427,IF(E427="Revisar",VLOOKUP(A427,Revisión!$A$2:$L$703,12,FALSE),""))</f>
        <v>Senna marilandica</v>
      </c>
    </row>
    <row r="428" spans="1:14" x14ac:dyDescent="0.3">
      <c r="A428" t="s">
        <v>898</v>
      </c>
      <c r="B428" t="s">
        <v>899</v>
      </c>
      <c r="C428" t="s">
        <v>900</v>
      </c>
      <c r="D428" t="s">
        <v>901</v>
      </c>
      <c r="E428" t="s">
        <v>8</v>
      </c>
      <c r="F428" t="s">
        <v>295</v>
      </c>
      <c r="H428" s="23" t="str">
        <f>VLOOKUP(A428,Revisión!$A$2:$L$703,6,FALSE)</f>
        <v>Ozothamnus leptophyllus</v>
      </c>
      <c r="I428" s="4" t="str">
        <f>VLOOKUP(A428,Revisión!$A$2:$L$703,7,FALSE)</f>
        <v>Cassinia vauvilliersii</v>
      </c>
      <c r="J428" s="4" t="str">
        <f>VLOOKUP(A428,Revisión!$A$2:$L$703,8,FALSE)</f>
        <v>Ozothamnus vauvilliersii </v>
      </c>
      <c r="K428" s="4" t="str">
        <f>VLOOKUP(A428,Revisión!$A$2:$L$703,9,FALSE)</f>
        <v>Ozothamnus leptophyllus</v>
      </c>
      <c r="L428" s="4" t="str">
        <f>VLOOKUP(A428,Revisión!$A$2:$L$703,10,FALSE)</f>
        <v>Ozothamnus leptophyllus</v>
      </c>
      <c r="M428" s="18">
        <f>VLOOKUP(A428,Revisión!$A$2:$L$703,11,FALSE)</f>
        <v>2</v>
      </c>
      <c r="N428" s="30" t="str">
        <f>IF(E428="Coinciden",D428,IF(E428="Revisar",VLOOKUP(A428,Revisión!$A$2:$L$703,12,FALSE),""))</f>
        <v>Ozothamnus vauvilliersii</v>
      </c>
    </row>
    <row r="429" spans="1:14" x14ac:dyDescent="0.3">
      <c r="A429" t="s">
        <v>902</v>
      </c>
      <c r="B429" t="s">
        <v>899</v>
      </c>
      <c r="C429" t="s">
        <v>899</v>
      </c>
      <c r="D429" t="s">
        <v>903</v>
      </c>
      <c r="E429" t="s">
        <v>8</v>
      </c>
      <c r="F429" t="s">
        <v>15</v>
      </c>
      <c r="H429" s="23" t="str">
        <f>VLOOKUP(A429,Revisión!$A$2:$L$703,6,FALSE)</f>
        <v>Ozothamnus leptophyllus</v>
      </c>
      <c r="I429" s="4" t="str">
        <f>VLOOKUP(A429,Revisión!$A$2:$L$703,7,FALSE)</f>
        <v>Ozothamnus leptophyllus</v>
      </c>
      <c r="J429" s="4" t="str">
        <f>VLOOKUP(A429,Revisión!$A$2:$L$703,8,FALSE)</f>
        <v>Ozothamnus leptophyllus</v>
      </c>
      <c r="K429" s="4" t="str">
        <f>VLOOKUP(A429,Revisión!$A$2:$L$703,9,FALSE)</f>
        <v>-</v>
      </c>
      <c r="L429" s="4" t="str">
        <f>VLOOKUP(A429,Revisión!$A$2:$L$703,10,FALSE)</f>
        <v>-</v>
      </c>
      <c r="M429" s="18">
        <f>VLOOKUP(A429,Revisión!$A$2:$L$703,11,FALSE)</f>
        <v>3</v>
      </c>
      <c r="N429" s="30" t="str">
        <f>IF(E429="Coinciden",D429,IF(E429="Revisar",VLOOKUP(A429,Revisión!$A$2:$L$703,12,FALSE),""))</f>
        <v>Ozothamnus leptophyllus</v>
      </c>
    </row>
    <row r="430" spans="1:14" x14ac:dyDescent="0.3">
      <c r="A430" t="s">
        <v>904</v>
      </c>
      <c r="B430" t="s">
        <v>905</v>
      </c>
      <c r="C430" t="s">
        <v>906</v>
      </c>
      <c r="D430" t="s">
        <v>905</v>
      </c>
      <c r="E430" t="s">
        <v>8</v>
      </c>
      <c r="F430" t="s">
        <v>493</v>
      </c>
      <c r="H430" s="23" t="str">
        <f>VLOOKUP(A430,Revisión!$A$2:$L$703,6,FALSE)</f>
        <v>Harrimanella hypnoides</v>
      </c>
      <c r="I430" s="4" t="str">
        <f>VLOOKUP(A430,Revisión!$A$2:$L$703,7,FALSE)</f>
        <v>Harrimanella hypnoides</v>
      </c>
      <c r="J430" s="4" t="str">
        <f>VLOOKUP(A430,Revisión!$A$2:$L$703,8,FALSE)</f>
        <v>Cassiope hypnoides</v>
      </c>
      <c r="K430" s="4" t="str">
        <f>VLOOKUP(A430,Revisión!$A$2:$L$703,9,FALSE)</f>
        <v>Harrimanella hypnoides</v>
      </c>
      <c r="L430" s="4" t="str">
        <f>VLOOKUP(A430,Revisión!$A$2:$L$703,10,FALSE)</f>
        <v>Harrimanella hypnoides</v>
      </c>
      <c r="M430" s="18">
        <f>VLOOKUP(A430,Revisión!$A$2:$L$703,11,FALSE)</f>
        <v>5</v>
      </c>
      <c r="N430" s="30" t="str">
        <f>IF(E430="Coinciden",D430,IF(E430="Revisar",VLOOKUP(A430,Revisión!$A$2:$L$703,12,FALSE),""))</f>
        <v>Harrimanella hypnoides</v>
      </c>
    </row>
    <row r="431" spans="1:14" x14ac:dyDescent="0.3">
      <c r="A431" t="s">
        <v>907</v>
      </c>
      <c r="B431" t="s">
        <v>908</v>
      </c>
      <c r="C431" t="s">
        <v>908</v>
      </c>
      <c r="D431" t="s">
        <v>908</v>
      </c>
      <c r="E431" t="s">
        <v>18</v>
      </c>
      <c r="F431" t="s">
        <v>19</v>
      </c>
      <c r="H431" s="23" t="e">
        <f>VLOOKUP(A431,Revisión!$A$2:$L$703,6,FALSE)</f>
        <v>#N/A</v>
      </c>
      <c r="I431" s="4" t="e">
        <f>VLOOKUP(A431,Revisión!$A$2:$L$703,7,FALSE)</f>
        <v>#N/A</v>
      </c>
      <c r="J431" s="4" t="e">
        <f>VLOOKUP(A431,Revisión!$A$2:$L$703,8,FALSE)</f>
        <v>#N/A</v>
      </c>
      <c r="K431" s="4" t="e">
        <f>VLOOKUP(A431,Revisión!$A$2:$L$703,9,FALSE)</f>
        <v>#N/A</v>
      </c>
      <c r="L431" s="4" t="e">
        <f>VLOOKUP(A431,Revisión!$A$2:$L$703,10,FALSE)</f>
        <v>#N/A</v>
      </c>
      <c r="M431" s="18" t="e">
        <f>VLOOKUP(A431,Revisión!$A$2:$L$703,11,FALSE)</f>
        <v>#N/A</v>
      </c>
      <c r="N431" s="30" t="str">
        <f>IF(E431="Coinciden",D431,IF(E431="Revisar",VLOOKUP(A431,Revisión!$A$2:$L$703,12,FALSE),""))</f>
        <v>Cassiope tetragona</v>
      </c>
    </row>
    <row r="432" spans="1:14" x14ac:dyDescent="0.3">
      <c r="A432" t="s">
        <v>909</v>
      </c>
      <c r="B432" t="s">
        <v>910</v>
      </c>
      <c r="C432" t="s">
        <v>910</v>
      </c>
      <c r="D432" t="s">
        <v>910</v>
      </c>
      <c r="E432" t="s">
        <v>18</v>
      </c>
      <c r="F432" t="s">
        <v>19</v>
      </c>
      <c r="H432" s="23" t="e">
        <f>VLOOKUP(A432,Revisión!$A$2:$L$703,6,FALSE)</f>
        <v>#N/A</v>
      </c>
      <c r="I432" s="4" t="e">
        <f>VLOOKUP(A432,Revisión!$A$2:$L$703,7,FALSE)</f>
        <v>#N/A</v>
      </c>
      <c r="J432" s="4" t="e">
        <f>VLOOKUP(A432,Revisión!$A$2:$L$703,8,FALSE)</f>
        <v>#N/A</v>
      </c>
      <c r="K432" s="4" t="e">
        <f>VLOOKUP(A432,Revisión!$A$2:$L$703,9,FALSE)</f>
        <v>#N/A</v>
      </c>
      <c r="L432" s="4" t="e">
        <f>VLOOKUP(A432,Revisión!$A$2:$L$703,10,FALSE)</f>
        <v>#N/A</v>
      </c>
      <c r="M432" s="18" t="e">
        <f>VLOOKUP(A432,Revisión!$A$2:$L$703,11,FALSE)</f>
        <v>#N/A</v>
      </c>
      <c r="N432" s="30" t="str">
        <f>IF(E432="Coinciden",D432,IF(E432="Revisar",VLOOKUP(A432,Revisión!$A$2:$L$703,12,FALSE),""))</f>
        <v>Nymphaea odorata subsp. tuberosa</v>
      </c>
    </row>
    <row r="433" spans="1:14" x14ac:dyDescent="0.3">
      <c r="A433" t="s">
        <v>911</v>
      </c>
      <c r="B433" t="s">
        <v>912</v>
      </c>
      <c r="C433" t="s">
        <v>912</v>
      </c>
      <c r="D433" t="s">
        <v>912</v>
      </c>
      <c r="E433" t="s">
        <v>18</v>
      </c>
      <c r="F433" t="s">
        <v>19</v>
      </c>
      <c r="H433" s="23" t="e">
        <f>VLOOKUP(A433,Revisión!$A$2:$L$703,6,FALSE)</f>
        <v>#N/A</v>
      </c>
      <c r="I433" s="4" t="e">
        <f>VLOOKUP(A433,Revisión!$A$2:$L$703,7,FALSE)</f>
        <v>#N/A</v>
      </c>
      <c r="J433" s="4" t="e">
        <f>VLOOKUP(A433,Revisión!$A$2:$L$703,8,FALSE)</f>
        <v>#N/A</v>
      </c>
      <c r="K433" s="4" t="e">
        <f>VLOOKUP(A433,Revisión!$A$2:$L$703,9,FALSE)</f>
        <v>#N/A</v>
      </c>
      <c r="L433" s="4" t="e">
        <f>VLOOKUP(A433,Revisión!$A$2:$L$703,10,FALSE)</f>
        <v>#N/A</v>
      </c>
      <c r="M433" s="18" t="e">
        <f>VLOOKUP(A433,Revisión!$A$2:$L$703,11,FALSE)</f>
        <v>#N/A</v>
      </c>
      <c r="N433" s="30" t="str">
        <f>IF(E433="Coinciden",D433,IF(E433="Revisar",VLOOKUP(A433,Revisión!$A$2:$L$703,12,FALSE),""))</f>
        <v>Castanea crenata</v>
      </c>
    </row>
    <row r="434" spans="1:14" x14ac:dyDescent="0.3">
      <c r="A434" t="s">
        <v>913</v>
      </c>
      <c r="B434" t="s">
        <v>914</v>
      </c>
      <c r="C434" t="s">
        <v>914</v>
      </c>
      <c r="D434" t="s">
        <v>914</v>
      </c>
      <c r="E434" t="s">
        <v>18</v>
      </c>
      <c r="F434" t="s">
        <v>19</v>
      </c>
      <c r="H434" s="23" t="e">
        <f>VLOOKUP(A434,Revisión!$A$2:$L$703,6,FALSE)</f>
        <v>#N/A</v>
      </c>
      <c r="I434" s="4" t="e">
        <f>VLOOKUP(A434,Revisión!$A$2:$L$703,7,FALSE)</f>
        <v>#N/A</v>
      </c>
      <c r="J434" s="4" t="e">
        <f>VLOOKUP(A434,Revisión!$A$2:$L$703,8,FALSE)</f>
        <v>#N/A</v>
      </c>
      <c r="K434" s="4" t="e">
        <f>VLOOKUP(A434,Revisión!$A$2:$L$703,9,FALSE)</f>
        <v>#N/A</v>
      </c>
      <c r="L434" s="4" t="e">
        <f>VLOOKUP(A434,Revisión!$A$2:$L$703,10,FALSE)</f>
        <v>#N/A</v>
      </c>
      <c r="M434" s="18" t="e">
        <f>VLOOKUP(A434,Revisión!$A$2:$L$703,11,FALSE)</f>
        <v>#N/A</v>
      </c>
      <c r="N434" s="30" t="str">
        <f>IF(E434="Coinciden",D434,IF(E434="Revisar",VLOOKUP(A434,Revisión!$A$2:$L$703,12,FALSE),""))</f>
        <v>Castanopsis sieboldii</v>
      </c>
    </row>
    <row r="435" spans="1:14" x14ac:dyDescent="0.3">
      <c r="A435" t="s">
        <v>915</v>
      </c>
      <c r="B435" t="s">
        <v>916</v>
      </c>
      <c r="C435" t="s">
        <v>916</v>
      </c>
      <c r="D435" t="s">
        <v>916</v>
      </c>
      <c r="E435" t="s">
        <v>18</v>
      </c>
      <c r="F435" t="s">
        <v>19</v>
      </c>
      <c r="H435" s="23" t="e">
        <f>VLOOKUP(A435,Revisión!$A$2:$L$703,6,FALSE)</f>
        <v>#N/A</v>
      </c>
      <c r="I435" s="4" t="e">
        <f>VLOOKUP(A435,Revisión!$A$2:$L$703,7,FALSE)</f>
        <v>#N/A</v>
      </c>
      <c r="J435" s="4" t="e">
        <f>VLOOKUP(A435,Revisión!$A$2:$L$703,8,FALSE)</f>
        <v>#N/A</v>
      </c>
      <c r="K435" s="4" t="e">
        <f>VLOOKUP(A435,Revisión!$A$2:$L$703,9,FALSE)</f>
        <v>#N/A</v>
      </c>
      <c r="L435" s="4" t="e">
        <f>VLOOKUP(A435,Revisión!$A$2:$L$703,10,FALSE)</f>
        <v>#N/A</v>
      </c>
      <c r="M435" s="18" t="e">
        <f>VLOOKUP(A435,Revisión!$A$2:$L$703,11,FALSE)</f>
        <v>#N/A</v>
      </c>
      <c r="N435" s="30" t="str">
        <f>IF(E435="Coinciden",D435,IF(E435="Revisar",VLOOKUP(A435,Revisión!$A$2:$L$703,12,FALSE),""))</f>
        <v>Castela galapageia</v>
      </c>
    </row>
    <row r="436" spans="1:14" x14ac:dyDescent="0.3">
      <c r="A436" t="s">
        <v>917</v>
      </c>
      <c r="C436" t="s">
        <v>918</v>
      </c>
      <c r="D436" t="s">
        <v>918</v>
      </c>
      <c r="E436" t="s">
        <v>8</v>
      </c>
      <c r="F436" t="s">
        <v>49</v>
      </c>
      <c r="H436" s="23" t="str">
        <f>VLOOKUP(A436,Revisión!$A$2:$L$703,6,FALSE)</f>
        <v>Castilleja miniata</v>
      </c>
      <c r="I436" s="4" t="str">
        <f>VLOOKUP(A436,Revisión!$A$2:$L$703,7,FALSE)</f>
        <v>Castilleja miniata</v>
      </c>
      <c r="J436" s="4" t="str">
        <f>VLOOKUP(A436,Revisión!$A$2:$L$703,8,FALSE)</f>
        <v>Castilleja miniata</v>
      </c>
      <c r="K436" s="4" t="str">
        <f>VLOOKUP(A436,Revisión!$A$2:$L$703,9,FALSE)</f>
        <v>-</v>
      </c>
      <c r="L436" s="4" t="str">
        <f>VLOOKUP(A436,Revisión!$A$2:$L$703,10,FALSE)</f>
        <v>-</v>
      </c>
      <c r="M436" s="18">
        <f>VLOOKUP(A436,Revisión!$A$2:$L$703,11,FALSE)</f>
        <v>3</v>
      </c>
      <c r="N436" s="30" t="str">
        <f>IF(E436="Coinciden",D436,IF(E436="Revisar",VLOOKUP(A436,Revisión!$A$2:$L$703,12,FALSE),""))</f>
        <v>Castilleja miniata</v>
      </c>
    </row>
    <row r="437" spans="1:14" x14ac:dyDescent="0.3">
      <c r="A437" t="s">
        <v>919</v>
      </c>
      <c r="B437" t="s">
        <v>920</v>
      </c>
      <c r="D437" t="s">
        <v>920</v>
      </c>
      <c r="E437" t="s">
        <v>8</v>
      </c>
      <c r="F437" t="s">
        <v>34</v>
      </c>
      <c r="H437" s="23" t="str">
        <f>VLOOKUP(A437,Revisión!$A$2:$L$703,6,FALSE)</f>
        <v>Castilleja coccinea</v>
      </c>
      <c r="I437" s="4" t="str">
        <f>VLOOKUP(A437,Revisión!$A$2:$L$703,7,FALSE)</f>
        <v>Castilleja coccinea</v>
      </c>
      <c r="J437" s="4" t="str">
        <f>VLOOKUP(A437,Revisión!$A$2:$L$703,8,FALSE)</f>
        <v>Castilleja coccinea</v>
      </c>
      <c r="K437" s="4" t="str">
        <f>VLOOKUP(A437,Revisión!$A$2:$L$703,9,FALSE)</f>
        <v>-</v>
      </c>
      <c r="L437" s="4" t="str">
        <f>VLOOKUP(A437,Revisión!$A$2:$L$703,10,FALSE)</f>
        <v>-</v>
      </c>
      <c r="M437" s="18">
        <f>VLOOKUP(A437,Revisión!$A$2:$L$703,11,FALSE)</f>
        <v>3</v>
      </c>
      <c r="N437" s="30" t="str">
        <f>IF(E437="Coinciden",D437,IF(E437="Revisar",VLOOKUP(A437,Revisión!$A$2:$L$703,12,FALSE),""))</f>
        <v>Castilleja coccinea</v>
      </c>
    </row>
    <row r="438" spans="1:14" x14ac:dyDescent="0.3">
      <c r="A438" t="s">
        <v>921</v>
      </c>
      <c r="B438" t="s">
        <v>922</v>
      </c>
      <c r="C438" t="s">
        <v>922</v>
      </c>
      <c r="D438" t="s">
        <v>922</v>
      </c>
      <c r="E438" t="s">
        <v>18</v>
      </c>
      <c r="F438" t="s">
        <v>19</v>
      </c>
      <c r="H438" s="23" t="e">
        <f>VLOOKUP(A438,Revisión!$A$2:$L$703,6,FALSE)</f>
        <v>#N/A</v>
      </c>
      <c r="I438" s="4" t="e">
        <f>VLOOKUP(A438,Revisión!$A$2:$L$703,7,FALSE)</f>
        <v>#N/A</v>
      </c>
      <c r="J438" s="4" t="e">
        <f>VLOOKUP(A438,Revisión!$A$2:$L$703,8,FALSE)</f>
        <v>#N/A</v>
      </c>
      <c r="K438" s="4" t="e">
        <f>VLOOKUP(A438,Revisión!$A$2:$L$703,9,FALSE)</f>
        <v>#N/A</v>
      </c>
      <c r="L438" s="4" t="e">
        <f>VLOOKUP(A438,Revisión!$A$2:$L$703,10,FALSE)</f>
        <v>#N/A</v>
      </c>
      <c r="M438" s="18" t="e">
        <f>VLOOKUP(A438,Revisión!$A$2:$L$703,11,FALSE)</f>
        <v>#N/A</v>
      </c>
      <c r="N438" s="30" t="str">
        <f>IF(E438="Coinciden",D438,IF(E438="Revisar",VLOOKUP(A438,Revisión!$A$2:$L$703,12,FALSE),""))</f>
        <v>Catasetum discolor</v>
      </c>
    </row>
    <row r="439" spans="1:14" x14ac:dyDescent="0.3">
      <c r="A439" t="s">
        <v>923</v>
      </c>
      <c r="B439" t="s">
        <v>924</v>
      </c>
      <c r="C439" t="s">
        <v>924</v>
      </c>
      <c r="D439" t="s">
        <v>924</v>
      </c>
      <c r="E439" t="s">
        <v>18</v>
      </c>
      <c r="F439" t="s">
        <v>19</v>
      </c>
      <c r="H439" s="23" t="e">
        <f>VLOOKUP(A439,Revisión!$A$2:$L$703,6,FALSE)</f>
        <v>#N/A</v>
      </c>
      <c r="I439" s="4" t="e">
        <f>VLOOKUP(A439,Revisión!$A$2:$L$703,7,FALSE)</f>
        <v>#N/A</v>
      </c>
      <c r="J439" s="4" t="e">
        <f>VLOOKUP(A439,Revisión!$A$2:$L$703,8,FALSE)</f>
        <v>#N/A</v>
      </c>
      <c r="K439" s="4" t="e">
        <f>VLOOKUP(A439,Revisión!$A$2:$L$703,9,FALSE)</f>
        <v>#N/A</v>
      </c>
      <c r="L439" s="4" t="e">
        <f>VLOOKUP(A439,Revisión!$A$2:$L$703,10,FALSE)</f>
        <v>#N/A</v>
      </c>
      <c r="M439" s="18" t="e">
        <f>VLOOKUP(A439,Revisión!$A$2:$L$703,11,FALSE)</f>
        <v>#N/A</v>
      </c>
      <c r="N439" s="30" t="str">
        <f>IF(E439="Coinciden",D439,IF(E439="Revisar",VLOOKUP(A439,Revisión!$A$2:$L$703,12,FALSE),""))</f>
        <v>Catharanthus roseus</v>
      </c>
    </row>
    <row r="440" spans="1:14" x14ac:dyDescent="0.3">
      <c r="A440" t="s">
        <v>925</v>
      </c>
      <c r="B440" t="s">
        <v>926</v>
      </c>
      <c r="C440" t="s">
        <v>926</v>
      </c>
      <c r="D440" t="s">
        <v>926</v>
      </c>
      <c r="E440" t="s">
        <v>18</v>
      </c>
      <c r="F440" t="s">
        <v>19</v>
      </c>
      <c r="H440" s="23" t="e">
        <f>VLOOKUP(A440,Revisión!$A$2:$L$703,6,FALSE)</f>
        <v>#N/A</v>
      </c>
      <c r="I440" s="4" t="e">
        <f>VLOOKUP(A440,Revisión!$A$2:$L$703,7,FALSE)</f>
        <v>#N/A</v>
      </c>
      <c r="J440" s="4" t="e">
        <f>VLOOKUP(A440,Revisión!$A$2:$L$703,8,FALSE)</f>
        <v>#N/A</v>
      </c>
      <c r="K440" s="4" t="e">
        <f>VLOOKUP(A440,Revisión!$A$2:$L$703,9,FALSE)</f>
        <v>#N/A</v>
      </c>
      <c r="L440" s="4" t="e">
        <f>VLOOKUP(A440,Revisión!$A$2:$L$703,10,FALSE)</f>
        <v>#N/A</v>
      </c>
      <c r="M440" s="18" t="e">
        <f>VLOOKUP(A440,Revisión!$A$2:$L$703,11,FALSE)</f>
        <v>#N/A</v>
      </c>
      <c r="N440" s="30" t="str">
        <f>IF(E440="Coinciden",D440,IF(E440="Revisar",VLOOKUP(A440,Revisión!$A$2:$L$703,12,FALSE),""))</f>
        <v>Caulophyllum thalictroides</v>
      </c>
    </row>
    <row r="441" spans="1:14" x14ac:dyDescent="0.3">
      <c r="A441" t="s">
        <v>927</v>
      </c>
      <c r="B441" t="s">
        <v>928</v>
      </c>
      <c r="C441" t="s">
        <v>929</v>
      </c>
      <c r="D441" t="s">
        <v>929</v>
      </c>
      <c r="E441" t="s">
        <v>8</v>
      </c>
      <c r="F441" t="s">
        <v>23</v>
      </c>
      <c r="H441" s="23" t="str">
        <f>VLOOKUP(A441,Revisión!$A$2:$L$703,6,FALSE)</f>
        <v>Causonis japonica</v>
      </c>
      <c r="I441" s="4" t="str">
        <f>VLOOKUP(A441,Revisión!$A$2:$L$703,7,FALSE)</f>
        <v>Causonis japonica</v>
      </c>
      <c r="J441" s="4" t="str">
        <f>VLOOKUP(A441,Revisión!$A$2:$L$703,8,FALSE)</f>
        <v>Causonis japonica</v>
      </c>
      <c r="K441" s="4" t="str">
        <f>VLOOKUP(A441,Revisión!$A$2:$L$703,9,FALSE)</f>
        <v>-</v>
      </c>
      <c r="L441" s="4" t="str">
        <f>VLOOKUP(A441,Revisión!$A$2:$L$703,10,FALSE)</f>
        <v>-</v>
      </c>
      <c r="M441" s="18">
        <f>VLOOKUP(A441,Revisión!$A$2:$L$703,11,FALSE)</f>
        <v>3</v>
      </c>
      <c r="N441" s="30" t="str">
        <f>IF(E441="Coinciden",D441,IF(E441="Revisar",VLOOKUP(A441,Revisión!$A$2:$L$703,12,FALSE),""))</f>
        <v>Causonis japonica</v>
      </c>
    </row>
    <row r="442" spans="1:14" x14ac:dyDescent="0.3">
      <c r="A442" t="s">
        <v>930</v>
      </c>
      <c r="B442" t="s">
        <v>931</v>
      </c>
      <c r="C442" t="s">
        <v>931</v>
      </c>
      <c r="D442" t="s">
        <v>931</v>
      </c>
      <c r="E442" t="s">
        <v>18</v>
      </c>
      <c r="F442" t="s">
        <v>19</v>
      </c>
      <c r="H442" s="23" t="e">
        <f>VLOOKUP(A442,Revisión!$A$2:$L$703,6,FALSE)</f>
        <v>#N/A</v>
      </c>
      <c r="I442" s="4" t="e">
        <f>VLOOKUP(A442,Revisión!$A$2:$L$703,7,FALSE)</f>
        <v>#N/A</v>
      </c>
      <c r="J442" s="4" t="e">
        <f>VLOOKUP(A442,Revisión!$A$2:$L$703,8,FALSE)</f>
        <v>#N/A</v>
      </c>
      <c r="K442" s="4" t="e">
        <f>VLOOKUP(A442,Revisión!$A$2:$L$703,9,FALSE)</f>
        <v>#N/A</v>
      </c>
      <c r="L442" s="4" t="e">
        <f>VLOOKUP(A442,Revisión!$A$2:$L$703,10,FALSE)</f>
        <v>#N/A</v>
      </c>
      <c r="M442" s="18" t="e">
        <f>VLOOKUP(A442,Revisión!$A$2:$L$703,11,FALSE)</f>
        <v>#N/A</v>
      </c>
      <c r="N442" s="30" t="str">
        <f>IF(E442="Coinciden",D442,IF(E442="Revisar",VLOOKUP(A442,Revisión!$A$2:$L$703,12,FALSE),""))</f>
        <v>Ceanothus americanus</v>
      </c>
    </row>
    <row r="443" spans="1:14" x14ac:dyDescent="0.3">
      <c r="A443" t="s">
        <v>932</v>
      </c>
      <c r="B443" t="s">
        <v>933</v>
      </c>
      <c r="C443" t="s">
        <v>933</v>
      </c>
      <c r="E443" t="s">
        <v>8</v>
      </c>
      <c r="F443" t="s">
        <v>323</v>
      </c>
      <c r="H443" s="23" t="str">
        <f>VLOOKUP(A443,Revisión!$A$2:$L$703,6,FALSE)</f>
        <v>Heliotropium messerschmidioides</v>
      </c>
      <c r="I443" s="4" t="str">
        <f>VLOOKUP(A443,Revisión!$A$2:$L$703,7,FALSE)</f>
        <v>-</v>
      </c>
      <c r="J443" s="4" t="str">
        <f>VLOOKUP(A443,Revisión!$A$2:$L$703,8,FALSE)</f>
        <v>Heliotropium messerschmidioides</v>
      </c>
      <c r="K443" s="4" t="str">
        <f>VLOOKUP(A443,Revisión!$A$2:$L$703,9,FALSE)</f>
        <v>-</v>
      </c>
      <c r="L443" s="4" t="str">
        <f>VLOOKUP(A443,Revisión!$A$2:$L$703,10,FALSE)</f>
        <v>-</v>
      </c>
      <c r="M443" s="18">
        <f>VLOOKUP(A443,Revisión!$A$2:$L$703,11,FALSE)</f>
        <v>2</v>
      </c>
      <c r="N443" s="30" t="str">
        <f>IF(E443="Coinciden",D443,IF(E443="Revisar",VLOOKUP(A443,Revisión!$A$2:$L$703,12,FALSE),""))</f>
        <v>Heliotropium messerschmidioides</v>
      </c>
    </row>
    <row r="444" spans="1:14" x14ac:dyDescent="0.3">
      <c r="A444" t="s">
        <v>934</v>
      </c>
      <c r="B444" t="s">
        <v>935</v>
      </c>
      <c r="C444" t="s">
        <v>935</v>
      </c>
      <c r="D444" t="s">
        <v>935</v>
      </c>
      <c r="E444" t="s">
        <v>18</v>
      </c>
      <c r="F444" t="s">
        <v>19</v>
      </c>
      <c r="H444" s="23" t="e">
        <f>VLOOKUP(A444,Revisión!$A$2:$L$703,6,FALSE)</f>
        <v>#N/A</v>
      </c>
      <c r="I444" s="4" t="e">
        <f>VLOOKUP(A444,Revisión!$A$2:$L$703,7,FALSE)</f>
        <v>#N/A</v>
      </c>
      <c r="J444" s="4" t="e">
        <f>VLOOKUP(A444,Revisión!$A$2:$L$703,8,FALSE)</f>
        <v>#N/A</v>
      </c>
      <c r="K444" s="4" t="e">
        <f>VLOOKUP(A444,Revisión!$A$2:$L$703,9,FALSE)</f>
        <v>#N/A</v>
      </c>
      <c r="L444" s="4" t="e">
        <f>VLOOKUP(A444,Revisión!$A$2:$L$703,10,FALSE)</f>
        <v>#N/A</v>
      </c>
      <c r="M444" s="18" t="e">
        <f>VLOOKUP(A444,Revisión!$A$2:$L$703,11,FALSE)</f>
        <v>#N/A</v>
      </c>
      <c r="N444" s="30" t="str">
        <f>IF(E444="Coinciden",D444,IF(E444="Revisar",VLOOKUP(A444,Revisión!$A$2:$L$703,12,FALSE),""))</f>
        <v>Cedronella canariensis</v>
      </c>
    </row>
    <row r="445" spans="1:14" x14ac:dyDescent="0.3">
      <c r="A445" t="s">
        <v>936</v>
      </c>
      <c r="B445" t="s">
        <v>937</v>
      </c>
      <c r="C445" t="s">
        <v>937</v>
      </c>
      <c r="D445" t="s">
        <v>937</v>
      </c>
      <c r="E445" t="s">
        <v>18</v>
      </c>
      <c r="F445" t="s">
        <v>19</v>
      </c>
      <c r="H445" s="23" t="e">
        <f>VLOOKUP(A445,Revisión!$A$2:$L$703,6,FALSE)</f>
        <v>#N/A</v>
      </c>
      <c r="I445" s="4" t="e">
        <f>VLOOKUP(A445,Revisión!$A$2:$L$703,7,FALSE)</f>
        <v>#N/A</v>
      </c>
      <c r="J445" s="4" t="e">
        <f>VLOOKUP(A445,Revisión!$A$2:$L$703,8,FALSE)</f>
        <v>#N/A</v>
      </c>
      <c r="K445" s="4" t="e">
        <f>VLOOKUP(A445,Revisión!$A$2:$L$703,9,FALSE)</f>
        <v>#N/A</v>
      </c>
      <c r="L445" s="4" t="e">
        <f>VLOOKUP(A445,Revisión!$A$2:$L$703,10,FALSE)</f>
        <v>#N/A</v>
      </c>
      <c r="M445" s="18" t="e">
        <f>VLOOKUP(A445,Revisión!$A$2:$L$703,11,FALSE)</f>
        <v>#N/A</v>
      </c>
      <c r="N445" s="30" t="str">
        <f>IF(E445="Coinciden",D445,IF(E445="Revisar",VLOOKUP(A445,Revisión!$A$2:$L$703,12,FALSE),""))</f>
        <v>Celastrus scandens</v>
      </c>
    </row>
    <row r="446" spans="1:14" x14ac:dyDescent="0.3">
      <c r="A446" t="s">
        <v>938</v>
      </c>
      <c r="B446" t="s">
        <v>939</v>
      </c>
      <c r="C446" t="s">
        <v>939</v>
      </c>
      <c r="D446" t="s">
        <v>939</v>
      </c>
      <c r="E446" t="s">
        <v>18</v>
      </c>
      <c r="F446" t="s">
        <v>19</v>
      </c>
      <c r="H446" s="23" t="e">
        <f>VLOOKUP(A446,Revisión!$A$2:$L$703,6,FALSE)</f>
        <v>#N/A</v>
      </c>
      <c r="I446" s="4" t="e">
        <f>VLOOKUP(A446,Revisión!$A$2:$L$703,7,FALSE)</f>
        <v>#N/A</v>
      </c>
      <c r="J446" s="4" t="e">
        <f>VLOOKUP(A446,Revisión!$A$2:$L$703,8,FALSE)</f>
        <v>#N/A</v>
      </c>
      <c r="K446" s="4" t="e">
        <f>VLOOKUP(A446,Revisión!$A$2:$L$703,9,FALSE)</f>
        <v>#N/A</v>
      </c>
      <c r="L446" s="4" t="e">
        <f>VLOOKUP(A446,Revisión!$A$2:$L$703,10,FALSE)</f>
        <v>#N/A</v>
      </c>
      <c r="M446" s="18" t="e">
        <f>VLOOKUP(A446,Revisión!$A$2:$L$703,11,FALSE)</f>
        <v>#N/A</v>
      </c>
      <c r="N446" s="30" t="str">
        <f>IF(E446="Coinciden",D446,IF(E446="Revisar",VLOOKUP(A446,Revisión!$A$2:$L$703,12,FALSE),""))</f>
        <v>Celmisia discolor</v>
      </c>
    </row>
    <row r="447" spans="1:14" x14ac:dyDescent="0.3">
      <c r="A447" t="s">
        <v>940</v>
      </c>
      <c r="B447" t="s">
        <v>941</v>
      </c>
      <c r="C447" t="s">
        <v>941</v>
      </c>
      <c r="D447" t="s">
        <v>941</v>
      </c>
      <c r="E447" t="s">
        <v>18</v>
      </c>
      <c r="F447" t="s">
        <v>19</v>
      </c>
      <c r="H447" s="23" t="e">
        <f>VLOOKUP(A447,Revisión!$A$2:$L$703,6,FALSE)</f>
        <v>#N/A</v>
      </c>
      <c r="I447" s="4" t="e">
        <f>VLOOKUP(A447,Revisión!$A$2:$L$703,7,FALSE)</f>
        <v>#N/A</v>
      </c>
      <c r="J447" s="4" t="e">
        <f>VLOOKUP(A447,Revisión!$A$2:$L$703,8,FALSE)</f>
        <v>#N/A</v>
      </c>
      <c r="K447" s="4" t="e">
        <f>VLOOKUP(A447,Revisión!$A$2:$L$703,9,FALSE)</f>
        <v>#N/A</v>
      </c>
      <c r="L447" s="4" t="e">
        <f>VLOOKUP(A447,Revisión!$A$2:$L$703,10,FALSE)</f>
        <v>#N/A</v>
      </c>
      <c r="M447" s="18" t="e">
        <f>VLOOKUP(A447,Revisión!$A$2:$L$703,11,FALSE)</f>
        <v>#N/A</v>
      </c>
      <c r="N447" s="30" t="str">
        <f>IF(E447="Coinciden",D447,IF(E447="Revisar",VLOOKUP(A447,Revisión!$A$2:$L$703,12,FALSE),""))</f>
        <v>Celmisia petiolata</v>
      </c>
    </row>
    <row r="448" spans="1:14" x14ac:dyDescent="0.3">
      <c r="A448" t="s">
        <v>942</v>
      </c>
      <c r="B448" t="s">
        <v>943</v>
      </c>
      <c r="C448" t="s">
        <v>943</v>
      </c>
      <c r="D448" t="s">
        <v>943</v>
      </c>
      <c r="E448" t="s">
        <v>18</v>
      </c>
      <c r="F448" t="s">
        <v>19</v>
      </c>
      <c r="H448" s="23" t="e">
        <f>VLOOKUP(A448,Revisión!$A$2:$L$703,6,FALSE)</f>
        <v>#N/A</v>
      </c>
      <c r="I448" s="4" t="e">
        <f>VLOOKUP(A448,Revisión!$A$2:$L$703,7,FALSE)</f>
        <v>#N/A</v>
      </c>
      <c r="J448" s="4" t="e">
        <f>VLOOKUP(A448,Revisión!$A$2:$L$703,8,FALSE)</f>
        <v>#N/A</v>
      </c>
      <c r="K448" s="4" t="e">
        <f>VLOOKUP(A448,Revisión!$A$2:$L$703,9,FALSE)</f>
        <v>#N/A</v>
      </c>
      <c r="L448" s="4" t="e">
        <f>VLOOKUP(A448,Revisión!$A$2:$L$703,10,FALSE)</f>
        <v>#N/A</v>
      </c>
      <c r="M448" s="18" t="e">
        <f>VLOOKUP(A448,Revisión!$A$2:$L$703,11,FALSE)</f>
        <v>#N/A</v>
      </c>
      <c r="N448" s="30" t="str">
        <f>IF(E448="Coinciden",D448,IF(E448="Revisar",VLOOKUP(A448,Revisión!$A$2:$L$703,12,FALSE),""))</f>
        <v>Celmisia longifolia</v>
      </c>
    </row>
    <row r="449" spans="1:14" x14ac:dyDescent="0.3">
      <c r="A449" t="s">
        <v>944</v>
      </c>
      <c r="B449" t="s">
        <v>945</v>
      </c>
      <c r="C449" t="s">
        <v>945</v>
      </c>
      <c r="D449" t="s">
        <v>945</v>
      </c>
      <c r="E449" t="s">
        <v>18</v>
      </c>
      <c r="F449" t="s">
        <v>19</v>
      </c>
      <c r="H449" s="23" t="e">
        <f>VLOOKUP(A449,Revisión!$A$2:$L$703,6,FALSE)</f>
        <v>#N/A</v>
      </c>
      <c r="I449" s="4" t="e">
        <f>VLOOKUP(A449,Revisión!$A$2:$L$703,7,FALSE)</f>
        <v>#N/A</v>
      </c>
      <c r="J449" s="4" t="e">
        <f>VLOOKUP(A449,Revisión!$A$2:$L$703,8,FALSE)</f>
        <v>#N/A</v>
      </c>
      <c r="K449" s="4" t="e">
        <f>VLOOKUP(A449,Revisión!$A$2:$L$703,9,FALSE)</f>
        <v>#N/A</v>
      </c>
      <c r="L449" s="4" t="e">
        <f>VLOOKUP(A449,Revisión!$A$2:$L$703,10,FALSE)</f>
        <v>#N/A</v>
      </c>
      <c r="M449" s="18" t="e">
        <f>VLOOKUP(A449,Revisión!$A$2:$L$703,11,FALSE)</f>
        <v>#N/A</v>
      </c>
      <c r="N449" s="30" t="str">
        <f>IF(E449="Coinciden",D449,IF(E449="Revisar",VLOOKUP(A449,Revisión!$A$2:$L$703,12,FALSE),""))</f>
        <v>Celmisia coriacea</v>
      </c>
    </row>
    <row r="450" spans="1:14" x14ac:dyDescent="0.3">
      <c r="A450" t="s">
        <v>946</v>
      </c>
      <c r="B450" t="s">
        <v>947</v>
      </c>
      <c r="C450" t="s">
        <v>947</v>
      </c>
      <c r="D450" t="s">
        <v>947</v>
      </c>
      <c r="E450" t="s">
        <v>18</v>
      </c>
      <c r="F450" t="s">
        <v>19</v>
      </c>
      <c r="H450" s="23" t="e">
        <f>VLOOKUP(A450,Revisión!$A$2:$L$703,6,FALSE)</f>
        <v>#N/A</v>
      </c>
      <c r="I450" s="4" t="e">
        <f>VLOOKUP(A450,Revisión!$A$2:$L$703,7,FALSE)</f>
        <v>#N/A</v>
      </c>
      <c r="J450" s="4" t="e">
        <f>VLOOKUP(A450,Revisión!$A$2:$L$703,8,FALSE)</f>
        <v>#N/A</v>
      </c>
      <c r="K450" s="4" t="e">
        <f>VLOOKUP(A450,Revisión!$A$2:$L$703,9,FALSE)</f>
        <v>#N/A</v>
      </c>
      <c r="L450" s="4" t="e">
        <f>VLOOKUP(A450,Revisión!$A$2:$L$703,10,FALSE)</f>
        <v>#N/A</v>
      </c>
      <c r="M450" s="18" t="e">
        <f>VLOOKUP(A450,Revisión!$A$2:$L$703,11,FALSE)</f>
        <v>#N/A</v>
      </c>
      <c r="N450" s="30" t="str">
        <f>IF(E450="Coinciden",D450,IF(E450="Revisar",VLOOKUP(A450,Revisión!$A$2:$L$703,12,FALSE),""))</f>
        <v>Celmisia laricifolia</v>
      </c>
    </row>
    <row r="451" spans="1:14" x14ac:dyDescent="0.3">
      <c r="A451" t="s">
        <v>948</v>
      </c>
      <c r="B451" t="s">
        <v>949</v>
      </c>
      <c r="C451" t="s">
        <v>949</v>
      </c>
      <c r="D451" t="s">
        <v>949</v>
      </c>
      <c r="E451" t="s">
        <v>18</v>
      </c>
      <c r="F451" t="s">
        <v>19</v>
      </c>
      <c r="H451" s="23" t="e">
        <f>VLOOKUP(A451,Revisión!$A$2:$L$703,6,FALSE)</f>
        <v>#N/A</v>
      </c>
      <c r="I451" s="4" t="e">
        <f>VLOOKUP(A451,Revisión!$A$2:$L$703,7,FALSE)</f>
        <v>#N/A</v>
      </c>
      <c r="J451" s="4" t="e">
        <f>VLOOKUP(A451,Revisión!$A$2:$L$703,8,FALSE)</f>
        <v>#N/A</v>
      </c>
      <c r="K451" s="4" t="e">
        <f>VLOOKUP(A451,Revisión!$A$2:$L$703,9,FALSE)</f>
        <v>#N/A</v>
      </c>
      <c r="L451" s="4" t="e">
        <f>VLOOKUP(A451,Revisión!$A$2:$L$703,10,FALSE)</f>
        <v>#N/A</v>
      </c>
      <c r="M451" s="18" t="e">
        <f>VLOOKUP(A451,Revisión!$A$2:$L$703,11,FALSE)</f>
        <v>#N/A</v>
      </c>
      <c r="N451" s="30" t="str">
        <f>IF(E451="Coinciden",D451,IF(E451="Revisar",VLOOKUP(A451,Revisión!$A$2:$L$703,12,FALSE),""))</f>
        <v>Celmisia gracilenta</v>
      </c>
    </row>
    <row r="452" spans="1:14" x14ac:dyDescent="0.3">
      <c r="A452" t="s">
        <v>950</v>
      </c>
      <c r="B452" t="s">
        <v>951</v>
      </c>
      <c r="C452" t="s">
        <v>951</v>
      </c>
      <c r="D452" t="s">
        <v>951</v>
      </c>
      <c r="E452" t="s">
        <v>18</v>
      </c>
      <c r="F452" t="s">
        <v>19</v>
      </c>
      <c r="H452" s="23" t="e">
        <f>VLOOKUP(A452,Revisión!$A$2:$L$703,6,FALSE)</f>
        <v>#N/A</v>
      </c>
      <c r="I452" s="4" t="e">
        <f>VLOOKUP(A452,Revisión!$A$2:$L$703,7,FALSE)</f>
        <v>#N/A</v>
      </c>
      <c r="J452" s="4" t="e">
        <f>VLOOKUP(A452,Revisión!$A$2:$L$703,8,FALSE)</f>
        <v>#N/A</v>
      </c>
      <c r="K452" s="4" t="e">
        <f>VLOOKUP(A452,Revisión!$A$2:$L$703,9,FALSE)</f>
        <v>#N/A</v>
      </c>
      <c r="L452" s="4" t="e">
        <f>VLOOKUP(A452,Revisión!$A$2:$L$703,10,FALSE)</f>
        <v>#N/A</v>
      </c>
      <c r="M452" s="18" t="e">
        <f>VLOOKUP(A452,Revisión!$A$2:$L$703,11,FALSE)</f>
        <v>#N/A</v>
      </c>
      <c r="N452" s="30" t="str">
        <f>IF(E452="Coinciden",D452,IF(E452="Revisar",VLOOKUP(A452,Revisión!$A$2:$L$703,12,FALSE),""))</f>
        <v>Celmisia lyallii</v>
      </c>
    </row>
    <row r="453" spans="1:14" x14ac:dyDescent="0.3">
      <c r="A453" t="s">
        <v>952</v>
      </c>
      <c r="B453" t="s">
        <v>953</v>
      </c>
      <c r="C453" t="s">
        <v>953</v>
      </c>
      <c r="D453" t="s">
        <v>953</v>
      </c>
      <c r="E453" t="s">
        <v>18</v>
      </c>
      <c r="F453" t="s">
        <v>19</v>
      </c>
      <c r="H453" s="23" t="e">
        <f>VLOOKUP(A453,Revisión!$A$2:$L$703,6,FALSE)</f>
        <v>#N/A</v>
      </c>
      <c r="I453" s="4" t="e">
        <f>VLOOKUP(A453,Revisión!$A$2:$L$703,7,FALSE)</f>
        <v>#N/A</v>
      </c>
      <c r="J453" s="4" t="e">
        <f>VLOOKUP(A453,Revisión!$A$2:$L$703,8,FALSE)</f>
        <v>#N/A</v>
      </c>
      <c r="K453" s="4" t="e">
        <f>VLOOKUP(A453,Revisión!$A$2:$L$703,9,FALSE)</f>
        <v>#N/A</v>
      </c>
      <c r="L453" s="4" t="e">
        <f>VLOOKUP(A453,Revisión!$A$2:$L$703,10,FALSE)</f>
        <v>#N/A</v>
      </c>
      <c r="M453" s="18" t="e">
        <f>VLOOKUP(A453,Revisión!$A$2:$L$703,11,FALSE)</f>
        <v>#N/A</v>
      </c>
      <c r="N453" s="30" t="str">
        <f>IF(E453="Coinciden",D453,IF(E453="Revisar",VLOOKUP(A453,Revisión!$A$2:$L$703,12,FALSE),""))</f>
        <v>Celmisia spectabilis</v>
      </c>
    </row>
    <row r="454" spans="1:14" x14ac:dyDescent="0.3">
      <c r="A454" t="s">
        <v>954</v>
      </c>
      <c r="B454" t="s">
        <v>955</v>
      </c>
      <c r="C454" t="s">
        <v>955</v>
      </c>
      <c r="D454" t="s">
        <v>955</v>
      </c>
      <c r="E454" t="s">
        <v>18</v>
      </c>
      <c r="F454" t="s">
        <v>19</v>
      </c>
      <c r="H454" s="23" t="e">
        <f>VLOOKUP(A454,Revisión!$A$2:$L$703,6,FALSE)</f>
        <v>#N/A</v>
      </c>
      <c r="I454" s="4" t="e">
        <f>VLOOKUP(A454,Revisión!$A$2:$L$703,7,FALSE)</f>
        <v>#N/A</v>
      </c>
      <c r="J454" s="4" t="e">
        <f>VLOOKUP(A454,Revisión!$A$2:$L$703,8,FALSE)</f>
        <v>#N/A</v>
      </c>
      <c r="K454" s="4" t="e">
        <f>VLOOKUP(A454,Revisión!$A$2:$L$703,9,FALSE)</f>
        <v>#N/A</v>
      </c>
      <c r="L454" s="4" t="e">
        <f>VLOOKUP(A454,Revisión!$A$2:$L$703,10,FALSE)</f>
        <v>#N/A</v>
      </c>
      <c r="M454" s="18" t="e">
        <f>VLOOKUP(A454,Revisión!$A$2:$L$703,11,FALSE)</f>
        <v>#N/A</v>
      </c>
      <c r="N454" s="30" t="str">
        <f>IF(E454="Coinciden",D454,IF(E454="Revisar",VLOOKUP(A454,Revisión!$A$2:$L$703,12,FALSE),""))</f>
        <v>Celmisia sessiliflora</v>
      </c>
    </row>
    <row r="455" spans="1:14" x14ac:dyDescent="0.3">
      <c r="A455" t="s">
        <v>956</v>
      </c>
      <c r="B455" t="s">
        <v>957</v>
      </c>
      <c r="C455" t="s">
        <v>957</v>
      </c>
      <c r="D455" t="s">
        <v>957</v>
      </c>
      <c r="E455" t="s">
        <v>18</v>
      </c>
      <c r="F455" t="s">
        <v>19</v>
      </c>
      <c r="H455" s="23" t="e">
        <f>VLOOKUP(A455,Revisión!$A$2:$L$703,6,FALSE)</f>
        <v>#N/A</v>
      </c>
      <c r="I455" s="4" t="e">
        <f>VLOOKUP(A455,Revisión!$A$2:$L$703,7,FALSE)</f>
        <v>#N/A</v>
      </c>
      <c r="J455" s="4" t="e">
        <f>VLOOKUP(A455,Revisión!$A$2:$L$703,8,FALSE)</f>
        <v>#N/A</v>
      </c>
      <c r="K455" s="4" t="e">
        <f>VLOOKUP(A455,Revisión!$A$2:$L$703,9,FALSE)</f>
        <v>#N/A</v>
      </c>
      <c r="L455" s="4" t="e">
        <f>VLOOKUP(A455,Revisión!$A$2:$L$703,10,FALSE)</f>
        <v>#N/A</v>
      </c>
      <c r="M455" s="18" t="e">
        <f>VLOOKUP(A455,Revisión!$A$2:$L$703,11,FALSE)</f>
        <v>#N/A</v>
      </c>
      <c r="N455" s="30" t="str">
        <f>IF(E455="Coinciden",D455,IF(E455="Revisar",VLOOKUP(A455,Revisión!$A$2:$L$703,12,FALSE),""))</f>
        <v>Celmisia armstrongii</v>
      </c>
    </row>
    <row r="456" spans="1:14" x14ac:dyDescent="0.3">
      <c r="A456" t="s">
        <v>958</v>
      </c>
      <c r="B456" t="s">
        <v>959</v>
      </c>
      <c r="C456" t="s">
        <v>959</v>
      </c>
      <c r="D456" t="s">
        <v>959</v>
      </c>
      <c r="E456" t="s">
        <v>18</v>
      </c>
      <c r="F456" t="s">
        <v>19</v>
      </c>
      <c r="H456" s="23" t="e">
        <f>VLOOKUP(A456,Revisión!$A$2:$L$703,6,FALSE)</f>
        <v>#N/A</v>
      </c>
      <c r="I456" s="4" t="e">
        <f>VLOOKUP(A456,Revisión!$A$2:$L$703,7,FALSE)</f>
        <v>#N/A</v>
      </c>
      <c r="J456" s="4" t="e">
        <f>VLOOKUP(A456,Revisión!$A$2:$L$703,8,FALSE)</f>
        <v>#N/A</v>
      </c>
      <c r="K456" s="4" t="e">
        <f>VLOOKUP(A456,Revisión!$A$2:$L$703,9,FALSE)</f>
        <v>#N/A</v>
      </c>
      <c r="L456" s="4" t="e">
        <f>VLOOKUP(A456,Revisión!$A$2:$L$703,10,FALSE)</f>
        <v>#N/A</v>
      </c>
      <c r="M456" s="18" t="e">
        <f>VLOOKUP(A456,Revisión!$A$2:$L$703,11,FALSE)</f>
        <v>#N/A</v>
      </c>
      <c r="N456" s="30" t="str">
        <f>IF(E456="Coinciden",D456,IF(E456="Revisar",VLOOKUP(A456,Revisión!$A$2:$L$703,12,FALSE),""))</f>
        <v>Centaurea orphanidea</v>
      </c>
    </row>
    <row r="457" spans="1:14" x14ac:dyDescent="0.3">
      <c r="A457" t="s">
        <v>960</v>
      </c>
      <c r="B457" t="s">
        <v>961</v>
      </c>
      <c r="D457" t="s">
        <v>961</v>
      </c>
      <c r="E457" t="s">
        <v>8</v>
      </c>
      <c r="F457" t="s">
        <v>34</v>
      </c>
      <c r="H457" s="23" t="str">
        <f>VLOOKUP(A457,Revisión!$A$2:$L$703,6,FALSE)</f>
        <v>Centaurea nigra</v>
      </c>
      <c r="I457" s="4" t="str">
        <f>VLOOKUP(A457,Revisión!$A$2:$L$703,7,FALSE)</f>
        <v>Centaurea nigra</v>
      </c>
      <c r="J457" s="4" t="str">
        <f>VLOOKUP(A457,Revisión!$A$2:$L$703,8,FALSE)</f>
        <v>Centaurea nigra</v>
      </c>
      <c r="K457" s="4" t="str">
        <f>VLOOKUP(A457,Revisión!$A$2:$L$703,9,FALSE)</f>
        <v>-</v>
      </c>
      <c r="L457" s="4" t="str">
        <f>VLOOKUP(A457,Revisión!$A$2:$L$703,10,FALSE)</f>
        <v>-</v>
      </c>
      <c r="M457" s="18">
        <f>VLOOKUP(A457,Revisión!$A$2:$L$703,11,FALSE)</f>
        <v>3</v>
      </c>
      <c r="N457" s="30" t="str">
        <f>IF(E457="Coinciden",D457,IF(E457="Revisar",VLOOKUP(A457,Revisión!$A$2:$L$703,12,FALSE),""))</f>
        <v>Centaurea nigra</v>
      </c>
    </row>
    <row r="458" spans="1:14" x14ac:dyDescent="0.3">
      <c r="A458" t="s">
        <v>962</v>
      </c>
      <c r="B458" t="s">
        <v>963</v>
      </c>
      <c r="C458" t="s">
        <v>963</v>
      </c>
      <c r="D458" t="s">
        <v>963</v>
      </c>
      <c r="E458" t="s">
        <v>18</v>
      </c>
      <c r="F458" t="s">
        <v>19</v>
      </c>
      <c r="H458" s="23" t="e">
        <f>VLOOKUP(A458,Revisión!$A$2:$L$703,6,FALSE)</f>
        <v>#N/A</v>
      </c>
      <c r="I458" s="4" t="e">
        <f>VLOOKUP(A458,Revisión!$A$2:$L$703,7,FALSE)</f>
        <v>#N/A</v>
      </c>
      <c r="J458" s="4" t="e">
        <f>VLOOKUP(A458,Revisión!$A$2:$L$703,8,FALSE)</f>
        <v>#N/A</v>
      </c>
      <c r="K458" s="4" t="e">
        <f>VLOOKUP(A458,Revisión!$A$2:$L$703,9,FALSE)</f>
        <v>#N/A</v>
      </c>
      <c r="L458" s="4" t="e">
        <f>VLOOKUP(A458,Revisión!$A$2:$L$703,10,FALSE)</f>
        <v>#N/A</v>
      </c>
      <c r="M458" s="18" t="e">
        <f>VLOOKUP(A458,Revisión!$A$2:$L$703,11,FALSE)</f>
        <v>#N/A</v>
      </c>
      <c r="N458" s="30" t="str">
        <f>IF(E458="Coinciden",D458,IF(E458="Revisar",VLOOKUP(A458,Revisión!$A$2:$L$703,12,FALSE),""))</f>
        <v>Centaurea jacea</v>
      </c>
    </row>
    <row r="459" spans="1:14" x14ac:dyDescent="0.3">
      <c r="A459" t="s">
        <v>964</v>
      </c>
      <c r="B459" t="s">
        <v>965</v>
      </c>
      <c r="D459" t="s">
        <v>965</v>
      </c>
      <c r="E459" t="s">
        <v>8</v>
      </c>
      <c r="F459" t="s">
        <v>34</v>
      </c>
      <c r="H459" s="23" t="str">
        <f>VLOOKUP(A459,Revisión!$A$2:$L$703,6,FALSE)</f>
        <v>Centaurea raphanina</v>
      </c>
      <c r="I459" s="4" t="str">
        <f>VLOOKUP(A459,Revisión!$A$2:$L$703,7,FALSE)</f>
        <v>Centaurea raphanina</v>
      </c>
      <c r="J459" s="4" t="str">
        <f>VLOOKUP(A459,Revisión!$A$2:$L$703,8,FALSE)</f>
        <v>Centaurea raphanina</v>
      </c>
      <c r="K459" s="4" t="str">
        <f>VLOOKUP(A459,Revisión!$A$2:$L$703,9,FALSE)</f>
        <v>-</v>
      </c>
      <c r="L459" s="4" t="str">
        <f>VLOOKUP(A459,Revisión!$A$2:$L$703,10,FALSE)</f>
        <v>-</v>
      </c>
      <c r="M459" s="18">
        <f>VLOOKUP(A459,Revisión!$A$2:$L$703,11,FALSE)</f>
        <v>3</v>
      </c>
      <c r="N459" s="30" t="str">
        <f>IF(E459="Coinciden",D459,IF(E459="Revisar",VLOOKUP(A459,Revisión!$A$2:$L$703,12,FALSE),""))</f>
        <v>Centaurea raphanina</v>
      </c>
    </row>
    <row r="460" spans="1:14" x14ac:dyDescent="0.3">
      <c r="A460" t="s">
        <v>966</v>
      </c>
      <c r="B460" t="s">
        <v>967</v>
      </c>
      <c r="C460" t="s">
        <v>967</v>
      </c>
      <c r="D460" t="s">
        <v>967</v>
      </c>
      <c r="E460" t="s">
        <v>18</v>
      </c>
      <c r="F460" t="s">
        <v>19</v>
      </c>
      <c r="H460" s="23" t="e">
        <f>VLOOKUP(A460,Revisión!$A$2:$L$703,6,FALSE)</f>
        <v>#N/A</v>
      </c>
      <c r="I460" s="4" t="e">
        <f>VLOOKUP(A460,Revisión!$A$2:$L$703,7,FALSE)</f>
        <v>#N/A</v>
      </c>
      <c r="J460" s="4" t="e">
        <f>VLOOKUP(A460,Revisión!$A$2:$L$703,8,FALSE)</f>
        <v>#N/A</v>
      </c>
      <c r="K460" s="4" t="e">
        <f>VLOOKUP(A460,Revisión!$A$2:$L$703,9,FALSE)</f>
        <v>#N/A</v>
      </c>
      <c r="L460" s="4" t="e">
        <f>VLOOKUP(A460,Revisión!$A$2:$L$703,10,FALSE)</f>
        <v>#N/A</v>
      </c>
      <c r="M460" s="18" t="e">
        <f>VLOOKUP(A460,Revisión!$A$2:$L$703,11,FALSE)</f>
        <v>#N/A</v>
      </c>
      <c r="N460" s="30" t="str">
        <f>IF(E460="Coinciden",D460,IF(E460="Revisar",VLOOKUP(A460,Revisión!$A$2:$L$703,12,FALSE),""))</f>
        <v>Centrosema virginianum</v>
      </c>
    </row>
    <row r="461" spans="1:14" x14ac:dyDescent="0.3">
      <c r="A461" t="s">
        <v>968</v>
      </c>
      <c r="C461" t="s">
        <v>969</v>
      </c>
      <c r="D461" t="s">
        <v>969</v>
      </c>
      <c r="E461" t="s">
        <v>8</v>
      </c>
      <c r="F461" t="s">
        <v>49</v>
      </c>
      <c r="H461" s="23" t="str">
        <f>VLOOKUP(A461,Revisión!$A$2:$L$703,6,FALSE)</f>
        <v>Cephalanthera falcata</v>
      </c>
      <c r="I461" s="4" t="str">
        <f>VLOOKUP(A461,Revisión!$A$2:$L$703,7,FALSE)</f>
        <v>Cephalanthera falcata</v>
      </c>
      <c r="J461" s="4" t="str">
        <f>VLOOKUP(A461,Revisión!$A$2:$L$703,8,FALSE)</f>
        <v>Cephalanthera falcata</v>
      </c>
      <c r="K461" s="4" t="str">
        <f>VLOOKUP(A461,Revisión!$A$2:$L$703,9,FALSE)</f>
        <v>-</v>
      </c>
      <c r="L461" s="4" t="str">
        <f>VLOOKUP(A461,Revisión!$A$2:$L$703,10,FALSE)</f>
        <v>-</v>
      </c>
      <c r="M461" s="18">
        <f>VLOOKUP(A461,Revisión!$A$2:$L$703,11,FALSE)</f>
        <v>3</v>
      </c>
      <c r="N461" s="30" t="str">
        <f>IF(E461="Coinciden",D461,IF(E461="Revisar",VLOOKUP(A461,Revisión!$A$2:$L$703,12,FALSE),""))</f>
        <v>Cephalanthera falcata</v>
      </c>
    </row>
    <row r="462" spans="1:14" x14ac:dyDescent="0.3">
      <c r="A462" t="s">
        <v>970</v>
      </c>
      <c r="B462" t="s">
        <v>971</v>
      </c>
      <c r="D462" t="s">
        <v>971</v>
      </c>
      <c r="E462" t="s">
        <v>8</v>
      </c>
      <c r="F462" t="s">
        <v>34</v>
      </c>
      <c r="H462" s="23" t="str">
        <f>VLOOKUP(A462,Revisión!$A$2:$L$703,6,FALSE)</f>
        <v>Cephalanthus occidentalis</v>
      </c>
      <c r="I462" s="4" t="str">
        <f>VLOOKUP(A462,Revisión!$A$2:$L$703,7,FALSE)</f>
        <v>-</v>
      </c>
      <c r="J462" s="4" t="str">
        <f>VLOOKUP(A462,Revisión!$A$2:$L$703,8,FALSE)</f>
        <v>Cephalanthus occidentalis</v>
      </c>
      <c r="K462" s="4" t="str">
        <f>VLOOKUP(A462,Revisión!$A$2:$L$703,9,FALSE)</f>
        <v>-</v>
      </c>
      <c r="L462" s="4" t="str">
        <f>VLOOKUP(A462,Revisión!$A$2:$L$703,10,FALSE)</f>
        <v>-</v>
      </c>
      <c r="M462" s="18" t="str">
        <f>VLOOKUP(A462,Revisión!$A$2:$L$703,11,FALSE)</f>
        <v>-</v>
      </c>
      <c r="N462" s="30" t="str">
        <f>IF(E462="Coinciden",D462,IF(E462="Revisar",VLOOKUP(A462,Revisión!$A$2:$L$703,12,FALSE),""))</f>
        <v>-</v>
      </c>
    </row>
    <row r="463" spans="1:14" x14ac:dyDescent="0.3">
      <c r="A463" t="s">
        <v>972</v>
      </c>
      <c r="B463" t="s">
        <v>973</v>
      </c>
      <c r="C463" t="s">
        <v>974</v>
      </c>
      <c r="D463" t="s">
        <v>973</v>
      </c>
      <c r="E463" t="s">
        <v>8</v>
      </c>
      <c r="F463" t="s">
        <v>493</v>
      </c>
      <c r="H463" s="23" t="str">
        <f>VLOOKUP(A463,Revisión!$A$2:$L$703,6,FALSE)</f>
        <v>Cerastium humifusum</v>
      </c>
      <c r="I463" s="4" t="str">
        <f>VLOOKUP(A463,Revisión!$A$2:$L$703,7,FALSE)</f>
        <v>Cerastium humifusum</v>
      </c>
      <c r="J463" s="4" t="str">
        <f>VLOOKUP(A463,Revisión!$A$2:$L$703,8,FALSE)</f>
        <v>Cerastium montioides</v>
      </c>
      <c r="K463" s="4" t="str">
        <f>VLOOKUP(A463,Revisión!$A$2:$L$703,9,FALSE)</f>
        <v>Cerastium humifusum</v>
      </c>
      <c r="L463" s="4" t="str">
        <f>VLOOKUP(A463,Revisión!$A$2:$L$703,10,FALSE)</f>
        <v>Cerastium humifusum</v>
      </c>
      <c r="M463" s="18">
        <f>VLOOKUP(A463,Revisión!$A$2:$L$703,11,FALSE)</f>
        <v>5</v>
      </c>
      <c r="N463" s="30" t="str">
        <f>IF(E463="Coinciden",D463,IF(E463="Revisar",VLOOKUP(A463,Revisión!$A$2:$L$703,12,FALSE),""))</f>
        <v>Cerastium humifusum</v>
      </c>
    </row>
    <row r="464" spans="1:14" x14ac:dyDescent="0.3">
      <c r="A464" t="s">
        <v>975</v>
      </c>
      <c r="B464" t="s">
        <v>976</v>
      </c>
      <c r="C464" t="s">
        <v>976</v>
      </c>
      <c r="D464" t="s">
        <v>976</v>
      </c>
      <c r="E464" t="s">
        <v>18</v>
      </c>
      <c r="F464" t="s">
        <v>19</v>
      </c>
      <c r="H464" s="23" t="e">
        <f>VLOOKUP(A464,Revisión!$A$2:$L$703,6,FALSE)</f>
        <v>#N/A</v>
      </c>
      <c r="I464" s="4" t="e">
        <f>VLOOKUP(A464,Revisión!$A$2:$L$703,7,FALSE)</f>
        <v>#N/A</v>
      </c>
      <c r="J464" s="4" t="e">
        <f>VLOOKUP(A464,Revisión!$A$2:$L$703,8,FALSE)</f>
        <v>#N/A</v>
      </c>
      <c r="K464" s="4" t="e">
        <f>VLOOKUP(A464,Revisión!$A$2:$L$703,9,FALSE)</f>
        <v>#N/A</v>
      </c>
      <c r="L464" s="4" t="e">
        <f>VLOOKUP(A464,Revisión!$A$2:$L$703,10,FALSE)</f>
        <v>#N/A</v>
      </c>
      <c r="M464" s="18" t="e">
        <f>VLOOKUP(A464,Revisión!$A$2:$L$703,11,FALSE)</f>
        <v>#N/A</v>
      </c>
      <c r="N464" s="30" t="str">
        <f>IF(E464="Coinciden",D464,IF(E464="Revisar",VLOOKUP(A464,Revisión!$A$2:$L$703,12,FALSE),""))</f>
        <v>Cerastium mollissimum</v>
      </c>
    </row>
    <row r="465" spans="1:14" x14ac:dyDescent="0.3">
      <c r="A465" t="s">
        <v>977</v>
      </c>
      <c r="B465" t="s">
        <v>978</v>
      </c>
      <c r="D465" t="s">
        <v>978</v>
      </c>
      <c r="E465" t="s">
        <v>8</v>
      </c>
      <c r="F465" t="s">
        <v>34</v>
      </c>
      <c r="H465" s="23" t="str">
        <f>VLOOKUP(A465,Revisión!$A$2:$L$703,6,FALSE)</f>
        <v>Cerastium alpinum</v>
      </c>
      <c r="I465" s="4" t="str">
        <f>VLOOKUP(A465,Revisión!$A$2:$L$703,7,FALSE)</f>
        <v>Cerastium alpinum</v>
      </c>
      <c r="J465" s="4" t="str">
        <f>VLOOKUP(A465,Revisión!$A$2:$L$703,8,FALSE)</f>
        <v>Cerastium alpinum</v>
      </c>
      <c r="K465" s="4" t="str">
        <f>VLOOKUP(A465,Revisión!$A$2:$L$703,9,FALSE)</f>
        <v>-</v>
      </c>
      <c r="L465" s="4" t="str">
        <f>VLOOKUP(A465,Revisión!$A$2:$L$703,10,FALSE)</f>
        <v>-</v>
      </c>
      <c r="M465" s="18">
        <f>VLOOKUP(A465,Revisión!$A$2:$L$703,11,FALSE)</f>
        <v>3</v>
      </c>
      <c r="N465" s="30" t="str">
        <f>IF(E465="Coinciden",D465,IF(E465="Revisar",VLOOKUP(A465,Revisión!$A$2:$L$703,12,FALSE),""))</f>
        <v>Cerastium alpinum</v>
      </c>
    </row>
    <row r="466" spans="1:14" x14ac:dyDescent="0.3">
      <c r="A466" t="s">
        <v>979</v>
      </c>
      <c r="B466" t="s">
        <v>980</v>
      </c>
      <c r="C466" t="s">
        <v>980</v>
      </c>
      <c r="D466" t="s">
        <v>980</v>
      </c>
      <c r="E466" t="s">
        <v>18</v>
      </c>
      <c r="F466" t="s">
        <v>19</v>
      </c>
      <c r="H466" s="23" t="e">
        <f>VLOOKUP(A466,Revisión!$A$2:$L$703,6,FALSE)</f>
        <v>#N/A</v>
      </c>
      <c r="I466" s="4" t="e">
        <f>VLOOKUP(A466,Revisión!$A$2:$L$703,7,FALSE)</f>
        <v>#N/A</v>
      </c>
      <c r="J466" s="4" t="e">
        <f>VLOOKUP(A466,Revisión!$A$2:$L$703,8,FALSE)</f>
        <v>#N/A</v>
      </c>
      <c r="K466" s="4" t="e">
        <f>VLOOKUP(A466,Revisión!$A$2:$L$703,9,FALSE)</f>
        <v>#N/A</v>
      </c>
      <c r="L466" s="4" t="e">
        <f>VLOOKUP(A466,Revisión!$A$2:$L$703,10,FALSE)</f>
        <v>#N/A</v>
      </c>
      <c r="M466" s="18" t="e">
        <f>VLOOKUP(A466,Revisión!$A$2:$L$703,11,FALSE)</f>
        <v>#N/A</v>
      </c>
      <c r="N466" s="30" t="str">
        <f>IF(E466="Coinciden",D466,IF(E466="Revisar",VLOOKUP(A466,Revisión!$A$2:$L$703,12,FALSE),""))</f>
        <v>Cerastium nutans</v>
      </c>
    </row>
    <row r="467" spans="1:14" x14ac:dyDescent="0.3">
      <c r="A467" t="s">
        <v>981</v>
      </c>
      <c r="B467" t="s">
        <v>982</v>
      </c>
      <c r="C467" t="s">
        <v>982</v>
      </c>
      <c r="D467" t="s">
        <v>982</v>
      </c>
      <c r="E467" t="s">
        <v>18</v>
      </c>
      <c r="F467" t="s">
        <v>19</v>
      </c>
      <c r="H467" s="23" t="e">
        <f>VLOOKUP(A467,Revisión!$A$2:$L$703,6,FALSE)</f>
        <v>#N/A</v>
      </c>
      <c r="I467" s="4" t="e">
        <f>VLOOKUP(A467,Revisión!$A$2:$L$703,7,FALSE)</f>
        <v>#N/A</v>
      </c>
      <c r="J467" s="4" t="e">
        <f>VLOOKUP(A467,Revisión!$A$2:$L$703,8,FALSE)</f>
        <v>#N/A</v>
      </c>
      <c r="K467" s="4" t="e">
        <f>VLOOKUP(A467,Revisión!$A$2:$L$703,9,FALSE)</f>
        <v>#N/A</v>
      </c>
      <c r="L467" s="4" t="e">
        <f>VLOOKUP(A467,Revisión!$A$2:$L$703,10,FALSE)</f>
        <v>#N/A</v>
      </c>
      <c r="M467" s="18" t="e">
        <f>VLOOKUP(A467,Revisión!$A$2:$L$703,11,FALSE)</f>
        <v>#N/A</v>
      </c>
      <c r="N467" s="30" t="str">
        <f>IF(E467="Coinciden",D467,IF(E467="Revisar",VLOOKUP(A467,Revisión!$A$2:$L$703,12,FALSE),""))</f>
        <v>Cerastium arcticum</v>
      </c>
    </row>
    <row r="468" spans="1:14" x14ac:dyDescent="0.3">
      <c r="A468" t="s">
        <v>983</v>
      </c>
      <c r="B468" t="s">
        <v>984</v>
      </c>
      <c r="C468" t="s">
        <v>984</v>
      </c>
      <c r="D468" t="s">
        <v>984</v>
      </c>
      <c r="E468" t="s">
        <v>18</v>
      </c>
      <c r="F468" t="s">
        <v>19</v>
      </c>
      <c r="H468" s="23" t="e">
        <f>VLOOKUP(A468,Revisión!$A$2:$L$703,6,FALSE)</f>
        <v>#N/A</v>
      </c>
      <c r="I468" s="4" t="e">
        <f>VLOOKUP(A468,Revisión!$A$2:$L$703,7,FALSE)</f>
        <v>#N/A</v>
      </c>
      <c r="J468" s="4" t="e">
        <f>VLOOKUP(A468,Revisión!$A$2:$L$703,8,FALSE)</f>
        <v>#N/A</v>
      </c>
      <c r="K468" s="4" t="e">
        <f>VLOOKUP(A468,Revisión!$A$2:$L$703,9,FALSE)</f>
        <v>#N/A</v>
      </c>
      <c r="L468" s="4" t="e">
        <f>VLOOKUP(A468,Revisión!$A$2:$L$703,10,FALSE)</f>
        <v>#N/A</v>
      </c>
      <c r="M468" s="18" t="e">
        <f>VLOOKUP(A468,Revisión!$A$2:$L$703,11,FALSE)</f>
        <v>#N/A</v>
      </c>
      <c r="N468" s="30" t="str">
        <f>IF(E468="Coinciden",D468,IF(E468="Revisar",VLOOKUP(A468,Revisión!$A$2:$L$703,12,FALSE),""))</f>
        <v>Cerastium fontanum</v>
      </c>
    </row>
    <row r="469" spans="1:14" x14ac:dyDescent="0.3">
      <c r="A469" t="s">
        <v>985</v>
      </c>
      <c r="B469" t="s">
        <v>986</v>
      </c>
      <c r="D469" t="s">
        <v>986</v>
      </c>
      <c r="E469" t="s">
        <v>8</v>
      </c>
      <c r="F469" t="s">
        <v>34</v>
      </c>
      <c r="H469" s="23" t="str">
        <f>VLOOKUP(A469,Revisión!$A$2:$L$703,6,FALSE)</f>
        <v>Cerastium arvense</v>
      </c>
      <c r="I469" s="4" t="str">
        <f>VLOOKUP(A469,Revisión!$A$2:$L$703,7,FALSE)</f>
        <v>Cerastium arvense</v>
      </c>
      <c r="J469" s="4" t="str">
        <f>VLOOKUP(A469,Revisión!$A$2:$L$703,8,FALSE)</f>
        <v>Cerastium arvense</v>
      </c>
      <c r="K469" s="4" t="str">
        <f>VLOOKUP(A469,Revisión!$A$2:$L$703,9,FALSE)</f>
        <v>-</v>
      </c>
      <c r="L469" s="4" t="str">
        <f>VLOOKUP(A469,Revisión!$A$2:$L$703,10,FALSE)</f>
        <v>-</v>
      </c>
      <c r="M469" s="18">
        <f>VLOOKUP(A469,Revisión!$A$2:$L$703,11,FALSE)</f>
        <v>3</v>
      </c>
      <c r="N469" s="30" t="str">
        <f>IF(E469="Coinciden",D469,IF(E469="Revisar",VLOOKUP(A469,Revisión!$A$2:$L$703,12,FALSE),""))</f>
        <v>Cerastium arvense</v>
      </c>
    </row>
    <row r="470" spans="1:14" x14ac:dyDescent="0.3">
      <c r="A470" t="s">
        <v>987</v>
      </c>
      <c r="B470" t="s">
        <v>988</v>
      </c>
      <c r="C470" t="s">
        <v>988</v>
      </c>
      <c r="D470" t="s">
        <v>988</v>
      </c>
      <c r="E470" t="s">
        <v>18</v>
      </c>
      <c r="F470" t="s">
        <v>19</v>
      </c>
      <c r="H470" s="23" t="e">
        <f>VLOOKUP(A470,Revisión!$A$2:$L$703,6,FALSE)</f>
        <v>#N/A</v>
      </c>
      <c r="I470" s="4" t="e">
        <f>VLOOKUP(A470,Revisión!$A$2:$L$703,7,FALSE)</f>
        <v>#N/A</v>
      </c>
      <c r="J470" s="4" t="e">
        <f>VLOOKUP(A470,Revisión!$A$2:$L$703,8,FALSE)</f>
        <v>#N/A</v>
      </c>
      <c r="K470" s="4" t="e">
        <f>VLOOKUP(A470,Revisión!$A$2:$L$703,9,FALSE)</f>
        <v>#N/A</v>
      </c>
      <c r="L470" s="4" t="e">
        <f>VLOOKUP(A470,Revisión!$A$2:$L$703,10,FALSE)</f>
        <v>#N/A</v>
      </c>
      <c r="M470" s="18" t="e">
        <f>VLOOKUP(A470,Revisión!$A$2:$L$703,11,FALSE)</f>
        <v>#N/A</v>
      </c>
      <c r="N470" s="30" t="str">
        <f>IF(E470="Coinciden",D470,IF(E470="Revisar",VLOOKUP(A470,Revisión!$A$2:$L$703,12,FALSE),""))</f>
        <v>Cerastium glomeratum</v>
      </c>
    </row>
    <row r="471" spans="1:14" x14ac:dyDescent="0.3">
      <c r="A471" t="s">
        <v>989</v>
      </c>
      <c r="B471" t="s">
        <v>990</v>
      </c>
      <c r="C471" t="s">
        <v>990</v>
      </c>
      <c r="D471" t="s">
        <v>990</v>
      </c>
      <c r="E471" t="s">
        <v>18</v>
      </c>
      <c r="F471" t="s">
        <v>19</v>
      </c>
      <c r="H471" s="23" t="e">
        <f>VLOOKUP(A471,Revisión!$A$2:$L$703,6,FALSE)</f>
        <v>#N/A</v>
      </c>
      <c r="I471" s="4" t="e">
        <f>VLOOKUP(A471,Revisión!$A$2:$L$703,7,FALSE)</f>
        <v>#N/A</v>
      </c>
      <c r="J471" s="4" t="e">
        <f>VLOOKUP(A471,Revisión!$A$2:$L$703,8,FALSE)</f>
        <v>#N/A</v>
      </c>
      <c r="K471" s="4" t="e">
        <f>VLOOKUP(A471,Revisión!$A$2:$L$703,9,FALSE)</f>
        <v>#N/A</v>
      </c>
      <c r="L471" s="4" t="e">
        <f>VLOOKUP(A471,Revisión!$A$2:$L$703,10,FALSE)</f>
        <v>#N/A</v>
      </c>
      <c r="M471" s="18" t="e">
        <f>VLOOKUP(A471,Revisión!$A$2:$L$703,11,FALSE)</f>
        <v>#N/A</v>
      </c>
      <c r="N471" s="30" t="str">
        <f>IF(E471="Coinciden",D471,IF(E471="Revisar",VLOOKUP(A471,Revisión!$A$2:$L$703,12,FALSE),""))</f>
        <v>Cerbera manghas</v>
      </c>
    </row>
    <row r="472" spans="1:14" x14ac:dyDescent="0.3">
      <c r="A472" t="s">
        <v>991</v>
      </c>
      <c r="B472" t="s">
        <v>992</v>
      </c>
      <c r="C472" t="s">
        <v>992</v>
      </c>
      <c r="D472" t="s">
        <v>992</v>
      </c>
      <c r="E472" t="s">
        <v>18</v>
      </c>
      <c r="F472" t="s">
        <v>19</v>
      </c>
      <c r="H472" s="23" t="e">
        <f>VLOOKUP(A472,Revisión!$A$2:$L$703,6,FALSE)</f>
        <v>#N/A</v>
      </c>
      <c r="I472" s="4" t="e">
        <f>VLOOKUP(A472,Revisión!$A$2:$L$703,7,FALSE)</f>
        <v>#N/A</v>
      </c>
      <c r="J472" s="4" t="e">
        <f>VLOOKUP(A472,Revisión!$A$2:$L$703,8,FALSE)</f>
        <v>#N/A</v>
      </c>
      <c r="K472" s="4" t="e">
        <f>VLOOKUP(A472,Revisión!$A$2:$L$703,9,FALSE)</f>
        <v>#N/A</v>
      </c>
      <c r="L472" s="4" t="e">
        <f>VLOOKUP(A472,Revisión!$A$2:$L$703,10,FALSE)</f>
        <v>#N/A</v>
      </c>
      <c r="M472" s="18" t="e">
        <f>VLOOKUP(A472,Revisión!$A$2:$L$703,11,FALSE)</f>
        <v>#N/A</v>
      </c>
      <c r="N472" s="30" t="str">
        <f>IF(E472="Coinciden",D472,IF(E472="Revisar",VLOOKUP(A472,Revisión!$A$2:$L$703,12,FALSE),""))</f>
        <v>Cercis siliquastrum</v>
      </c>
    </row>
    <row r="473" spans="1:14" x14ac:dyDescent="0.3">
      <c r="A473" t="s">
        <v>993</v>
      </c>
      <c r="B473" t="s">
        <v>994</v>
      </c>
      <c r="C473" t="s">
        <v>994</v>
      </c>
      <c r="D473" t="s">
        <v>994</v>
      </c>
      <c r="E473" t="s">
        <v>18</v>
      </c>
      <c r="F473" t="s">
        <v>19</v>
      </c>
      <c r="H473" s="23" t="e">
        <f>VLOOKUP(A473,Revisión!$A$2:$L$703,6,FALSE)</f>
        <v>#N/A</v>
      </c>
      <c r="I473" s="4" t="e">
        <f>VLOOKUP(A473,Revisión!$A$2:$L$703,7,FALSE)</f>
        <v>#N/A</v>
      </c>
      <c r="J473" s="4" t="e">
        <f>VLOOKUP(A473,Revisión!$A$2:$L$703,8,FALSE)</f>
        <v>#N/A</v>
      </c>
      <c r="K473" s="4" t="e">
        <f>VLOOKUP(A473,Revisión!$A$2:$L$703,9,FALSE)</f>
        <v>#N/A</v>
      </c>
      <c r="L473" s="4" t="e">
        <f>VLOOKUP(A473,Revisión!$A$2:$L$703,10,FALSE)</f>
        <v>#N/A</v>
      </c>
      <c r="M473" s="18" t="e">
        <f>VLOOKUP(A473,Revisión!$A$2:$L$703,11,FALSE)</f>
        <v>#N/A</v>
      </c>
      <c r="N473" s="30" t="str">
        <f>IF(E473="Coinciden",D473,IF(E473="Revisar",VLOOKUP(A473,Revisión!$A$2:$L$703,12,FALSE),""))</f>
        <v>Cercis canadensis</v>
      </c>
    </row>
    <row r="474" spans="1:14" x14ac:dyDescent="0.3">
      <c r="A474" t="s">
        <v>995</v>
      </c>
      <c r="B474" t="s">
        <v>996</v>
      </c>
      <c r="C474" t="s">
        <v>996</v>
      </c>
      <c r="D474" t="s">
        <v>996</v>
      </c>
      <c r="E474" t="s">
        <v>18</v>
      </c>
      <c r="F474" t="s">
        <v>19</v>
      </c>
      <c r="H474" s="23" t="e">
        <f>VLOOKUP(A474,Revisión!$A$2:$L$703,6,FALSE)</f>
        <v>#N/A</v>
      </c>
      <c r="I474" s="4" t="e">
        <f>VLOOKUP(A474,Revisión!$A$2:$L$703,7,FALSE)</f>
        <v>#N/A</v>
      </c>
      <c r="J474" s="4" t="e">
        <f>VLOOKUP(A474,Revisión!$A$2:$L$703,8,FALSE)</f>
        <v>#N/A</v>
      </c>
      <c r="K474" s="4" t="e">
        <f>VLOOKUP(A474,Revisión!$A$2:$L$703,9,FALSE)</f>
        <v>#N/A</v>
      </c>
      <c r="L474" s="4" t="e">
        <f>VLOOKUP(A474,Revisión!$A$2:$L$703,10,FALSE)</f>
        <v>#N/A</v>
      </c>
      <c r="M474" s="18" t="e">
        <f>VLOOKUP(A474,Revisión!$A$2:$L$703,11,FALSE)</f>
        <v>#N/A</v>
      </c>
      <c r="N474" s="30" t="str">
        <f>IF(E474="Coinciden",D474,IF(E474="Revisar",VLOOKUP(A474,Revisión!$A$2:$L$703,12,FALSE),""))</f>
        <v>Chaerophyllum temulum</v>
      </c>
    </row>
    <row r="475" spans="1:14" x14ac:dyDescent="0.3">
      <c r="A475" t="s">
        <v>997</v>
      </c>
      <c r="B475" t="s">
        <v>998</v>
      </c>
      <c r="C475" t="s">
        <v>998</v>
      </c>
      <c r="D475" t="s">
        <v>998</v>
      </c>
      <c r="E475" t="s">
        <v>18</v>
      </c>
      <c r="F475" t="s">
        <v>19</v>
      </c>
      <c r="H475" s="23" t="e">
        <f>VLOOKUP(A475,Revisión!$A$2:$L$703,6,FALSE)</f>
        <v>#N/A</v>
      </c>
      <c r="I475" s="4" t="e">
        <f>VLOOKUP(A475,Revisión!$A$2:$L$703,7,FALSE)</f>
        <v>#N/A</v>
      </c>
      <c r="J475" s="4" t="e">
        <f>VLOOKUP(A475,Revisión!$A$2:$L$703,8,FALSE)</f>
        <v>#N/A</v>
      </c>
      <c r="K475" s="4" t="e">
        <f>VLOOKUP(A475,Revisión!$A$2:$L$703,9,FALSE)</f>
        <v>#N/A</v>
      </c>
      <c r="L475" s="4" t="e">
        <f>VLOOKUP(A475,Revisión!$A$2:$L$703,10,FALSE)</f>
        <v>#N/A</v>
      </c>
      <c r="M475" s="18" t="e">
        <f>VLOOKUP(A475,Revisión!$A$2:$L$703,11,FALSE)</f>
        <v>#N/A</v>
      </c>
      <c r="N475" s="30" t="str">
        <f>IF(E475="Coinciden",D475,IF(E475="Revisar",VLOOKUP(A475,Revisión!$A$2:$L$703,12,FALSE),""))</f>
        <v>Chaerophyllum procumbens</v>
      </c>
    </row>
    <row r="476" spans="1:14" x14ac:dyDescent="0.3">
      <c r="A476" t="s">
        <v>999</v>
      </c>
      <c r="B476" t="s">
        <v>1000</v>
      </c>
      <c r="C476" t="s">
        <v>1000</v>
      </c>
      <c r="D476" t="s">
        <v>1000</v>
      </c>
      <c r="E476" t="s">
        <v>18</v>
      </c>
      <c r="F476" t="s">
        <v>19</v>
      </c>
      <c r="H476" s="23" t="e">
        <f>VLOOKUP(A476,Revisión!$A$2:$L$703,6,FALSE)</f>
        <v>#N/A</v>
      </c>
      <c r="I476" s="4" t="e">
        <f>VLOOKUP(A476,Revisión!$A$2:$L$703,7,FALSE)</f>
        <v>#N/A</v>
      </c>
      <c r="J476" s="4" t="e">
        <f>VLOOKUP(A476,Revisión!$A$2:$L$703,8,FALSE)</f>
        <v>#N/A</v>
      </c>
      <c r="K476" s="4" t="e">
        <f>VLOOKUP(A476,Revisión!$A$2:$L$703,9,FALSE)</f>
        <v>#N/A</v>
      </c>
      <c r="L476" s="4" t="e">
        <f>VLOOKUP(A476,Revisión!$A$2:$L$703,10,FALSE)</f>
        <v>#N/A</v>
      </c>
      <c r="M476" s="18" t="e">
        <f>VLOOKUP(A476,Revisión!$A$2:$L$703,11,FALSE)</f>
        <v>#N/A</v>
      </c>
      <c r="N476" s="30" t="str">
        <f>IF(E476="Coinciden",D476,IF(E476="Revisar",VLOOKUP(A476,Revisión!$A$2:$L$703,12,FALSE),""))</f>
        <v>Chaetanthera microphylla</v>
      </c>
    </row>
    <row r="477" spans="1:14" x14ac:dyDescent="0.3">
      <c r="A477" t="s">
        <v>1001</v>
      </c>
      <c r="B477" t="s">
        <v>1002</v>
      </c>
      <c r="C477" t="s">
        <v>1002</v>
      </c>
      <c r="D477" t="s">
        <v>1002</v>
      </c>
      <c r="E477" t="s">
        <v>18</v>
      </c>
      <c r="F477" t="s">
        <v>19</v>
      </c>
      <c r="H477" s="23" t="e">
        <f>VLOOKUP(A477,Revisión!$A$2:$L$703,6,FALSE)</f>
        <v>#N/A</v>
      </c>
      <c r="I477" s="4" t="e">
        <f>VLOOKUP(A477,Revisión!$A$2:$L$703,7,FALSE)</f>
        <v>#N/A</v>
      </c>
      <c r="J477" s="4" t="e">
        <f>VLOOKUP(A477,Revisión!$A$2:$L$703,8,FALSE)</f>
        <v>#N/A</v>
      </c>
      <c r="K477" s="4" t="e">
        <f>VLOOKUP(A477,Revisión!$A$2:$L$703,9,FALSE)</f>
        <v>#N/A</v>
      </c>
      <c r="L477" s="4" t="e">
        <f>VLOOKUP(A477,Revisión!$A$2:$L$703,10,FALSE)</f>
        <v>#N/A</v>
      </c>
      <c r="M477" s="18" t="e">
        <f>VLOOKUP(A477,Revisión!$A$2:$L$703,11,FALSE)</f>
        <v>#N/A</v>
      </c>
      <c r="N477" s="30" t="str">
        <f>IF(E477="Coinciden",D477,IF(E477="Revisar",VLOOKUP(A477,Revisión!$A$2:$L$703,12,FALSE),""))</f>
        <v>Chaetanthera flabellata</v>
      </c>
    </row>
    <row r="478" spans="1:14" x14ac:dyDescent="0.3">
      <c r="A478" t="s">
        <v>1003</v>
      </c>
      <c r="B478" t="s">
        <v>1004</v>
      </c>
      <c r="C478" t="s">
        <v>1004</v>
      </c>
      <c r="D478" t="s">
        <v>1005</v>
      </c>
      <c r="E478" t="s">
        <v>8</v>
      </c>
      <c r="F478" t="s">
        <v>15</v>
      </c>
      <c r="H478" s="23" t="str">
        <f>VLOOKUP(A478,Revisión!$A$2:$L$703,6,FALSE)</f>
        <v>Oriastrum pusillum</v>
      </c>
      <c r="I478" s="4" t="str">
        <f>VLOOKUP(A478,Revisión!$A$2:$L$703,7,FALSE)</f>
        <v>Chaetanthera pusilla</v>
      </c>
      <c r="J478" s="4" t="str">
        <f>VLOOKUP(A478,Revisión!$A$2:$L$703,8,FALSE)</f>
        <v>Oriastrum chilense</v>
      </c>
      <c r="K478" s="4" t="str">
        <f>VLOOKUP(A478,Revisión!$A$2:$L$703,9,FALSE)</f>
        <v>Oriastrum chilense</v>
      </c>
      <c r="L478" s="4" t="str">
        <f>VLOOKUP(A478,Revisión!$A$2:$L$703,10,FALSE)</f>
        <v>Oriastrum chilense</v>
      </c>
      <c r="M478" s="18">
        <f>VLOOKUP(A478,Revisión!$A$2:$L$703,11,FALSE)</f>
        <v>4</v>
      </c>
      <c r="N478" s="30" t="str">
        <f>IF(E478="Coinciden",D478,IF(E478="Revisar",VLOOKUP(A478,Revisión!$A$2:$L$703,12,FALSE),""))</f>
        <v>Oriastrum chilense</v>
      </c>
    </row>
    <row r="479" spans="1:14" x14ac:dyDescent="0.3">
      <c r="A479" t="s">
        <v>1006</v>
      </c>
      <c r="B479" t="s">
        <v>1007</v>
      </c>
      <c r="C479" t="s">
        <v>1007</v>
      </c>
      <c r="D479" t="s">
        <v>1007</v>
      </c>
      <c r="E479" t="s">
        <v>18</v>
      </c>
      <c r="F479" t="s">
        <v>19</v>
      </c>
      <c r="H479" s="23" t="e">
        <f>VLOOKUP(A479,Revisión!$A$2:$L$703,6,FALSE)</f>
        <v>#N/A</v>
      </c>
      <c r="I479" s="4" t="e">
        <f>VLOOKUP(A479,Revisión!$A$2:$L$703,7,FALSE)</f>
        <v>#N/A</v>
      </c>
      <c r="J479" s="4" t="e">
        <f>VLOOKUP(A479,Revisión!$A$2:$L$703,8,FALSE)</f>
        <v>#N/A</v>
      </c>
      <c r="K479" s="4" t="e">
        <f>VLOOKUP(A479,Revisión!$A$2:$L$703,9,FALSE)</f>
        <v>#N/A</v>
      </c>
      <c r="L479" s="4" t="e">
        <f>VLOOKUP(A479,Revisión!$A$2:$L$703,10,FALSE)</f>
        <v>#N/A</v>
      </c>
      <c r="M479" s="18" t="e">
        <f>VLOOKUP(A479,Revisión!$A$2:$L$703,11,FALSE)</f>
        <v>#N/A</v>
      </c>
      <c r="N479" s="30" t="str">
        <f>IF(E479="Coinciden",D479,IF(E479="Revisar",VLOOKUP(A479,Revisión!$A$2:$L$703,12,FALSE),""))</f>
        <v>Chaetanthera euphrasioides</v>
      </c>
    </row>
    <row r="480" spans="1:14" x14ac:dyDescent="0.3">
      <c r="A480" t="s">
        <v>1008</v>
      </c>
      <c r="B480" t="s">
        <v>1009</v>
      </c>
      <c r="C480" t="s">
        <v>1009</v>
      </c>
      <c r="D480" t="s">
        <v>1010</v>
      </c>
      <c r="E480" t="s">
        <v>8</v>
      </c>
      <c r="F480" t="s">
        <v>15</v>
      </c>
      <c r="H480" s="23" t="str">
        <f>VLOOKUP(A480,Revisión!$A$2:$L$703,6,FALSE)</f>
        <v>Oriastrum lycopodioides</v>
      </c>
      <c r="I480" s="4" t="str">
        <f>VLOOKUP(A480,Revisión!$A$2:$L$703,7,FALSE)</f>
        <v>Chaetanthera lycopodioides</v>
      </c>
      <c r="J480" s="4" t="str">
        <f>VLOOKUP(A480,Revisión!$A$2:$L$703,8,FALSE)</f>
        <v>Oriastrum lycopodioides</v>
      </c>
      <c r="K480" s="4" t="str">
        <f>VLOOKUP(A480,Revisión!$A$2:$L$703,9,FALSE)</f>
        <v>-</v>
      </c>
      <c r="L480" s="4" t="str">
        <f>VLOOKUP(A480,Revisión!$A$2:$L$703,10,FALSE)</f>
        <v>-</v>
      </c>
      <c r="M480" s="18">
        <f>VLOOKUP(A480,Revisión!$A$2:$L$703,11,FALSE)</f>
        <v>2</v>
      </c>
      <c r="N480" s="30" t="str">
        <f>IF(E480="Coinciden",D480,IF(E480="Revisar",VLOOKUP(A480,Revisión!$A$2:$L$703,12,FALSE),""))</f>
        <v>Oriastrum lycopodioydes</v>
      </c>
    </row>
    <row r="481" spans="1:14" x14ac:dyDescent="0.3">
      <c r="A481" t="s">
        <v>1011</v>
      </c>
      <c r="B481" t="s">
        <v>1012</v>
      </c>
      <c r="C481" t="s">
        <v>1012</v>
      </c>
      <c r="D481" t="s">
        <v>1013</v>
      </c>
      <c r="E481" t="s">
        <v>8</v>
      </c>
      <c r="F481" t="s">
        <v>15</v>
      </c>
      <c r="H481" s="23" t="str">
        <f>VLOOKUP(A481,Revisión!$A$2:$L$703,6,FALSE)</f>
        <v>Oriastrum apiculatum</v>
      </c>
      <c r="I481" s="4" t="str">
        <f>VLOOKUP(A481,Revisión!$A$2:$L$703,7,FALSE)</f>
        <v>Chaetanthera apiculata</v>
      </c>
      <c r="J481" s="4" t="str">
        <f>VLOOKUP(A481,Revisión!$A$2:$L$703,8,FALSE)</f>
        <v>Oriastrum apiculatum</v>
      </c>
      <c r="K481" s="4" t="str">
        <f>VLOOKUP(A481,Revisión!$A$2:$L$703,9,FALSE)</f>
        <v>-</v>
      </c>
      <c r="L481" s="4" t="str">
        <f>VLOOKUP(A481,Revisión!$A$2:$L$703,10,FALSE)</f>
        <v>-</v>
      </c>
      <c r="M481" s="18">
        <f>VLOOKUP(A481,Revisión!$A$2:$L$703,11,FALSE)</f>
        <v>2</v>
      </c>
      <c r="N481" s="30" t="str">
        <f>IF(E481="Coinciden",D481,IF(E481="Revisar",VLOOKUP(A481,Revisión!$A$2:$L$703,12,FALSE),""))</f>
        <v>Oriastrum apiculatum</v>
      </c>
    </row>
    <row r="482" spans="1:14" x14ac:dyDescent="0.3">
      <c r="A482" t="s">
        <v>1014</v>
      </c>
      <c r="B482" t="s">
        <v>1015</v>
      </c>
      <c r="C482" t="s">
        <v>1015</v>
      </c>
      <c r="D482" t="s">
        <v>1015</v>
      </c>
      <c r="E482" t="s">
        <v>18</v>
      </c>
      <c r="F482" t="s">
        <v>19</v>
      </c>
      <c r="H482" s="23" t="e">
        <f>VLOOKUP(A482,Revisión!$A$2:$L$703,6,FALSE)</f>
        <v>#N/A</v>
      </c>
      <c r="I482" s="4" t="e">
        <f>VLOOKUP(A482,Revisión!$A$2:$L$703,7,FALSE)</f>
        <v>#N/A</v>
      </c>
      <c r="J482" s="4" t="e">
        <f>VLOOKUP(A482,Revisión!$A$2:$L$703,8,FALSE)</f>
        <v>#N/A</v>
      </c>
      <c r="K482" s="4" t="e">
        <f>VLOOKUP(A482,Revisión!$A$2:$L$703,9,FALSE)</f>
        <v>#N/A</v>
      </c>
      <c r="L482" s="4" t="e">
        <f>VLOOKUP(A482,Revisión!$A$2:$L$703,10,FALSE)</f>
        <v>#N/A</v>
      </c>
      <c r="M482" s="18" t="e">
        <f>VLOOKUP(A482,Revisión!$A$2:$L$703,11,FALSE)</f>
        <v>#N/A</v>
      </c>
      <c r="N482" s="30" t="str">
        <f>IF(E482="Coinciden",D482,IF(E482="Revisar",VLOOKUP(A482,Revisión!$A$2:$L$703,12,FALSE),""))</f>
        <v>Chamaecrista glandulosa</v>
      </c>
    </row>
    <row r="483" spans="1:14" x14ac:dyDescent="0.3">
      <c r="A483" t="s">
        <v>1016</v>
      </c>
      <c r="B483" t="s">
        <v>1017</v>
      </c>
      <c r="C483" t="s">
        <v>1017</v>
      </c>
      <c r="D483" t="s">
        <v>1017</v>
      </c>
      <c r="E483" t="s">
        <v>18</v>
      </c>
      <c r="F483" t="s">
        <v>19</v>
      </c>
      <c r="H483" s="23" t="e">
        <f>VLOOKUP(A483,Revisión!$A$2:$L$703,6,FALSE)</f>
        <v>#N/A</v>
      </c>
      <c r="I483" s="4" t="e">
        <f>VLOOKUP(A483,Revisión!$A$2:$L$703,7,FALSE)</f>
        <v>#N/A</v>
      </c>
      <c r="J483" s="4" t="e">
        <f>VLOOKUP(A483,Revisión!$A$2:$L$703,8,FALSE)</f>
        <v>#N/A</v>
      </c>
      <c r="K483" s="4" t="e">
        <f>VLOOKUP(A483,Revisión!$A$2:$L$703,9,FALSE)</f>
        <v>#N/A</v>
      </c>
      <c r="L483" s="4" t="e">
        <f>VLOOKUP(A483,Revisión!$A$2:$L$703,10,FALSE)</f>
        <v>#N/A</v>
      </c>
      <c r="M483" s="18" t="e">
        <f>VLOOKUP(A483,Revisión!$A$2:$L$703,11,FALSE)</f>
        <v>#N/A</v>
      </c>
      <c r="N483" s="30" t="str">
        <f>IF(E483="Coinciden",D483,IF(E483="Revisar",VLOOKUP(A483,Revisión!$A$2:$L$703,12,FALSE),""))</f>
        <v>Chamaedaphne calyculata</v>
      </c>
    </row>
    <row r="484" spans="1:14" x14ac:dyDescent="0.3">
      <c r="A484" t="s">
        <v>1018</v>
      </c>
      <c r="B484" t="s">
        <v>1019</v>
      </c>
      <c r="C484" t="s">
        <v>1020</v>
      </c>
      <c r="D484" t="s">
        <v>1020</v>
      </c>
      <c r="E484" t="s">
        <v>8</v>
      </c>
      <c r="F484" t="s">
        <v>23</v>
      </c>
      <c r="H484" s="23" t="str">
        <f>VLOOKUP(A484,Revisión!$A$2:$L$703,6,FALSE)</f>
        <v>Chamaenerion angustifolium</v>
      </c>
      <c r="I484" s="4" t="str">
        <f>VLOOKUP(A484,Revisión!$A$2:$L$703,7,FALSE)</f>
        <v>Epilobium angustifolium</v>
      </c>
      <c r="J484" s="4" t="str">
        <f>VLOOKUP(A484,Revisión!$A$2:$L$703,8,FALSE)</f>
        <v>Epilobium angustifolium</v>
      </c>
      <c r="K484" s="4" t="str">
        <f>VLOOKUP(A484,Revisión!$A$2:$L$703,9,FALSE)</f>
        <v>-</v>
      </c>
      <c r="L484" s="4" t="str">
        <f>VLOOKUP(A484,Revisión!$A$2:$L$703,10,FALSE)</f>
        <v>-</v>
      </c>
      <c r="M484" s="18">
        <f>VLOOKUP(A484,Revisión!$A$2:$L$703,11,FALSE)</f>
        <v>2</v>
      </c>
      <c r="N484" s="30" t="str">
        <f>IF(E484="Coinciden",D484,IF(E484="Revisar",VLOOKUP(A484,Revisión!$A$2:$L$703,12,FALSE),""))</f>
        <v>Epilobium angustifolium</v>
      </c>
    </row>
    <row r="485" spans="1:14" x14ac:dyDescent="0.3">
      <c r="A485" t="s">
        <v>1021</v>
      </c>
      <c r="B485" t="s">
        <v>1022</v>
      </c>
      <c r="C485" t="s">
        <v>1022</v>
      </c>
      <c r="D485" t="s">
        <v>1022</v>
      </c>
      <c r="E485" t="s">
        <v>18</v>
      </c>
      <c r="F485" t="s">
        <v>19</v>
      </c>
      <c r="H485" s="23" t="e">
        <f>VLOOKUP(A485,Revisión!$A$2:$L$703,6,FALSE)</f>
        <v>#N/A</v>
      </c>
      <c r="I485" s="4" t="e">
        <f>VLOOKUP(A485,Revisión!$A$2:$L$703,7,FALSE)</f>
        <v>#N/A</v>
      </c>
      <c r="J485" s="4" t="e">
        <f>VLOOKUP(A485,Revisión!$A$2:$L$703,8,FALSE)</f>
        <v>#N/A</v>
      </c>
      <c r="K485" s="4" t="e">
        <f>VLOOKUP(A485,Revisión!$A$2:$L$703,9,FALSE)</f>
        <v>#N/A</v>
      </c>
      <c r="L485" s="4" t="e">
        <f>VLOOKUP(A485,Revisión!$A$2:$L$703,10,FALSE)</f>
        <v>#N/A</v>
      </c>
      <c r="M485" s="18" t="e">
        <f>VLOOKUP(A485,Revisión!$A$2:$L$703,11,FALSE)</f>
        <v>#N/A</v>
      </c>
      <c r="N485" s="30" t="str">
        <f>IF(E485="Coinciden",D485,IF(E485="Revisar",VLOOKUP(A485,Revisión!$A$2:$L$703,12,FALSE),""))</f>
        <v>Chamaerops humilis</v>
      </c>
    </row>
    <row r="486" spans="1:14" x14ac:dyDescent="0.3">
      <c r="A486" t="s">
        <v>1023</v>
      </c>
      <c r="B486" t="s">
        <v>1024</v>
      </c>
      <c r="C486" t="s">
        <v>1020</v>
      </c>
      <c r="D486" t="s">
        <v>1020</v>
      </c>
      <c r="E486" t="s">
        <v>8</v>
      </c>
      <c r="F486" t="s">
        <v>23</v>
      </c>
      <c r="H486" s="23" t="str">
        <f>VLOOKUP(A486,Revisión!$A$2:$L$703,6,FALSE)</f>
        <v>Chamaenerion angustifolium subsp. angustifolium</v>
      </c>
      <c r="I486" s="4" t="str">
        <f>VLOOKUP(A486,Revisión!$A$2:$L$703,7,FALSE)</f>
        <v>Epilobium angustifolium</v>
      </c>
      <c r="J486" s="4" t="str">
        <f>VLOOKUP(A486,Revisión!$A$2:$L$703,8,FALSE)</f>
        <v>Epilobium angustifolium</v>
      </c>
      <c r="K486" s="4" t="str">
        <f>VLOOKUP(A486,Revisión!$A$2:$L$703,9,FALSE)</f>
        <v>-</v>
      </c>
      <c r="L486" s="4" t="str">
        <f>VLOOKUP(A486,Revisión!$A$2:$L$703,10,FALSE)</f>
        <v>-</v>
      </c>
      <c r="M486" s="18">
        <f>VLOOKUP(A486,Revisión!$A$2:$L$703,11,FALSE)</f>
        <v>2</v>
      </c>
      <c r="N486" s="30" t="str">
        <f>IF(E486="Coinciden",D486,IF(E486="Revisar",VLOOKUP(A486,Revisión!$A$2:$L$703,12,FALSE),""))</f>
        <v>Epilobium angustifolium</v>
      </c>
    </row>
    <row r="487" spans="1:14" x14ac:dyDescent="0.3">
      <c r="A487" t="s">
        <v>1025</v>
      </c>
      <c r="B487" t="s">
        <v>1026</v>
      </c>
      <c r="C487" t="s">
        <v>1026</v>
      </c>
      <c r="E487" t="s">
        <v>8</v>
      </c>
      <c r="F487" t="s">
        <v>323</v>
      </c>
      <c r="H487" s="23" t="str">
        <f>VLOOKUP(A487,Revisión!$A$2:$L$703,6,FALSE)</f>
        <v>Matricaria chamomilla</v>
      </c>
      <c r="I487" s="4" t="str">
        <f>VLOOKUP(A487,Revisión!$A$2:$L$703,7,FALSE)</f>
        <v>Matricaria chamomilla </v>
      </c>
      <c r="J487" s="4" t="str">
        <f>VLOOKUP(A487,Revisión!$A$2:$L$703,8,FALSE)</f>
        <v>Matricaria chamomilla</v>
      </c>
      <c r="K487" s="4" t="str">
        <f>VLOOKUP(A487,Revisión!$A$2:$L$703,9,FALSE)</f>
        <v>-</v>
      </c>
      <c r="L487" s="4" t="str">
        <f>VLOOKUP(A487,Revisión!$A$2:$L$703,10,FALSE)</f>
        <v>-</v>
      </c>
      <c r="M487" s="18">
        <f>VLOOKUP(A487,Revisión!$A$2:$L$703,11,FALSE)</f>
        <v>3</v>
      </c>
      <c r="N487" s="30" t="str">
        <f>IF(E487="Coinciden",D487,IF(E487="Revisar",VLOOKUP(A487,Revisión!$A$2:$L$703,12,FALSE),""))</f>
        <v>Matricaria chamomilla </v>
      </c>
    </row>
    <row r="488" spans="1:14" x14ac:dyDescent="0.3">
      <c r="A488" t="s">
        <v>1027</v>
      </c>
      <c r="B488" t="s">
        <v>1028</v>
      </c>
      <c r="C488" t="s">
        <v>1028</v>
      </c>
      <c r="D488" t="s">
        <v>1028</v>
      </c>
      <c r="E488" t="s">
        <v>18</v>
      </c>
      <c r="F488" t="s">
        <v>19</v>
      </c>
      <c r="H488" s="23" t="e">
        <f>VLOOKUP(A488,Revisión!$A$2:$L$703,6,FALSE)</f>
        <v>#N/A</v>
      </c>
      <c r="I488" s="4" t="e">
        <f>VLOOKUP(A488,Revisión!$A$2:$L$703,7,FALSE)</f>
        <v>#N/A</v>
      </c>
      <c r="J488" s="4" t="e">
        <f>VLOOKUP(A488,Revisión!$A$2:$L$703,8,FALSE)</f>
        <v>#N/A</v>
      </c>
      <c r="K488" s="4" t="e">
        <f>VLOOKUP(A488,Revisión!$A$2:$L$703,9,FALSE)</f>
        <v>#N/A</v>
      </c>
      <c r="L488" s="4" t="e">
        <f>VLOOKUP(A488,Revisión!$A$2:$L$703,10,FALSE)</f>
        <v>#N/A</v>
      </c>
      <c r="M488" s="18" t="e">
        <f>VLOOKUP(A488,Revisión!$A$2:$L$703,11,FALSE)</f>
        <v>#N/A</v>
      </c>
      <c r="N488" s="30" t="str">
        <f>IF(E488="Coinciden",D488,IF(E488="Revisar",VLOOKUP(A488,Revisión!$A$2:$L$703,12,FALSE),""))</f>
        <v>Matricaria discoidea</v>
      </c>
    </row>
    <row r="489" spans="1:14" x14ac:dyDescent="0.3">
      <c r="A489" t="s">
        <v>1029</v>
      </c>
      <c r="B489" t="s">
        <v>1030</v>
      </c>
      <c r="C489" t="s">
        <v>1030</v>
      </c>
      <c r="D489" t="s">
        <v>1030</v>
      </c>
      <c r="E489" t="s">
        <v>18</v>
      </c>
      <c r="F489" t="s">
        <v>19</v>
      </c>
      <c r="H489" s="23" t="e">
        <f>VLOOKUP(A489,Revisión!$A$2:$L$703,6,FALSE)</f>
        <v>#N/A</v>
      </c>
      <c r="I489" s="4" t="e">
        <f>VLOOKUP(A489,Revisión!$A$2:$L$703,7,FALSE)</f>
        <v>#N/A</v>
      </c>
      <c r="J489" s="4" t="e">
        <f>VLOOKUP(A489,Revisión!$A$2:$L$703,8,FALSE)</f>
        <v>#N/A</v>
      </c>
      <c r="K489" s="4" t="e">
        <f>VLOOKUP(A489,Revisión!$A$2:$L$703,9,FALSE)</f>
        <v>#N/A</v>
      </c>
      <c r="L489" s="4" t="e">
        <f>VLOOKUP(A489,Revisión!$A$2:$L$703,10,FALSE)</f>
        <v>#N/A</v>
      </c>
      <c r="M489" s="18" t="e">
        <f>VLOOKUP(A489,Revisión!$A$2:$L$703,11,FALSE)</f>
        <v>#N/A</v>
      </c>
      <c r="N489" s="30" t="str">
        <f>IF(E489="Coinciden",D489,IF(E489="Revisar",VLOOKUP(A489,Revisión!$A$2:$L$703,12,FALSE),""))</f>
        <v>Chassalia petrinensis</v>
      </c>
    </row>
    <row r="490" spans="1:14" x14ac:dyDescent="0.3">
      <c r="A490" t="s">
        <v>1031</v>
      </c>
      <c r="B490" t="s">
        <v>1032</v>
      </c>
      <c r="C490" t="s">
        <v>1032</v>
      </c>
      <c r="D490" t="s">
        <v>1032</v>
      </c>
      <c r="E490" t="s">
        <v>18</v>
      </c>
      <c r="F490" t="s">
        <v>19</v>
      </c>
      <c r="H490" s="23" t="e">
        <f>VLOOKUP(A490,Revisión!$A$2:$L$703,6,FALSE)</f>
        <v>#N/A</v>
      </c>
      <c r="I490" s="4" t="e">
        <f>VLOOKUP(A490,Revisión!$A$2:$L$703,7,FALSE)</f>
        <v>#N/A</v>
      </c>
      <c r="J490" s="4" t="e">
        <f>VLOOKUP(A490,Revisión!$A$2:$L$703,8,FALSE)</f>
        <v>#N/A</v>
      </c>
      <c r="K490" s="4" t="e">
        <f>VLOOKUP(A490,Revisión!$A$2:$L$703,9,FALSE)</f>
        <v>#N/A</v>
      </c>
      <c r="L490" s="4" t="e">
        <f>VLOOKUP(A490,Revisión!$A$2:$L$703,10,FALSE)</f>
        <v>#N/A</v>
      </c>
      <c r="M490" s="18" t="e">
        <f>VLOOKUP(A490,Revisión!$A$2:$L$703,11,FALSE)</f>
        <v>#N/A</v>
      </c>
      <c r="N490" s="30" t="str">
        <f>IF(E490="Coinciden",D490,IF(E490="Revisar",VLOOKUP(A490,Revisión!$A$2:$L$703,12,FALSE),""))</f>
        <v>Chassalia coriacea</v>
      </c>
    </row>
    <row r="491" spans="1:14" x14ac:dyDescent="0.3">
      <c r="A491" t="s">
        <v>1033</v>
      </c>
      <c r="B491" t="s">
        <v>1034</v>
      </c>
      <c r="C491" t="s">
        <v>1034</v>
      </c>
      <c r="D491" t="s">
        <v>1034</v>
      </c>
      <c r="E491" t="s">
        <v>18</v>
      </c>
      <c r="F491" t="s">
        <v>19</v>
      </c>
      <c r="H491" s="23" t="e">
        <f>VLOOKUP(A491,Revisión!$A$2:$L$703,6,FALSE)</f>
        <v>#N/A</v>
      </c>
      <c r="I491" s="4" t="e">
        <f>VLOOKUP(A491,Revisión!$A$2:$L$703,7,FALSE)</f>
        <v>#N/A</v>
      </c>
      <c r="J491" s="4" t="e">
        <f>VLOOKUP(A491,Revisión!$A$2:$L$703,8,FALSE)</f>
        <v>#N/A</v>
      </c>
      <c r="K491" s="4" t="e">
        <f>VLOOKUP(A491,Revisión!$A$2:$L$703,9,FALSE)</f>
        <v>#N/A</v>
      </c>
      <c r="L491" s="4" t="e">
        <f>VLOOKUP(A491,Revisión!$A$2:$L$703,10,FALSE)</f>
        <v>#N/A</v>
      </c>
      <c r="M491" s="18" t="e">
        <f>VLOOKUP(A491,Revisión!$A$2:$L$703,11,FALSE)</f>
        <v>#N/A</v>
      </c>
      <c r="N491" s="30" t="str">
        <f>IF(E491="Coinciden",D491,IF(E491="Revisar",VLOOKUP(A491,Revisión!$A$2:$L$703,12,FALSE),""))</f>
        <v>Chassalia coriacea var. coriacea</v>
      </c>
    </row>
    <row r="492" spans="1:14" x14ac:dyDescent="0.3">
      <c r="A492" t="s">
        <v>1035</v>
      </c>
      <c r="B492" t="s">
        <v>1036</v>
      </c>
      <c r="C492" t="s">
        <v>1036</v>
      </c>
      <c r="D492" t="s">
        <v>1036</v>
      </c>
      <c r="E492" t="s">
        <v>18</v>
      </c>
      <c r="F492" t="s">
        <v>19</v>
      </c>
      <c r="H492" s="23" t="e">
        <f>VLOOKUP(A492,Revisión!$A$2:$L$703,6,FALSE)</f>
        <v>#N/A</v>
      </c>
      <c r="I492" s="4" t="e">
        <f>VLOOKUP(A492,Revisión!$A$2:$L$703,7,FALSE)</f>
        <v>#N/A</v>
      </c>
      <c r="J492" s="4" t="e">
        <f>VLOOKUP(A492,Revisión!$A$2:$L$703,8,FALSE)</f>
        <v>#N/A</v>
      </c>
      <c r="K492" s="4" t="e">
        <f>VLOOKUP(A492,Revisión!$A$2:$L$703,9,FALSE)</f>
        <v>#N/A</v>
      </c>
      <c r="L492" s="4" t="e">
        <f>VLOOKUP(A492,Revisión!$A$2:$L$703,10,FALSE)</f>
        <v>#N/A</v>
      </c>
      <c r="M492" s="18" t="e">
        <f>VLOOKUP(A492,Revisión!$A$2:$L$703,11,FALSE)</f>
        <v>#N/A</v>
      </c>
      <c r="N492" s="30" t="str">
        <f>IF(E492="Coinciden",D492,IF(E492="Revisar",VLOOKUP(A492,Revisión!$A$2:$L$703,12,FALSE),""))</f>
        <v>Chelidonium majus</v>
      </c>
    </row>
    <row r="493" spans="1:14" x14ac:dyDescent="0.3">
      <c r="A493" t="s">
        <v>1037</v>
      </c>
      <c r="B493" t="s">
        <v>1038</v>
      </c>
      <c r="C493" t="s">
        <v>1038</v>
      </c>
      <c r="D493" t="s">
        <v>1038</v>
      </c>
      <c r="E493" t="s">
        <v>18</v>
      </c>
      <c r="F493" t="s">
        <v>19</v>
      </c>
      <c r="H493" s="23" t="e">
        <f>VLOOKUP(A493,Revisión!$A$2:$L$703,6,FALSE)</f>
        <v>#N/A</v>
      </c>
      <c r="I493" s="4" t="e">
        <f>VLOOKUP(A493,Revisión!$A$2:$L$703,7,FALSE)</f>
        <v>#N/A</v>
      </c>
      <c r="J493" s="4" t="e">
        <f>VLOOKUP(A493,Revisión!$A$2:$L$703,8,FALSE)</f>
        <v>#N/A</v>
      </c>
      <c r="K493" s="4" t="e">
        <f>VLOOKUP(A493,Revisión!$A$2:$L$703,9,FALSE)</f>
        <v>#N/A</v>
      </c>
      <c r="L493" s="4" t="e">
        <f>VLOOKUP(A493,Revisión!$A$2:$L$703,10,FALSE)</f>
        <v>#N/A</v>
      </c>
      <c r="M493" s="18" t="e">
        <f>VLOOKUP(A493,Revisión!$A$2:$L$703,11,FALSE)</f>
        <v>#N/A</v>
      </c>
      <c r="N493" s="30" t="str">
        <f>IF(E493="Coinciden",D493,IF(E493="Revisar",VLOOKUP(A493,Revisión!$A$2:$L$703,12,FALSE),""))</f>
        <v>Chimaphila umbellata</v>
      </c>
    </row>
    <row r="494" spans="1:14" x14ac:dyDescent="0.3">
      <c r="A494" t="s">
        <v>1039</v>
      </c>
      <c r="C494" t="s">
        <v>1040</v>
      </c>
      <c r="D494" t="s">
        <v>1040</v>
      </c>
      <c r="E494" t="s">
        <v>8</v>
      </c>
      <c r="F494" t="s">
        <v>49</v>
      </c>
      <c r="H494" s="23" t="str">
        <f>VLOOKUP(A494,Revisión!$A$2:$L$703,6,FALSE)</f>
        <v>Chiococca alba</v>
      </c>
      <c r="I494" s="4" t="str">
        <f>VLOOKUP(A494,Revisión!$A$2:$L$703,7,FALSE)</f>
        <v>Chiococca alba</v>
      </c>
      <c r="J494" s="4" t="str">
        <f>VLOOKUP(A494,Revisión!$A$2:$L$703,8,FALSE)</f>
        <v>Chiococca alba</v>
      </c>
      <c r="K494" s="4" t="str">
        <f>VLOOKUP(A494,Revisión!$A$2:$L$703,9,FALSE)</f>
        <v>-</v>
      </c>
      <c r="L494" s="4" t="str">
        <f>VLOOKUP(A494,Revisión!$A$2:$L$703,10,FALSE)</f>
        <v>-</v>
      </c>
      <c r="M494" s="18">
        <f>VLOOKUP(A494,Revisión!$A$2:$L$703,11,FALSE)</f>
        <v>3</v>
      </c>
      <c r="N494" s="30" t="str">
        <f>IF(E494="Coinciden",D494,IF(E494="Revisar",VLOOKUP(A494,Revisión!$A$2:$L$703,12,FALSE),""))</f>
        <v>Chiococca alba</v>
      </c>
    </row>
    <row r="495" spans="1:14" x14ac:dyDescent="0.3">
      <c r="A495" t="s">
        <v>1041</v>
      </c>
      <c r="B495" t="s">
        <v>1042</v>
      </c>
      <c r="C495" t="s">
        <v>1042</v>
      </c>
      <c r="D495" t="s">
        <v>1042</v>
      </c>
      <c r="E495" t="s">
        <v>18</v>
      </c>
      <c r="F495" t="s">
        <v>19</v>
      </c>
      <c r="H495" s="23" t="e">
        <f>VLOOKUP(A495,Revisión!$A$2:$L$703,6,FALSE)</f>
        <v>#N/A</v>
      </c>
      <c r="I495" s="4" t="e">
        <f>VLOOKUP(A495,Revisión!$A$2:$L$703,7,FALSE)</f>
        <v>#N/A</v>
      </c>
      <c r="J495" s="4" t="e">
        <f>VLOOKUP(A495,Revisión!$A$2:$L$703,8,FALSE)</f>
        <v>#N/A</v>
      </c>
      <c r="K495" s="4" t="e">
        <f>VLOOKUP(A495,Revisión!$A$2:$L$703,9,FALSE)</f>
        <v>#N/A</v>
      </c>
      <c r="L495" s="4" t="e">
        <f>VLOOKUP(A495,Revisión!$A$2:$L$703,10,FALSE)</f>
        <v>#N/A</v>
      </c>
      <c r="M495" s="18" t="e">
        <f>VLOOKUP(A495,Revisión!$A$2:$L$703,11,FALSE)</f>
        <v>#N/A</v>
      </c>
      <c r="N495" s="30" t="str">
        <f>IF(E495="Coinciden",D495,IF(E495="Revisar",VLOOKUP(A495,Revisión!$A$2:$L$703,12,FALSE),""))</f>
        <v>Chamaelirium japonicum</v>
      </c>
    </row>
    <row r="496" spans="1:14" x14ac:dyDescent="0.3">
      <c r="A496" t="s">
        <v>1043</v>
      </c>
      <c r="B496" t="s">
        <v>1044</v>
      </c>
      <c r="D496" t="s">
        <v>1044</v>
      </c>
      <c r="E496" t="s">
        <v>8</v>
      </c>
      <c r="F496" t="s">
        <v>34</v>
      </c>
      <c r="H496" s="23" t="str">
        <f>VLOOKUP(A496,Revisión!$A$2:$L$703,6,FALSE)</f>
        <v>Chondrilla ramosissima</v>
      </c>
      <c r="I496" s="4" t="str">
        <f>VLOOKUP(A496,Revisión!$A$2:$L$703,7,FALSE)</f>
        <v>Chondrilla ramosissima</v>
      </c>
      <c r="J496" s="4" t="str">
        <f>VLOOKUP(A496,Revisión!$A$2:$L$703,8,FALSE)</f>
        <v>Chondrilla ramosissima</v>
      </c>
      <c r="K496" s="4" t="str">
        <f>VLOOKUP(A496,Revisión!$A$2:$L$703,9,FALSE)</f>
        <v>-</v>
      </c>
      <c r="L496" s="4" t="str">
        <f>VLOOKUP(A496,Revisión!$A$2:$L$703,10,FALSE)</f>
        <v>-</v>
      </c>
      <c r="M496" s="18">
        <f>VLOOKUP(A496,Revisión!$A$2:$L$703,11,FALSE)</f>
        <v>3</v>
      </c>
      <c r="N496" s="30" t="str">
        <f>IF(E496="Coinciden",D496,IF(E496="Revisar",VLOOKUP(A496,Revisión!$A$2:$L$703,12,FALSE),""))</f>
        <v>Chondrilla ramosissima</v>
      </c>
    </row>
    <row r="497" spans="1:14" x14ac:dyDescent="0.3">
      <c r="A497" t="s">
        <v>1045</v>
      </c>
      <c r="B497" t="s">
        <v>1046</v>
      </c>
      <c r="C497" t="s">
        <v>1046</v>
      </c>
      <c r="D497" t="s">
        <v>1046</v>
      </c>
      <c r="E497" t="s">
        <v>18</v>
      </c>
      <c r="F497" t="s">
        <v>19</v>
      </c>
      <c r="H497" s="23" t="e">
        <f>VLOOKUP(A497,Revisión!$A$2:$L$703,6,FALSE)</f>
        <v>#N/A</v>
      </c>
      <c r="I497" s="4" t="e">
        <f>VLOOKUP(A497,Revisión!$A$2:$L$703,7,FALSE)</f>
        <v>#N/A</v>
      </c>
      <c r="J497" s="4" t="e">
        <f>VLOOKUP(A497,Revisión!$A$2:$L$703,8,FALSE)</f>
        <v>#N/A</v>
      </c>
      <c r="K497" s="4" t="e">
        <f>VLOOKUP(A497,Revisión!$A$2:$L$703,9,FALSE)</f>
        <v>#N/A</v>
      </c>
      <c r="L497" s="4" t="e">
        <f>VLOOKUP(A497,Revisión!$A$2:$L$703,10,FALSE)</f>
        <v>#N/A</v>
      </c>
      <c r="M497" s="18" t="e">
        <f>VLOOKUP(A497,Revisión!$A$2:$L$703,11,FALSE)</f>
        <v>#N/A</v>
      </c>
      <c r="N497" s="30" t="str">
        <f>IF(E497="Coinciden",D497,IF(E497="Revisar",VLOOKUP(A497,Revisión!$A$2:$L$703,12,FALSE),""))</f>
        <v>Chondrilla juncea</v>
      </c>
    </row>
    <row r="498" spans="1:14" x14ac:dyDescent="0.3">
      <c r="A498" t="s">
        <v>1047</v>
      </c>
      <c r="E498" t="s">
        <v>8</v>
      </c>
      <c r="F498" t="s">
        <v>11</v>
      </c>
      <c r="H498" s="23" t="e">
        <f>VLOOKUP(A498,Revisión!$A$2:$L$703,6,FALSE)</f>
        <v>#N/A</v>
      </c>
      <c r="I498" s="4" t="e">
        <f>VLOOKUP(A498,Revisión!$A$2:$L$703,7,FALSE)</f>
        <v>#N/A</v>
      </c>
      <c r="J498" s="4" t="e">
        <f>VLOOKUP(A498,Revisión!$A$2:$L$703,8,FALSE)</f>
        <v>#N/A</v>
      </c>
      <c r="K498" s="4" t="e">
        <f>VLOOKUP(A498,Revisión!$A$2:$L$703,9,FALSE)</f>
        <v>#N/A</v>
      </c>
      <c r="L498" s="4" t="e">
        <f>VLOOKUP(A498,Revisión!$A$2:$L$703,10,FALSE)</f>
        <v>#N/A</v>
      </c>
      <c r="M498" s="18" t="e">
        <f>VLOOKUP(A498,Revisión!$A$2:$L$703,11,FALSE)</f>
        <v>#N/A</v>
      </c>
      <c r="N498" s="30" t="e">
        <f>IF(E498="Coinciden",D498,IF(E498="Revisar",VLOOKUP(A498,Revisión!$A$2:$L$703,12,FALSE),""))</f>
        <v>#N/A</v>
      </c>
    </row>
    <row r="499" spans="1:14" x14ac:dyDescent="0.3">
      <c r="A499" t="s">
        <v>1048</v>
      </c>
      <c r="B499" t="s">
        <v>1049</v>
      </c>
      <c r="C499" t="s">
        <v>1050</v>
      </c>
      <c r="D499" t="s">
        <v>1049</v>
      </c>
      <c r="E499" t="s">
        <v>8</v>
      </c>
      <c r="F499" t="s">
        <v>493</v>
      </c>
      <c r="H499" s="23" t="str">
        <f>VLOOKUP(A499,Revisión!$A$2:$L$703,6,FALSE)</f>
        <v xml:space="preserve">Leucanthemum </v>
      </c>
      <c r="I499" s="4" t="str">
        <f>VLOOKUP(A499,Revisión!$A$2:$L$703,7,FALSE)</f>
        <v>Leucanthemum maximum</v>
      </c>
      <c r="J499" s="4" t="str">
        <f>VLOOKUP(A499,Revisión!$A$2:$L$703,8,FALSE)</f>
        <v>Leucanthemum maximum</v>
      </c>
      <c r="K499" s="4" t="str">
        <f>VLOOKUP(A499,Revisión!$A$2:$L$703,9,FALSE)</f>
        <v>-</v>
      </c>
      <c r="L499" s="4" t="str">
        <f>VLOOKUP(A499,Revisión!$A$2:$L$703,10,FALSE)</f>
        <v>-</v>
      </c>
      <c r="M499" s="18">
        <f>VLOOKUP(A499,Revisión!$A$2:$L$703,11,FALSE)</f>
        <v>2</v>
      </c>
      <c r="N499" s="30" t="str">
        <f>IF(E499="Coinciden",D499,IF(E499="Revisar",VLOOKUP(A499,Revisión!$A$2:$L$703,12,FALSE),""))</f>
        <v>Leucanthemum maximum</v>
      </c>
    </row>
    <row r="500" spans="1:14" x14ac:dyDescent="0.3">
      <c r="A500" t="s">
        <v>1051</v>
      </c>
      <c r="B500" t="s">
        <v>1052</v>
      </c>
      <c r="C500" t="s">
        <v>1052</v>
      </c>
      <c r="D500" t="s">
        <v>1052</v>
      </c>
      <c r="E500" t="s">
        <v>18</v>
      </c>
      <c r="F500" t="s">
        <v>19</v>
      </c>
      <c r="H500" s="23" t="e">
        <f>VLOOKUP(A500,Revisión!$A$2:$L$703,6,FALSE)</f>
        <v>#N/A</v>
      </c>
      <c r="I500" s="4" t="e">
        <f>VLOOKUP(A500,Revisión!$A$2:$L$703,7,FALSE)</f>
        <v>#N/A</v>
      </c>
      <c r="J500" s="4" t="e">
        <f>VLOOKUP(A500,Revisión!$A$2:$L$703,8,FALSE)</f>
        <v>#N/A</v>
      </c>
      <c r="K500" s="4" t="e">
        <f>VLOOKUP(A500,Revisión!$A$2:$L$703,9,FALSE)</f>
        <v>#N/A</v>
      </c>
      <c r="L500" s="4" t="e">
        <f>VLOOKUP(A500,Revisión!$A$2:$L$703,10,FALSE)</f>
        <v>#N/A</v>
      </c>
      <c r="M500" s="18" t="e">
        <f>VLOOKUP(A500,Revisión!$A$2:$L$703,11,FALSE)</f>
        <v>#N/A</v>
      </c>
      <c r="N500" s="30" t="str">
        <f>IF(E500="Coinciden",D500,IF(E500="Revisar",VLOOKUP(A500,Revisión!$A$2:$L$703,12,FALSE),""))</f>
        <v>Glebionis coronaria</v>
      </c>
    </row>
    <row r="501" spans="1:14" x14ac:dyDescent="0.3">
      <c r="A501" t="s">
        <v>1053</v>
      </c>
      <c r="B501" t="s">
        <v>1054</v>
      </c>
      <c r="C501" t="s">
        <v>1054</v>
      </c>
      <c r="D501" t="s">
        <v>1054</v>
      </c>
      <c r="E501" t="s">
        <v>18</v>
      </c>
      <c r="F501" t="s">
        <v>19</v>
      </c>
      <c r="H501" s="23" t="e">
        <f>VLOOKUP(A501,Revisión!$A$2:$L$703,6,FALSE)</f>
        <v>#N/A</v>
      </c>
      <c r="I501" s="4" t="e">
        <f>VLOOKUP(A501,Revisión!$A$2:$L$703,7,FALSE)</f>
        <v>#N/A</v>
      </c>
      <c r="J501" s="4" t="e">
        <f>VLOOKUP(A501,Revisión!$A$2:$L$703,8,FALSE)</f>
        <v>#N/A</v>
      </c>
      <c r="K501" s="4" t="e">
        <f>VLOOKUP(A501,Revisión!$A$2:$L$703,9,FALSE)</f>
        <v>#N/A</v>
      </c>
      <c r="L501" s="4" t="e">
        <f>VLOOKUP(A501,Revisión!$A$2:$L$703,10,FALSE)</f>
        <v>#N/A</v>
      </c>
      <c r="M501" s="18" t="e">
        <f>VLOOKUP(A501,Revisión!$A$2:$L$703,11,FALSE)</f>
        <v>#N/A</v>
      </c>
      <c r="N501" s="30" t="str">
        <f>IF(E501="Coinciden",D501,IF(E501="Revisar",VLOOKUP(A501,Revisión!$A$2:$L$703,12,FALSE),""))</f>
        <v>Chrysobalanus icaco</v>
      </c>
    </row>
    <row r="502" spans="1:14" x14ac:dyDescent="0.3">
      <c r="A502" t="s">
        <v>1055</v>
      </c>
      <c r="B502" t="s">
        <v>1056</v>
      </c>
      <c r="C502" t="s">
        <v>1056</v>
      </c>
      <c r="D502" t="s">
        <v>1057</v>
      </c>
      <c r="E502" t="s">
        <v>8</v>
      </c>
      <c r="F502" t="s">
        <v>15</v>
      </c>
      <c r="H502" s="23" t="str">
        <f>VLOOKUP(A502,Revisión!$A$2:$L$703,6,FALSE)</f>
        <v>Heterotheca villosa</v>
      </c>
      <c r="I502" s="4" t="str">
        <f>VLOOKUP(A502,Revisión!$A$2:$L$703,7,FALSE)</f>
        <v>Chrysopsis villosa</v>
      </c>
      <c r="J502" s="4" t="str">
        <f>VLOOKUP(A502,Revisión!$A$2:$L$703,8,FALSE)</f>
        <v>Heterotheca villosa</v>
      </c>
      <c r="K502" s="4" t="str">
        <f>VLOOKUP(A502,Revisión!$A$2:$L$703,9,FALSE)</f>
        <v>-</v>
      </c>
      <c r="L502" s="4" t="str">
        <f>VLOOKUP(A502,Revisión!$A$2:$L$703,10,FALSE)</f>
        <v>-</v>
      </c>
      <c r="M502" s="18">
        <f>VLOOKUP(A502,Revisión!$A$2:$L$703,11,FALSE)</f>
        <v>2</v>
      </c>
      <c r="N502" s="30" t="str">
        <f>IF(E502="Coinciden",D502,IF(E502="Revisar",VLOOKUP(A502,Revisión!$A$2:$L$703,12,FALSE),""))</f>
        <v>Heterotheca villosa</v>
      </c>
    </row>
    <row r="503" spans="1:14" x14ac:dyDescent="0.3">
      <c r="A503" t="s">
        <v>1058</v>
      </c>
      <c r="B503" t="s">
        <v>1059</v>
      </c>
      <c r="C503" t="s">
        <v>1059</v>
      </c>
      <c r="D503" t="s">
        <v>1059</v>
      </c>
      <c r="E503" t="s">
        <v>18</v>
      </c>
      <c r="F503" t="s">
        <v>19</v>
      </c>
      <c r="H503" s="23" t="e">
        <f>VLOOKUP(A503,Revisión!$A$2:$L$703,6,FALSE)</f>
        <v>#N/A</v>
      </c>
      <c r="I503" s="4" t="e">
        <f>VLOOKUP(A503,Revisión!$A$2:$L$703,7,FALSE)</f>
        <v>#N/A</v>
      </c>
      <c r="J503" s="4" t="e">
        <f>VLOOKUP(A503,Revisión!$A$2:$L$703,8,FALSE)</f>
        <v>#N/A</v>
      </c>
      <c r="K503" s="4" t="e">
        <f>VLOOKUP(A503,Revisión!$A$2:$L$703,9,FALSE)</f>
        <v>#N/A</v>
      </c>
      <c r="L503" s="4" t="e">
        <f>VLOOKUP(A503,Revisión!$A$2:$L$703,10,FALSE)</f>
        <v>#N/A</v>
      </c>
      <c r="M503" s="18" t="e">
        <f>VLOOKUP(A503,Revisión!$A$2:$L$703,11,FALSE)</f>
        <v>#N/A</v>
      </c>
      <c r="N503" s="30" t="str">
        <f>IF(E503="Coinciden",D503,IF(E503="Revisar",VLOOKUP(A503,Revisión!$A$2:$L$703,12,FALSE),""))</f>
        <v>Chuquiraga oppositifolia</v>
      </c>
    </row>
    <row r="504" spans="1:14" x14ac:dyDescent="0.3">
      <c r="A504" t="s">
        <v>1060</v>
      </c>
      <c r="B504" t="s">
        <v>1061</v>
      </c>
      <c r="C504" t="s">
        <v>1061</v>
      </c>
      <c r="D504" t="s">
        <v>1061</v>
      </c>
      <c r="E504" t="s">
        <v>18</v>
      </c>
      <c r="F504" t="s">
        <v>19</v>
      </c>
      <c r="H504" s="23" t="e">
        <f>VLOOKUP(A504,Revisión!$A$2:$L$703,6,FALSE)</f>
        <v>#N/A</v>
      </c>
      <c r="I504" s="4" t="e">
        <f>VLOOKUP(A504,Revisión!$A$2:$L$703,7,FALSE)</f>
        <v>#N/A</v>
      </c>
      <c r="J504" s="4" t="e">
        <f>VLOOKUP(A504,Revisión!$A$2:$L$703,8,FALSE)</f>
        <v>#N/A</v>
      </c>
      <c r="K504" s="4" t="e">
        <f>VLOOKUP(A504,Revisión!$A$2:$L$703,9,FALSE)</f>
        <v>#N/A</v>
      </c>
      <c r="L504" s="4" t="e">
        <f>VLOOKUP(A504,Revisión!$A$2:$L$703,10,FALSE)</f>
        <v>#N/A</v>
      </c>
      <c r="M504" s="18" t="e">
        <f>VLOOKUP(A504,Revisión!$A$2:$L$703,11,FALSE)</f>
        <v>#N/A</v>
      </c>
      <c r="N504" s="30" t="str">
        <f>IF(E504="Coinciden",D504,IF(E504="Revisar",VLOOKUP(A504,Revisión!$A$2:$L$703,12,FALSE),""))</f>
        <v>Cicuta maculata</v>
      </c>
    </row>
    <row r="505" spans="1:14" x14ac:dyDescent="0.3">
      <c r="A505" t="s">
        <v>1062</v>
      </c>
      <c r="B505" t="s">
        <v>1063</v>
      </c>
      <c r="C505" t="s">
        <v>1063</v>
      </c>
      <c r="D505" t="s">
        <v>1063</v>
      </c>
      <c r="E505" t="s">
        <v>18</v>
      </c>
      <c r="F505" t="s">
        <v>19</v>
      </c>
      <c r="H505" s="23" t="e">
        <f>VLOOKUP(A505,Revisión!$A$2:$L$703,6,FALSE)</f>
        <v>#N/A</v>
      </c>
      <c r="I505" s="4" t="e">
        <f>VLOOKUP(A505,Revisión!$A$2:$L$703,7,FALSE)</f>
        <v>#N/A</v>
      </c>
      <c r="J505" s="4" t="e">
        <f>VLOOKUP(A505,Revisión!$A$2:$L$703,8,FALSE)</f>
        <v>#N/A</v>
      </c>
      <c r="K505" s="4" t="e">
        <f>VLOOKUP(A505,Revisión!$A$2:$L$703,9,FALSE)</f>
        <v>#N/A</v>
      </c>
      <c r="L505" s="4" t="e">
        <f>VLOOKUP(A505,Revisión!$A$2:$L$703,10,FALSE)</f>
        <v>#N/A</v>
      </c>
      <c r="M505" s="18" t="e">
        <f>VLOOKUP(A505,Revisión!$A$2:$L$703,11,FALSE)</f>
        <v>#N/A</v>
      </c>
      <c r="N505" s="30" t="str">
        <f>IF(E505="Coinciden",D505,IF(E505="Revisar",VLOOKUP(A505,Revisión!$A$2:$L$703,12,FALSE),""))</f>
        <v>Actaea japonica</v>
      </c>
    </row>
    <row r="506" spans="1:14" x14ac:dyDescent="0.3">
      <c r="A506" t="s">
        <v>1064</v>
      </c>
      <c r="B506" t="s">
        <v>1065</v>
      </c>
      <c r="C506" t="s">
        <v>1065</v>
      </c>
      <c r="D506" t="s">
        <v>1065</v>
      </c>
      <c r="E506" t="s">
        <v>18</v>
      </c>
      <c r="F506" t="s">
        <v>19</v>
      </c>
      <c r="H506" s="23" t="e">
        <f>VLOOKUP(A506,Revisión!$A$2:$L$703,6,FALSE)</f>
        <v>#N/A</v>
      </c>
      <c r="I506" s="4" t="e">
        <f>VLOOKUP(A506,Revisión!$A$2:$L$703,7,FALSE)</f>
        <v>#N/A</v>
      </c>
      <c r="J506" s="4" t="e">
        <f>VLOOKUP(A506,Revisión!$A$2:$L$703,8,FALSE)</f>
        <v>#N/A</v>
      </c>
      <c r="K506" s="4" t="e">
        <f>VLOOKUP(A506,Revisión!$A$2:$L$703,9,FALSE)</f>
        <v>#N/A</v>
      </c>
      <c r="L506" s="4" t="e">
        <f>VLOOKUP(A506,Revisión!$A$2:$L$703,10,FALSE)</f>
        <v>#N/A</v>
      </c>
      <c r="M506" s="18" t="e">
        <f>VLOOKUP(A506,Revisión!$A$2:$L$703,11,FALSE)</f>
        <v>#N/A</v>
      </c>
      <c r="N506" s="30" t="str">
        <f>IF(E506="Coinciden",D506,IF(E506="Revisar",VLOOKUP(A506,Revisión!$A$2:$L$703,12,FALSE),""))</f>
        <v>Actaea simplex</v>
      </c>
    </row>
    <row r="507" spans="1:14" x14ac:dyDescent="0.3">
      <c r="A507" t="s">
        <v>1066</v>
      </c>
      <c r="B507" t="s">
        <v>1067</v>
      </c>
      <c r="C507" t="s">
        <v>1067</v>
      </c>
      <c r="D507" t="s">
        <v>1067</v>
      </c>
      <c r="E507" t="s">
        <v>18</v>
      </c>
      <c r="F507" t="s">
        <v>19</v>
      </c>
      <c r="H507" s="23" t="e">
        <f>VLOOKUP(A507,Revisión!$A$2:$L$703,6,FALSE)</f>
        <v>#N/A</v>
      </c>
      <c r="I507" s="4" t="e">
        <f>VLOOKUP(A507,Revisión!$A$2:$L$703,7,FALSE)</f>
        <v>#N/A</v>
      </c>
      <c r="J507" s="4" t="e">
        <f>VLOOKUP(A507,Revisión!$A$2:$L$703,8,FALSE)</f>
        <v>#N/A</v>
      </c>
      <c r="K507" s="4" t="e">
        <f>VLOOKUP(A507,Revisión!$A$2:$L$703,9,FALSE)</f>
        <v>#N/A</v>
      </c>
      <c r="L507" s="4" t="e">
        <f>VLOOKUP(A507,Revisión!$A$2:$L$703,10,FALSE)</f>
        <v>#N/A</v>
      </c>
      <c r="M507" s="18" t="e">
        <f>VLOOKUP(A507,Revisión!$A$2:$L$703,11,FALSE)</f>
        <v>#N/A</v>
      </c>
      <c r="N507" s="30" t="str">
        <f>IF(E507="Coinciden",D507,IF(E507="Revisar",VLOOKUP(A507,Revisión!$A$2:$L$703,12,FALSE),""))</f>
        <v>Cinnamomum doederleinii</v>
      </c>
    </row>
    <row r="508" spans="1:14" x14ac:dyDescent="0.3">
      <c r="A508" t="s">
        <v>1068</v>
      </c>
      <c r="B508" t="s">
        <v>1069</v>
      </c>
      <c r="C508" t="s">
        <v>1069</v>
      </c>
      <c r="D508" t="s">
        <v>1069</v>
      </c>
      <c r="E508" t="s">
        <v>18</v>
      </c>
      <c r="F508" t="s">
        <v>19</v>
      </c>
      <c r="H508" s="23" t="e">
        <f>VLOOKUP(A508,Revisión!$A$2:$L$703,6,FALSE)</f>
        <v>#N/A</v>
      </c>
      <c r="I508" s="4" t="e">
        <f>VLOOKUP(A508,Revisión!$A$2:$L$703,7,FALSE)</f>
        <v>#N/A</v>
      </c>
      <c r="J508" s="4" t="e">
        <f>VLOOKUP(A508,Revisión!$A$2:$L$703,8,FALSE)</f>
        <v>#N/A</v>
      </c>
      <c r="K508" s="4" t="e">
        <f>VLOOKUP(A508,Revisión!$A$2:$L$703,9,FALSE)</f>
        <v>#N/A</v>
      </c>
      <c r="L508" s="4" t="e">
        <f>VLOOKUP(A508,Revisión!$A$2:$L$703,10,FALSE)</f>
        <v>#N/A</v>
      </c>
      <c r="M508" s="18" t="e">
        <f>VLOOKUP(A508,Revisión!$A$2:$L$703,11,FALSE)</f>
        <v>#N/A</v>
      </c>
      <c r="N508" s="30" t="str">
        <f>IF(E508="Coinciden",D508,IF(E508="Revisar",VLOOKUP(A508,Revisión!$A$2:$L$703,12,FALSE),""))</f>
        <v>Cinnamomum verum</v>
      </c>
    </row>
    <row r="509" spans="1:14" x14ac:dyDescent="0.3">
      <c r="A509" t="s">
        <v>1070</v>
      </c>
      <c r="B509" t="s">
        <v>1071</v>
      </c>
      <c r="C509" t="s">
        <v>1072</v>
      </c>
      <c r="D509" t="s">
        <v>1071</v>
      </c>
      <c r="E509" t="s">
        <v>8</v>
      </c>
      <c r="F509" t="s">
        <v>493</v>
      </c>
      <c r="H509" s="23" t="str">
        <f>VLOOKUP(A509,Revisión!$A$2:$L$703,6,FALSE)</f>
        <v>Camphora officinarum</v>
      </c>
      <c r="I509" s="4" t="str">
        <f>VLOOKUP(A509,Revisión!$A$2:$L$703,7,FALSE)</f>
        <v>Cinnamomum camphora</v>
      </c>
      <c r="J509" s="4" t="str">
        <f>VLOOKUP(A509,Revisión!$A$2:$L$703,8,FALSE)</f>
        <v>Camphora officinarum</v>
      </c>
      <c r="K509" s="4" t="str">
        <f>VLOOKUP(A509,Revisión!$A$2:$L$703,9,FALSE)</f>
        <v>-</v>
      </c>
      <c r="L509" s="4" t="str">
        <f>VLOOKUP(A509,Revisión!$A$2:$L$703,10,FALSE)</f>
        <v>-</v>
      </c>
      <c r="M509" s="18">
        <f>VLOOKUP(A509,Revisión!$A$2:$L$703,11,FALSE)</f>
        <v>2</v>
      </c>
      <c r="N509" s="30" t="str">
        <f>IF(E509="Coinciden",D509,IF(E509="Revisar",VLOOKUP(A509,Revisión!$A$2:$L$703,12,FALSE),""))</f>
        <v>Camphora officinarum</v>
      </c>
    </row>
    <row r="510" spans="1:14" x14ac:dyDescent="0.3">
      <c r="A510" t="s">
        <v>1073</v>
      </c>
      <c r="B510" t="s">
        <v>1074</v>
      </c>
      <c r="C510" t="s">
        <v>1074</v>
      </c>
      <c r="D510" t="s">
        <v>1074</v>
      </c>
      <c r="E510" t="s">
        <v>18</v>
      </c>
      <c r="F510" t="s">
        <v>19</v>
      </c>
      <c r="H510" s="23" t="e">
        <f>VLOOKUP(A510,Revisión!$A$2:$L$703,6,FALSE)</f>
        <v>#N/A</v>
      </c>
      <c r="I510" s="4" t="e">
        <f>VLOOKUP(A510,Revisión!$A$2:$L$703,7,FALSE)</f>
        <v>#N/A</v>
      </c>
      <c r="J510" s="4" t="e">
        <f>VLOOKUP(A510,Revisión!$A$2:$L$703,8,FALSE)</f>
        <v>#N/A</v>
      </c>
      <c r="K510" s="4" t="e">
        <f>VLOOKUP(A510,Revisión!$A$2:$L$703,9,FALSE)</f>
        <v>#N/A</v>
      </c>
      <c r="L510" s="4" t="e">
        <f>VLOOKUP(A510,Revisión!$A$2:$L$703,10,FALSE)</f>
        <v>#N/A</v>
      </c>
      <c r="M510" s="18" t="e">
        <f>VLOOKUP(A510,Revisión!$A$2:$L$703,11,FALSE)</f>
        <v>#N/A</v>
      </c>
      <c r="N510" s="30" t="str">
        <f>IF(E510="Coinciden",D510,IF(E510="Revisar",VLOOKUP(A510,Revisión!$A$2:$L$703,12,FALSE),""))</f>
        <v>Circaea lutetiana</v>
      </c>
    </row>
    <row r="511" spans="1:14" x14ac:dyDescent="0.3">
      <c r="A511" t="s">
        <v>1075</v>
      </c>
      <c r="B511" t="s">
        <v>1076</v>
      </c>
      <c r="C511" t="s">
        <v>1076</v>
      </c>
      <c r="D511" t="s">
        <v>1076</v>
      </c>
      <c r="E511" t="s">
        <v>18</v>
      </c>
      <c r="F511" t="s">
        <v>19</v>
      </c>
      <c r="H511" s="23" t="e">
        <f>VLOOKUP(A511,Revisión!$A$2:$L$703,6,FALSE)</f>
        <v>#N/A</v>
      </c>
      <c r="I511" s="4" t="e">
        <f>VLOOKUP(A511,Revisión!$A$2:$L$703,7,FALSE)</f>
        <v>#N/A</v>
      </c>
      <c r="J511" s="4" t="e">
        <f>VLOOKUP(A511,Revisión!$A$2:$L$703,8,FALSE)</f>
        <v>#N/A</v>
      </c>
      <c r="K511" s="4" t="e">
        <f>VLOOKUP(A511,Revisión!$A$2:$L$703,9,FALSE)</f>
        <v>#N/A</v>
      </c>
      <c r="L511" s="4" t="e">
        <f>VLOOKUP(A511,Revisión!$A$2:$L$703,10,FALSE)</f>
        <v>#N/A</v>
      </c>
      <c r="M511" s="18" t="e">
        <f>VLOOKUP(A511,Revisión!$A$2:$L$703,11,FALSE)</f>
        <v>#N/A</v>
      </c>
      <c r="N511" s="30" t="str">
        <f>IF(E511="Coinciden",D511,IF(E511="Revisar",VLOOKUP(A511,Revisión!$A$2:$L$703,12,FALSE),""))</f>
        <v>Cirsium vulgare</v>
      </c>
    </row>
    <row r="512" spans="1:14" x14ac:dyDescent="0.3">
      <c r="A512" t="s">
        <v>1077</v>
      </c>
      <c r="B512" t="s">
        <v>1078</v>
      </c>
      <c r="C512" t="s">
        <v>1078</v>
      </c>
      <c r="D512" t="s">
        <v>1078</v>
      </c>
      <c r="E512" t="s">
        <v>18</v>
      </c>
      <c r="F512" t="s">
        <v>19</v>
      </c>
      <c r="H512" s="23" t="e">
        <f>VLOOKUP(A512,Revisión!$A$2:$L$703,6,FALSE)</f>
        <v>#N/A</v>
      </c>
      <c r="I512" s="4" t="e">
        <f>VLOOKUP(A512,Revisión!$A$2:$L$703,7,FALSE)</f>
        <v>#N/A</v>
      </c>
      <c r="J512" s="4" t="e">
        <f>VLOOKUP(A512,Revisión!$A$2:$L$703,8,FALSE)</f>
        <v>#N/A</v>
      </c>
      <c r="K512" s="4" t="e">
        <f>VLOOKUP(A512,Revisión!$A$2:$L$703,9,FALSE)</f>
        <v>#N/A</v>
      </c>
      <c r="L512" s="4" t="e">
        <f>VLOOKUP(A512,Revisión!$A$2:$L$703,10,FALSE)</f>
        <v>#N/A</v>
      </c>
      <c r="M512" s="18" t="e">
        <f>VLOOKUP(A512,Revisión!$A$2:$L$703,11,FALSE)</f>
        <v>#N/A</v>
      </c>
      <c r="N512" s="30" t="str">
        <f>IF(E512="Coinciden",D512,IF(E512="Revisar",VLOOKUP(A512,Revisión!$A$2:$L$703,12,FALSE),""))</f>
        <v>Cirsium sieboldii</v>
      </c>
    </row>
    <row r="513" spans="1:14" x14ac:dyDescent="0.3">
      <c r="A513" t="s">
        <v>1079</v>
      </c>
      <c r="B513" t="s">
        <v>1080</v>
      </c>
      <c r="C513" t="s">
        <v>1080</v>
      </c>
      <c r="D513" t="s">
        <v>1080</v>
      </c>
      <c r="E513" t="s">
        <v>18</v>
      </c>
      <c r="F513" t="s">
        <v>19</v>
      </c>
      <c r="H513" s="23" t="e">
        <f>VLOOKUP(A513,Revisión!$A$2:$L$703,6,FALSE)</f>
        <v>#N/A</v>
      </c>
      <c r="I513" s="4" t="e">
        <f>VLOOKUP(A513,Revisión!$A$2:$L$703,7,FALSE)</f>
        <v>#N/A</v>
      </c>
      <c r="J513" s="4" t="e">
        <f>VLOOKUP(A513,Revisión!$A$2:$L$703,8,FALSE)</f>
        <v>#N/A</v>
      </c>
      <c r="K513" s="4" t="e">
        <f>VLOOKUP(A513,Revisión!$A$2:$L$703,9,FALSE)</f>
        <v>#N/A</v>
      </c>
      <c r="L513" s="4" t="e">
        <f>VLOOKUP(A513,Revisión!$A$2:$L$703,10,FALSE)</f>
        <v>#N/A</v>
      </c>
      <c r="M513" s="18" t="e">
        <f>VLOOKUP(A513,Revisión!$A$2:$L$703,11,FALSE)</f>
        <v>#N/A</v>
      </c>
      <c r="N513" s="30" t="str">
        <f>IF(E513="Coinciden",D513,IF(E513="Revisar",VLOOKUP(A513,Revisión!$A$2:$L$703,12,FALSE),""))</f>
        <v>Cirsium arvense</v>
      </c>
    </row>
    <row r="514" spans="1:14" x14ac:dyDescent="0.3">
      <c r="A514" t="s">
        <v>1081</v>
      </c>
      <c r="B514" t="s">
        <v>1082</v>
      </c>
      <c r="C514" t="s">
        <v>1082</v>
      </c>
      <c r="D514" t="s">
        <v>1082</v>
      </c>
      <c r="E514" t="s">
        <v>18</v>
      </c>
      <c r="F514" t="s">
        <v>19</v>
      </c>
      <c r="H514" s="23" t="e">
        <f>VLOOKUP(A514,Revisión!$A$2:$L$703,6,FALSE)</f>
        <v>#N/A</v>
      </c>
      <c r="I514" s="4" t="e">
        <f>VLOOKUP(A514,Revisión!$A$2:$L$703,7,FALSE)</f>
        <v>#N/A</v>
      </c>
      <c r="J514" s="4" t="e">
        <f>VLOOKUP(A514,Revisión!$A$2:$L$703,8,FALSE)</f>
        <v>#N/A</v>
      </c>
      <c r="K514" s="4" t="e">
        <f>VLOOKUP(A514,Revisión!$A$2:$L$703,9,FALSE)</f>
        <v>#N/A</v>
      </c>
      <c r="L514" s="4" t="e">
        <f>VLOOKUP(A514,Revisión!$A$2:$L$703,10,FALSE)</f>
        <v>#N/A</v>
      </c>
      <c r="M514" s="18" t="e">
        <f>VLOOKUP(A514,Revisión!$A$2:$L$703,11,FALSE)</f>
        <v>#N/A</v>
      </c>
      <c r="N514" s="30" t="str">
        <f>IF(E514="Coinciden",D514,IF(E514="Revisar",VLOOKUP(A514,Revisión!$A$2:$L$703,12,FALSE),""))</f>
        <v>Cirsium japonicum</v>
      </c>
    </row>
    <row r="515" spans="1:14" x14ac:dyDescent="0.3">
      <c r="A515" t="s">
        <v>1083</v>
      </c>
      <c r="B515" t="s">
        <v>1084</v>
      </c>
      <c r="D515" t="s">
        <v>1084</v>
      </c>
      <c r="E515" t="s">
        <v>8</v>
      </c>
      <c r="F515" t="s">
        <v>34</v>
      </c>
      <c r="H515" s="23" t="str">
        <f>VLOOKUP(A515,Revisión!$A$2:$L$703,6,FALSE)</f>
        <v>Cirsium palustre</v>
      </c>
      <c r="I515" s="4" t="str">
        <f>VLOOKUP(A515,Revisión!$A$2:$L$703,7,FALSE)</f>
        <v>Cirsium palustre</v>
      </c>
      <c r="J515" s="4" t="str">
        <f>VLOOKUP(A515,Revisión!$A$2:$L$703,8,FALSE)</f>
        <v>Cirsium palustre</v>
      </c>
      <c r="K515" s="4" t="str">
        <f>VLOOKUP(A515,Revisión!$A$2:$L$703,9,FALSE)</f>
        <v>-</v>
      </c>
      <c r="L515" s="4" t="str">
        <f>VLOOKUP(A515,Revisión!$A$2:$L$703,10,FALSE)</f>
        <v>-</v>
      </c>
      <c r="M515" s="18">
        <f>VLOOKUP(A515,Revisión!$A$2:$L$703,11,FALSE)</f>
        <v>3</v>
      </c>
      <c r="N515" s="30" t="str">
        <f>IF(E515="Coinciden",D515,IF(E515="Revisar",VLOOKUP(A515,Revisión!$A$2:$L$703,12,FALSE),""))</f>
        <v>Cirsium palustre</v>
      </c>
    </row>
    <row r="516" spans="1:14" x14ac:dyDescent="0.3">
      <c r="A516" t="s">
        <v>1085</v>
      </c>
      <c r="B516" t="s">
        <v>1086</v>
      </c>
      <c r="C516" t="s">
        <v>1086</v>
      </c>
      <c r="D516" t="s">
        <v>1086</v>
      </c>
      <c r="E516" t="s">
        <v>18</v>
      </c>
      <c r="F516" t="s">
        <v>19</v>
      </c>
      <c r="H516" s="23" t="e">
        <f>VLOOKUP(A516,Revisión!$A$2:$L$703,6,FALSE)</f>
        <v>#N/A</v>
      </c>
      <c r="I516" s="4" t="e">
        <f>VLOOKUP(A516,Revisión!$A$2:$L$703,7,FALSE)</f>
        <v>#N/A</v>
      </c>
      <c r="J516" s="4" t="e">
        <f>VLOOKUP(A516,Revisión!$A$2:$L$703,8,FALSE)</f>
        <v>#N/A</v>
      </c>
      <c r="K516" s="4" t="e">
        <f>VLOOKUP(A516,Revisión!$A$2:$L$703,9,FALSE)</f>
        <v>#N/A</v>
      </c>
      <c r="L516" s="4" t="e">
        <f>VLOOKUP(A516,Revisión!$A$2:$L$703,10,FALSE)</f>
        <v>#N/A</v>
      </c>
      <c r="M516" s="18" t="e">
        <f>VLOOKUP(A516,Revisión!$A$2:$L$703,11,FALSE)</f>
        <v>#N/A</v>
      </c>
      <c r="N516" s="30" t="str">
        <f>IF(E516="Coinciden",D516,IF(E516="Revisar",VLOOKUP(A516,Revisión!$A$2:$L$703,12,FALSE),""))</f>
        <v>Cirsium brevicaule</v>
      </c>
    </row>
    <row r="517" spans="1:14" x14ac:dyDescent="0.3">
      <c r="A517" t="s">
        <v>1087</v>
      </c>
      <c r="B517" t="s">
        <v>1088</v>
      </c>
      <c r="C517" t="s">
        <v>1088</v>
      </c>
      <c r="D517" t="s">
        <v>1088</v>
      </c>
      <c r="E517" t="s">
        <v>18</v>
      </c>
      <c r="F517" t="s">
        <v>19</v>
      </c>
      <c r="H517" s="23" t="e">
        <f>VLOOKUP(A517,Revisión!$A$2:$L$703,6,FALSE)</f>
        <v>#N/A</v>
      </c>
      <c r="I517" s="4" t="e">
        <f>VLOOKUP(A517,Revisión!$A$2:$L$703,7,FALSE)</f>
        <v>#N/A</v>
      </c>
      <c r="J517" s="4" t="e">
        <f>VLOOKUP(A517,Revisión!$A$2:$L$703,8,FALSE)</f>
        <v>#N/A</v>
      </c>
      <c r="K517" s="4" t="e">
        <f>VLOOKUP(A517,Revisión!$A$2:$L$703,9,FALSE)</f>
        <v>#N/A</v>
      </c>
      <c r="L517" s="4" t="e">
        <f>VLOOKUP(A517,Revisión!$A$2:$L$703,10,FALSE)</f>
        <v>#N/A</v>
      </c>
      <c r="M517" s="18" t="e">
        <f>VLOOKUP(A517,Revisión!$A$2:$L$703,11,FALSE)</f>
        <v>#N/A</v>
      </c>
      <c r="N517" s="30" t="str">
        <f>IF(E517="Coinciden",D517,IF(E517="Revisar",VLOOKUP(A517,Revisión!$A$2:$L$703,12,FALSE),""))</f>
        <v>Cirsium pumilum</v>
      </c>
    </row>
    <row r="518" spans="1:14" x14ac:dyDescent="0.3">
      <c r="A518" t="s">
        <v>1089</v>
      </c>
      <c r="B518" t="s">
        <v>1090</v>
      </c>
      <c r="D518" t="s">
        <v>1090</v>
      </c>
      <c r="E518" t="s">
        <v>8</v>
      </c>
      <c r="F518" t="s">
        <v>34</v>
      </c>
      <c r="H518" s="23" t="str">
        <f>VLOOKUP(A518,Revisión!$A$2:$L$703,6,FALSE)</f>
        <v>Cirsium discolor</v>
      </c>
      <c r="I518" s="4" t="str">
        <f>VLOOKUP(A518,Revisión!$A$2:$L$703,7,FALSE)</f>
        <v>Cirsium discolor</v>
      </c>
      <c r="J518" s="4" t="str">
        <f>VLOOKUP(A518,Revisión!$A$2:$L$703,8,FALSE)</f>
        <v>Cirsium discolor</v>
      </c>
      <c r="K518" s="4" t="str">
        <f>VLOOKUP(A518,Revisión!$A$2:$L$703,9,FALSE)</f>
        <v>-</v>
      </c>
      <c r="L518" s="4" t="str">
        <f>VLOOKUP(A518,Revisión!$A$2:$L$703,10,FALSE)</f>
        <v>-</v>
      </c>
      <c r="M518" s="18">
        <f>VLOOKUP(A518,Revisión!$A$2:$L$703,11,FALSE)</f>
        <v>3</v>
      </c>
      <c r="N518" s="30" t="str">
        <f>IF(E518="Coinciden",D518,IF(E518="Revisar",VLOOKUP(A518,Revisión!$A$2:$L$703,12,FALSE),""))</f>
        <v>Cirsium discolor</v>
      </c>
    </row>
    <row r="519" spans="1:14" x14ac:dyDescent="0.3">
      <c r="A519" t="s">
        <v>1091</v>
      </c>
      <c r="B519" t="s">
        <v>1092</v>
      </c>
      <c r="C519" t="s">
        <v>1092</v>
      </c>
      <c r="D519" t="s">
        <v>1092</v>
      </c>
      <c r="E519" t="s">
        <v>18</v>
      </c>
      <c r="F519" t="s">
        <v>19</v>
      </c>
      <c r="H519" s="23" t="e">
        <f>VLOOKUP(A519,Revisión!$A$2:$L$703,6,FALSE)</f>
        <v>#N/A</v>
      </c>
      <c r="I519" s="4" t="e">
        <f>VLOOKUP(A519,Revisión!$A$2:$L$703,7,FALSE)</f>
        <v>#N/A</v>
      </c>
      <c r="J519" s="4" t="e">
        <f>VLOOKUP(A519,Revisión!$A$2:$L$703,8,FALSE)</f>
        <v>#N/A</v>
      </c>
      <c r="K519" s="4" t="e">
        <f>VLOOKUP(A519,Revisión!$A$2:$L$703,9,FALSE)</f>
        <v>#N/A</v>
      </c>
      <c r="L519" s="4" t="e">
        <f>VLOOKUP(A519,Revisión!$A$2:$L$703,10,FALSE)</f>
        <v>#N/A</v>
      </c>
      <c r="M519" s="18" t="e">
        <f>VLOOKUP(A519,Revisión!$A$2:$L$703,11,FALSE)</f>
        <v>#N/A</v>
      </c>
      <c r="N519" s="30" t="str">
        <f>IF(E519="Coinciden",D519,IF(E519="Revisar",VLOOKUP(A519,Revisión!$A$2:$L$703,12,FALSE),""))</f>
        <v>Cirsium altissimum</v>
      </c>
    </row>
    <row r="520" spans="1:14" x14ac:dyDescent="0.3">
      <c r="A520" t="s">
        <v>1093</v>
      </c>
      <c r="B520" t="s">
        <v>1094</v>
      </c>
      <c r="C520" t="s">
        <v>1094</v>
      </c>
      <c r="D520" t="s">
        <v>1094</v>
      </c>
      <c r="E520" t="s">
        <v>18</v>
      </c>
      <c r="F520" t="s">
        <v>19</v>
      </c>
      <c r="H520" s="23" t="e">
        <f>VLOOKUP(A520,Revisión!$A$2:$L$703,6,FALSE)</f>
        <v>#N/A</v>
      </c>
      <c r="I520" s="4" t="e">
        <f>VLOOKUP(A520,Revisión!$A$2:$L$703,7,FALSE)</f>
        <v>#N/A</v>
      </c>
      <c r="J520" s="4" t="e">
        <f>VLOOKUP(A520,Revisión!$A$2:$L$703,8,FALSE)</f>
        <v>#N/A</v>
      </c>
      <c r="K520" s="4" t="e">
        <f>VLOOKUP(A520,Revisión!$A$2:$L$703,9,FALSE)</f>
        <v>#N/A</v>
      </c>
      <c r="L520" s="4" t="e">
        <f>VLOOKUP(A520,Revisión!$A$2:$L$703,10,FALSE)</f>
        <v>#N/A</v>
      </c>
      <c r="M520" s="18" t="e">
        <f>VLOOKUP(A520,Revisión!$A$2:$L$703,11,FALSE)</f>
        <v>#N/A</v>
      </c>
      <c r="N520" s="30" t="str">
        <f>IF(E520="Coinciden",D520,IF(E520="Revisar",VLOOKUP(A520,Revisión!$A$2:$L$703,12,FALSE),""))</f>
        <v>Cirsium kagamontanum</v>
      </c>
    </row>
    <row r="521" spans="1:14" x14ac:dyDescent="0.3">
      <c r="A521" t="s">
        <v>1095</v>
      </c>
      <c r="C521" t="s">
        <v>1096</v>
      </c>
      <c r="D521" t="s">
        <v>1096</v>
      </c>
      <c r="E521" t="s">
        <v>8</v>
      </c>
      <c r="F521" t="s">
        <v>49</v>
      </c>
      <c r="H521" s="23" t="str">
        <f>VLOOKUP(A521,Revisión!$A$2:$L$703,6,FALSE)</f>
        <v>Cirsium nipponicum</v>
      </c>
      <c r="I521" s="4" t="str">
        <f>VLOOKUP(A521,Revisión!$A$2:$L$703,7,FALSE)</f>
        <v>Cirsium nipponicum</v>
      </c>
      <c r="J521" s="4" t="str">
        <f>VLOOKUP(A521,Revisión!$A$2:$L$703,8,FALSE)</f>
        <v>Cirsium nipponicum</v>
      </c>
      <c r="K521" s="4" t="str">
        <f>VLOOKUP(A521,Revisión!$A$2:$L$703,9,FALSE)</f>
        <v>-</v>
      </c>
      <c r="L521" s="4" t="str">
        <f>VLOOKUP(A521,Revisión!$A$2:$L$703,10,FALSE)</f>
        <v>-</v>
      </c>
      <c r="M521" s="18">
        <f>VLOOKUP(A521,Revisión!$A$2:$L$703,11,FALSE)</f>
        <v>3</v>
      </c>
      <c r="N521" s="30" t="str">
        <f>IF(E521="Coinciden",D521,IF(E521="Revisar",VLOOKUP(A521,Revisión!$A$2:$L$703,12,FALSE),""))</f>
        <v>Cirsium nipponicum</v>
      </c>
    </row>
    <row r="522" spans="1:14" x14ac:dyDescent="0.3">
      <c r="A522" t="s">
        <v>1097</v>
      </c>
      <c r="B522" t="s">
        <v>1098</v>
      </c>
      <c r="D522" t="s">
        <v>1099</v>
      </c>
      <c r="E522" t="s">
        <v>8</v>
      </c>
      <c r="F522" t="s">
        <v>9</v>
      </c>
      <c r="H522" s="23" t="str">
        <f>VLOOKUP(A522,Revisión!$A$2:$L$703,6,FALSE)</f>
        <v>-</v>
      </c>
      <c r="I522" s="4" t="str">
        <f>VLOOKUP(A522,Revisión!$A$2:$L$703,7,FALSE)</f>
        <v>Cirsium dissectum</v>
      </c>
      <c r="J522" s="4" t="str">
        <f>VLOOKUP(A522,Revisión!$A$2:$L$703,8,FALSE)</f>
        <v>Cirsium dissectum</v>
      </c>
      <c r="K522" s="4" t="str">
        <f>VLOOKUP(A522,Revisión!$A$2:$L$703,9,FALSE)</f>
        <v>-</v>
      </c>
      <c r="L522" s="4" t="str">
        <f>VLOOKUP(A522,Revisión!$A$2:$L$703,10,FALSE)</f>
        <v>-</v>
      </c>
      <c r="M522" s="18">
        <f>VLOOKUP(A522,Revisión!$A$2:$L$703,11,FALSE)</f>
        <v>2</v>
      </c>
      <c r="N522" s="30" t="str">
        <f>IF(E522="Coinciden",D522,IF(E522="Revisar",VLOOKUP(A522,Revisión!$A$2:$L$703,12,FALSE),""))</f>
        <v>Cirsium dissectum</v>
      </c>
    </row>
    <row r="523" spans="1:14" x14ac:dyDescent="0.3">
      <c r="A523" t="s">
        <v>1100</v>
      </c>
      <c r="B523" t="s">
        <v>1101</v>
      </c>
      <c r="C523" t="s">
        <v>1101</v>
      </c>
      <c r="D523" t="s">
        <v>1101</v>
      </c>
      <c r="E523" t="s">
        <v>18</v>
      </c>
      <c r="F523" t="s">
        <v>19</v>
      </c>
      <c r="H523" s="23" t="e">
        <f>VLOOKUP(A523,Revisión!$A$2:$L$703,6,FALSE)</f>
        <v>#N/A</v>
      </c>
      <c r="I523" s="4" t="e">
        <f>VLOOKUP(A523,Revisión!$A$2:$L$703,7,FALSE)</f>
        <v>#N/A</v>
      </c>
      <c r="J523" s="4" t="e">
        <f>VLOOKUP(A523,Revisión!$A$2:$L$703,8,FALSE)</f>
        <v>#N/A</v>
      </c>
      <c r="K523" s="4" t="e">
        <f>VLOOKUP(A523,Revisión!$A$2:$L$703,9,FALSE)</f>
        <v>#N/A</v>
      </c>
      <c r="L523" s="4" t="e">
        <f>VLOOKUP(A523,Revisión!$A$2:$L$703,10,FALSE)</f>
        <v>#N/A</v>
      </c>
      <c r="M523" s="18" t="e">
        <f>VLOOKUP(A523,Revisión!$A$2:$L$703,11,FALSE)</f>
        <v>#N/A</v>
      </c>
      <c r="N523" s="30" t="str">
        <f>IF(E523="Coinciden",D523,IF(E523="Revisar",VLOOKUP(A523,Revisión!$A$2:$L$703,12,FALSE),""))</f>
        <v>Cirsium microspicatum</v>
      </c>
    </row>
    <row r="524" spans="1:14" x14ac:dyDescent="0.3">
      <c r="A524" t="s">
        <v>1102</v>
      </c>
      <c r="B524" t="s">
        <v>1103</v>
      </c>
      <c r="C524" t="s">
        <v>1103</v>
      </c>
      <c r="D524" t="s">
        <v>1103</v>
      </c>
      <c r="E524" t="s">
        <v>18</v>
      </c>
      <c r="F524" t="s">
        <v>19</v>
      </c>
      <c r="H524" s="23" t="e">
        <f>VLOOKUP(A524,Revisión!$A$2:$L$703,6,FALSE)</f>
        <v>#N/A</v>
      </c>
      <c r="I524" s="4" t="e">
        <f>VLOOKUP(A524,Revisión!$A$2:$L$703,7,FALSE)</f>
        <v>#N/A</v>
      </c>
      <c r="J524" s="4" t="e">
        <f>VLOOKUP(A524,Revisión!$A$2:$L$703,8,FALSE)</f>
        <v>#N/A</v>
      </c>
      <c r="K524" s="4" t="e">
        <f>VLOOKUP(A524,Revisión!$A$2:$L$703,9,FALSE)</f>
        <v>#N/A</v>
      </c>
      <c r="L524" s="4" t="e">
        <f>VLOOKUP(A524,Revisión!$A$2:$L$703,10,FALSE)</f>
        <v>#N/A</v>
      </c>
      <c r="M524" s="18" t="e">
        <f>VLOOKUP(A524,Revisión!$A$2:$L$703,11,FALSE)</f>
        <v>#N/A</v>
      </c>
      <c r="N524" s="30" t="str">
        <f>IF(E524="Coinciden",D524,IF(E524="Revisar",VLOOKUP(A524,Revisión!$A$2:$L$703,12,FALSE),""))</f>
        <v>Cirsium oleraceum</v>
      </c>
    </row>
    <row r="525" spans="1:14" x14ac:dyDescent="0.3">
      <c r="A525" t="s">
        <v>1104</v>
      </c>
      <c r="B525" t="s">
        <v>1105</v>
      </c>
      <c r="C525" t="s">
        <v>1105</v>
      </c>
      <c r="D525" t="s">
        <v>1105</v>
      </c>
      <c r="E525" t="s">
        <v>18</v>
      </c>
      <c r="F525" t="s">
        <v>19</v>
      </c>
      <c r="H525" s="23" t="e">
        <f>VLOOKUP(A525,Revisión!$A$2:$L$703,6,FALSE)</f>
        <v>#N/A</v>
      </c>
      <c r="I525" s="4" t="e">
        <f>VLOOKUP(A525,Revisión!$A$2:$L$703,7,FALSE)</f>
        <v>#N/A</v>
      </c>
      <c r="J525" s="4" t="e">
        <f>VLOOKUP(A525,Revisión!$A$2:$L$703,8,FALSE)</f>
        <v>#N/A</v>
      </c>
      <c r="K525" s="4" t="e">
        <f>VLOOKUP(A525,Revisión!$A$2:$L$703,9,FALSE)</f>
        <v>#N/A</v>
      </c>
      <c r="L525" s="4" t="e">
        <f>VLOOKUP(A525,Revisión!$A$2:$L$703,10,FALSE)</f>
        <v>#N/A</v>
      </c>
      <c r="M525" s="18" t="e">
        <f>VLOOKUP(A525,Revisión!$A$2:$L$703,11,FALSE)</f>
        <v>#N/A</v>
      </c>
      <c r="N525" s="30" t="str">
        <f>IF(E525="Coinciden",D525,IF(E525="Revisar",VLOOKUP(A525,Revisión!$A$2:$L$703,12,FALSE),""))</f>
        <v>Cirsium suffultum</v>
      </c>
    </row>
    <row r="526" spans="1:14" x14ac:dyDescent="0.3">
      <c r="A526" t="s">
        <v>1106</v>
      </c>
      <c r="B526" t="s">
        <v>1107</v>
      </c>
      <c r="C526" t="s">
        <v>1107</v>
      </c>
      <c r="E526" t="s">
        <v>8</v>
      </c>
      <c r="F526" t="s">
        <v>323</v>
      </c>
      <c r="H526" s="23" t="str">
        <f>VLOOKUP(A526,Revisión!$A$2:$L$703,6,FALSE)</f>
        <v>Cirsium pulchellum</v>
      </c>
      <c r="I526" s="4" t="str">
        <f>VLOOKUP(A526,Revisión!$A$2:$L$703,7,FALSE)</f>
        <v>-</v>
      </c>
      <c r="J526" s="4" t="str">
        <f>VLOOKUP(A526,Revisión!$A$2:$L$703,8,FALSE)</f>
        <v>Cirsium pulchellum</v>
      </c>
      <c r="K526" s="4" t="str">
        <f>VLOOKUP(A526,Revisión!$A$2:$L$703,9,FALSE)</f>
        <v>Cirsium pulchellum</v>
      </c>
      <c r="L526" s="4" t="str">
        <f>VLOOKUP(A526,Revisión!$A$2:$L$703,10,FALSE)</f>
        <v>Cirsium pulchellum</v>
      </c>
      <c r="M526" s="18">
        <f>VLOOKUP(A526,Revisión!$A$2:$L$703,11,FALSE)</f>
        <v>4</v>
      </c>
      <c r="N526" s="30" t="str">
        <f>IF(E526="Coinciden",D526,IF(E526="Revisar",VLOOKUP(A526,Revisión!$A$2:$L$703,12,FALSE),""))</f>
        <v>Cirsium pulchellum</v>
      </c>
    </row>
    <row r="527" spans="1:14" x14ac:dyDescent="0.3">
      <c r="A527" t="s">
        <v>1108</v>
      </c>
      <c r="B527" t="s">
        <v>1076</v>
      </c>
      <c r="D527" t="s">
        <v>1109</v>
      </c>
      <c r="E527" t="s">
        <v>8</v>
      </c>
      <c r="F527" t="s">
        <v>9</v>
      </c>
      <c r="H527" s="23" t="str">
        <f>VLOOKUP(A527,Revisión!$A$2:$L$703,6,FALSE)</f>
        <v>-</v>
      </c>
      <c r="I527" s="4" t="str">
        <f>VLOOKUP(A527,Revisión!$A$2:$L$703,7,FALSE)</f>
        <v>-</v>
      </c>
      <c r="J527" s="4" t="str">
        <f>VLOOKUP(A527,Revisión!$A$2:$L$703,8,FALSE)</f>
        <v>Cirsium vulgare</v>
      </c>
      <c r="K527" s="4" t="str">
        <f>VLOOKUP(A527,Revisión!$A$2:$L$703,9,FALSE)</f>
        <v>Cirsium vulgare</v>
      </c>
      <c r="L527" s="4" t="str">
        <f>VLOOKUP(A527,Revisión!$A$2:$L$703,10,FALSE)</f>
        <v>Cirsium vulgare</v>
      </c>
      <c r="M527" s="18">
        <f>VLOOKUP(A527,Revisión!$A$2:$L$703,11,FALSE)</f>
        <v>4</v>
      </c>
      <c r="N527" s="30" t="str">
        <f>IF(E527="Coinciden",D527,IF(E527="Revisar",VLOOKUP(A527,Revisión!$A$2:$L$703,12,FALSE),""))</f>
        <v>Cirsium vulgare</v>
      </c>
    </row>
    <row r="528" spans="1:14" x14ac:dyDescent="0.3">
      <c r="A528" t="s">
        <v>1110</v>
      </c>
      <c r="D528" t="s">
        <v>1111</v>
      </c>
      <c r="E528" t="s">
        <v>8</v>
      </c>
      <c r="F528" t="s">
        <v>9</v>
      </c>
      <c r="H528" s="23" t="str">
        <f>VLOOKUP(A528,Revisión!$A$2:$L$703,6,FALSE)</f>
        <v>-</v>
      </c>
      <c r="I528" s="4" t="str">
        <f>VLOOKUP(A528,Revisión!$A$2:$L$703,7,FALSE)</f>
        <v>-</v>
      </c>
      <c r="J528" s="4" t="str">
        <f>VLOOKUP(A528,Revisión!$A$2:$L$703,8,FALSE)</f>
        <v>Cissus discolor</v>
      </c>
      <c r="K528" s="4" t="str">
        <f>VLOOKUP(A528,Revisión!$A$2:$L$703,9,FALSE)</f>
        <v>Cissus discolor</v>
      </c>
      <c r="L528" s="4" t="str">
        <f>VLOOKUP(A528,Revisión!$A$2:$L$703,10,FALSE)</f>
        <v>Cissus discolor</v>
      </c>
      <c r="M528" s="18">
        <f>VLOOKUP(A528,Revisión!$A$2:$L$703,11,FALSE)</f>
        <v>4</v>
      </c>
      <c r="N528" s="30" t="str">
        <f>IF(E528="Coinciden",D528,IF(E528="Revisar",VLOOKUP(A528,Revisión!$A$2:$L$703,12,FALSE),""))</f>
        <v>Cissus discolor</v>
      </c>
    </row>
    <row r="529" spans="1:14" x14ac:dyDescent="0.3">
      <c r="A529" t="s">
        <v>1112</v>
      </c>
      <c r="B529" t="s">
        <v>1113</v>
      </c>
      <c r="C529" t="s">
        <v>1113</v>
      </c>
      <c r="D529" t="s">
        <v>1113</v>
      </c>
      <c r="E529" t="s">
        <v>18</v>
      </c>
      <c r="F529" t="s">
        <v>19</v>
      </c>
      <c r="H529" s="23" t="e">
        <f>VLOOKUP(A529,Revisión!$A$2:$L$703,6,FALSE)</f>
        <v>#N/A</v>
      </c>
      <c r="I529" s="4" t="e">
        <f>VLOOKUP(A529,Revisión!$A$2:$L$703,7,FALSE)</f>
        <v>#N/A</v>
      </c>
      <c r="J529" s="4" t="e">
        <f>VLOOKUP(A529,Revisión!$A$2:$L$703,8,FALSE)</f>
        <v>#N/A</v>
      </c>
      <c r="K529" s="4" t="e">
        <f>VLOOKUP(A529,Revisión!$A$2:$L$703,9,FALSE)</f>
        <v>#N/A</v>
      </c>
      <c r="L529" s="4" t="e">
        <f>VLOOKUP(A529,Revisión!$A$2:$L$703,10,FALSE)</f>
        <v>#N/A</v>
      </c>
      <c r="M529" s="18" t="e">
        <f>VLOOKUP(A529,Revisión!$A$2:$L$703,11,FALSE)</f>
        <v>#N/A</v>
      </c>
      <c r="N529" s="30" t="str">
        <f>IF(E529="Coinciden",D529,IF(E529="Revisar",VLOOKUP(A529,Revisión!$A$2:$L$703,12,FALSE),""))</f>
        <v>Cistus salviifolius</v>
      </c>
    </row>
    <row r="530" spans="1:14" x14ac:dyDescent="0.3">
      <c r="A530" t="s">
        <v>1114</v>
      </c>
      <c r="B530" t="s">
        <v>1115</v>
      </c>
      <c r="C530" t="s">
        <v>1115</v>
      </c>
      <c r="D530" t="s">
        <v>1115</v>
      </c>
      <c r="E530" t="s">
        <v>18</v>
      </c>
      <c r="F530" t="s">
        <v>19</v>
      </c>
      <c r="H530" s="23" t="e">
        <f>VLOOKUP(A530,Revisión!$A$2:$L$703,6,FALSE)</f>
        <v>#N/A</v>
      </c>
      <c r="I530" s="4" t="e">
        <f>VLOOKUP(A530,Revisión!$A$2:$L$703,7,FALSE)</f>
        <v>#N/A</v>
      </c>
      <c r="J530" s="4" t="e">
        <f>VLOOKUP(A530,Revisión!$A$2:$L$703,8,FALSE)</f>
        <v>#N/A</v>
      </c>
      <c r="K530" s="4" t="e">
        <f>VLOOKUP(A530,Revisión!$A$2:$L$703,9,FALSE)</f>
        <v>#N/A</v>
      </c>
      <c r="L530" s="4" t="e">
        <f>VLOOKUP(A530,Revisión!$A$2:$L$703,10,FALSE)</f>
        <v>#N/A</v>
      </c>
      <c r="M530" s="18" t="e">
        <f>VLOOKUP(A530,Revisión!$A$2:$L$703,11,FALSE)</f>
        <v>#N/A</v>
      </c>
      <c r="N530" s="30" t="str">
        <f>IF(E530="Coinciden",D530,IF(E530="Revisar",VLOOKUP(A530,Revisión!$A$2:$L$703,12,FALSE),""))</f>
        <v>Cistus libanotis</v>
      </c>
    </row>
    <row r="531" spans="1:14" x14ac:dyDescent="0.3">
      <c r="A531" t="s">
        <v>1116</v>
      </c>
      <c r="B531" t="s">
        <v>1117</v>
      </c>
      <c r="C531" t="s">
        <v>1117</v>
      </c>
      <c r="D531" t="s">
        <v>1117</v>
      </c>
      <c r="E531" t="s">
        <v>18</v>
      </c>
      <c r="F531" t="s">
        <v>19</v>
      </c>
      <c r="H531" s="23" t="e">
        <f>VLOOKUP(A531,Revisión!$A$2:$L$703,6,FALSE)</f>
        <v>#N/A</v>
      </c>
      <c r="I531" s="4" t="e">
        <f>VLOOKUP(A531,Revisión!$A$2:$L$703,7,FALSE)</f>
        <v>#N/A</v>
      </c>
      <c r="J531" s="4" t="e">
        <f>VLOOKUP(A531,Revisión!$A$2:$L$703,8,FALSE)</f>
        <v>#N/A</v>
      </c>
      <c r="K531" s="4" t="e">
        <f>VLOOKUP(A531,Revisión!$A$2:$L$703,9,FALSE)</f>
        <v>#N/A</v>
      </c>
      <c r="L531" s="4" t="e">
        <f>VLOOKUP(A531,Revisión!$A$2:$L$703,10,FALSE)</f>
        <v>#N/A</v>
      </c>
      <c r="M531" s="18" t="e">
        <f>VLOOKUP(A531,Revisión!$A$2:$L$703,11,FALSE)</f>
        <v>#N/A</v>
      </c>
      <c r="N531" s="30" t="str">
        <f>IF(E531="Coinciden",D531,IF(E531="Revisar",VLOOKUP(A531,Revisión!$A$2:$L$703,12,FALSE),""))</f>
        <v>Cistus monspeliensis</v>
      </c>
    </row>
    <row r="532" spans="1:14" x14ac:dyDescent="0.3">
      <c r="A532" t="s">
        <v>1118</v>
      </c>
      <c r="B532" t="s">
        <v>1119</v>
      </c>
      <c r="C532" t="s">
        <v>1119</v>
      </c>
      <c r="D532" t="s">
        <v>1119</v>
      </c>
      <c r="E532" t="s">
        <v>18</v>
      </c>
      <c r="F532" t="s">
        <v>19</v>
      </c>
      <c r="H532" s="23" t="e">
        <f>VLOOKUP(A532,Revisión!$A$2:$L$703,6,FALSE)</f>
        <v>#N/A</v>
      </c>
      <c r="I532" s="4" t="e">
        <f>VLOOKUP(A532,Revisión!$A$2:$L$703,7,FALSE)</f>
        <v>#N/A</v>
      </c>
      <c r="J532" s="4" t="e">
        <f>VLOOKUP(A532,Revisión!$A$2:$L$703,8,FALSE)</f>
        <v>#N/A</v>
      </c>
      <c r="K532" s="4" t="e">
        <f>VLOOKUP(A532,Revisión!$A$2:$L$703,9,FALSE)</f>
        <v>#N/A</v>
      </c>
      <c r="L532" s="4" t="e">
        <f>VLOOKUP(A532,Revisión!$A$2:$L$703,10,FALSE)</f>
        <v>#N/A</v>
      </c>
      <c r="M532" s="18" t="e">
        <f>VLOOKUP(A532,Revisión!$A$2:$L$703,11,FALSE)</f>
        <v>#N/A</v>
      </c>
      <c r="N532" s="30" t="str">
        <f>IF(E532="Coinciden",D532,IF(E532="Revisar",VLOOKUP(A532,Revisión!$A$2:$L$703,12,FALSE),""))</f>
        <v>Cistus albidus</v>
      </c>
    </row>
    <row r="533" spans="1:14" x14ac:dyDescent="0.3">
      <c r="A533" t="s">
        <v>1120</v>
      </c>
      <c r="B533" t="s">
        <v>1121</v>
      </c>
      <c r="D533" t="s">
        <v>1121</v>
      </c>
      <c r="E533" t="s">
        <v>8</v>
      </c>
      <c r="F533" t="s">
        <v>34</v>
      </c>
      <c r="H533" s="23" t="str">
        <f>VLOOKUP(A533,Revisión!$A$2:$L$703,6,FALSE)</f>
        <v>Cistus parviflorus</v>
      </c>
      <c r="I533" s="4" t="str">
        <f>VLOOKUP(A533,Revisión!$A$2:$L$703,7,FALSE)</f>
        <v>-</v>
      </c>
      <c r="J533" s="4" t="str">
        <f>VLOOKUP(A533,Revisión!$A$2:$L$703,8,FALSE)</f>
        <v>Cistus parviflorus</v>
      </c>
      <c r="K533" s="4" t="str">
        <f>VLOOKUP(A533,Revisión!$A$2:$L$703,9,FALSE)</f>
        <v>Cistus parviflorus</v>
      </c>
      <c r="L533" s="4" t="str">
        <f>VLOOKUP(A533,Revisión!$A$2:$L$703,10,FALSE)</f>
        <v>Cistus parviflorus</v>
      </c>
      <c r="M533" s="18">
        <f>VLOOKUP(A533,Revisión!$A$2:$L$703,11,FALSE)</f>
        <v>4</v>
      </c>
      <c r="N533" s="30" t="str">
        <f>IF(E533="Coinciden",D533,IF(E533="Revisar",VLOOKUP(A533,Revisión!$A$2:$L$703,12,FALSE),""))</f>
        <v>Cistus parviflorus</v>
      </c>
    </row>
    <row r="534" spans="1:14" x14ac:dyDescent="0.3">
      <c r="A534" t="s">
        <v>1122</v>
      </c>
      <c r="B534" t="s">
        <v>1123</v>
      </c>
      <c r="C534" t="s">
        <v>1124</v>
      </c>
      <c r="D534" t="s">
        <v>1125</v>
      </c>
      <c r="E534" t="s">
        <v>8</v>
      </c>
      <c r="F534" t="s">
        <v>295</v>
      </c>
      <c r="H534" s="23" t="str">
        <f>VLOOKUP(A534,Revisión!$A$2:$L$703,6,FALSE)</f>
        <v>Citrus × tachibana</v>
      </c>
      <c r="I534" s="4" t="str">
        <f>VLOOKUP(A534,Revisión!$A$2:$L$703,7,FALSE)</f>
        <v>-</v>
      </c>
      <c r="J534" s="4" t="str">
        <f>VLOOKUP(A534,Revisión!$A$2:$L$703,8,FALSE)</f>
        <v>Citrus × tachibana</v>
      </c>
      <c r="K534" s="4" t="str">
        <f>VLOOKUP(A534,Revisión!$A$2:$L$703,9,FALSE)</f>
        <v>Citrus × tachibana</v>
      </c>
      <c r="L534" s="4" t="str">
        <f>VLOOKUP(A534,Revisión!$A$2:$L$703,10,FALSE)</f>
        <v>-</v>
      </c>
      <c r="M534" s="18">
        <f>VLOOKUP(A534,Revisión!$A$2:$L$703,11,FALSE)</f>
        <v>3</v>
      </c>
      <c r="N534" s="30" t="str">
        <f>IF(E534="Coinciden",D534,IF(E534="Revisar",VLOOKUP(A534,Revisión!$A$2:$L$703,12,FALSE),""))</f>
        <v>Citrus × tachibana</v>
      </c>
    </row>
    <row r="535" spans="1:14" x14ac:dyDescent="0.3">
      <c r="A535" t="s">
        <v>1126</v>
      </c>
      <c r="B535" t="s">
        <v>1127</v>
      </c>
      <c r="C535" t="s">
        <v>1128</v>
      </c>
      <c r="E535" t="s">
        <v>8</v>
      </c>
      <c r="F535" t="s">
        <v>9</v>
      </c>
      <c r="H535" s="23" t="str">
        <f>VLOOKUP(A535,Revisión!$A$2:$L$703,6,FALSE)</f>
        <v>Cladrastis sikokiana</v>
      </c>
      <c r="I535" s="4" t="str">
        <f>VLOOKUP(A535,Revisión!$A$2:$L$703,7,FALSE)</f>
        <v>-</v>
      </c>
      <c r="J535" s="4" t="str">
        <f>VLOOKUP(A535,Revisión!$A$2:$L$703,8,FALSE)</f>
        <v>Cladrastis shikokiana</v>
      </c>
      <c r="K535" s="4" t="str">
        <f>VLOOKUP(A535,Revisión!$A$2:$L$703,9,FALSE)</f>
        <v>Cladrastis shikokiana</v>
      </c>
      <c r="L535" s="4" t="str">
        <f>VLOOKUP(A535,Revisión!$A$2:$L$703,10,FALSE)</f>
        <v>Cladrastis shikokiana</v>
      </c>
      <c r="M535" s="18">
        <f>VLOOKUP(A535,Revisión!$A$2:$L$703,11,FALSE)</f>
        <v>4</v>
      </c>
      <c r="N535" s="30" t="str">
        <f>IF(E535="Coinciden",D535,IF(E535="Revisar",VLOOKUP(A535,Revisión!$A$2:$L$703,12,FALSE),""))</f>
        <v>Cladrastis shikokiana</v>
      </c>
    </row>
    <row r="536" spans="1:14" x14ac:dyDescent="0.3">
      <c r="A536" t="s">
        <v>1129</v>
      </c>
      <c r="B536" t="s">
        <v>1130</v>
      </c>
      <c r="C536" t="s">
        <v>1130</v>
      </c>
      <c r="D536" t="s">
        <v>1130</v>
      </c>
      <c r="E536" t="s">
        <v>18</v>
      </c>
      <c r="F536" t="s">
        <v>19</v>
      </c>
      <c r="H536" s="23" t="e">
        <f>VLOOKUP(A536,Revisión!$A$2:$L$703,6,FALSE)</f>
        <v>#N/A</v>
      </c>
      <c r="I536" s="4" t="e">
        <f>VLOOKUP(A536,Revisión!$A$2:$L$703,7,FALSE)</f>
        <v>#N/A</v>
      </c>
      <c r="J536" s="4" t="e">
        <f>VLOOKUP(A536,Revisión!$A$2:$L$703,8,FALSE)</f>
        <v>#N/A</v>
      </c>
      <c r="K536" s="4" t="e">
        <f>VLOOKUP(A536,Revisión!$A$2:$L$703,9,FALSE)</f>
        <v>#N/A</v>
      </c>
      <c r="L536" s="4" t="e">
        <f>VLOOKUP(A536,Revisión!$A$2:$L$703,10,FALSE)</f>
        <v>#N/A</v>
      </c>
      <c r="M536" s="18" t="e">
        <f>VLOOKUP(A536,Revisión!$A$2:$L$703,11,FALSE)</f>
        <v>#N/A</v>
      </c>
      <c r="N536" s="30" t="str">
        <f>IF(E536="Coinciden",D536,IF(E536="Revisar",VLOOKUP(A536,Revisión!$A$2:$L$703,12,FALSE),""))</f>
        <v>Claoxylon linostachys</v>
      </c>
    </row>
    <row r="537" spans="1:14" x14ac:dyDescent="0.3">
      <c r="A537" t="s">
        <v>1131</v>
      </c>
      <c r="B537" t="s">
        <v>1132</v>
      </c>
      <c r="C537" t="s">
        <v>1132</v>
      </c>
      <c r="D537" t="s">
        <v>1132</v>
      </c>
      <c r="E537" t="s">
        <v>18</v>
      </c>
      <c r="F537" t="s">
        <v>19</v>
      </c>
      <c r="H537" s="23" t="e">
        <f>VLOOKUP(A537,Revisión!$A$2:$L$703,6,FALSE)</f>
        <v>#N/A</v>
      </c>
      <c r="I537" s="4" t="e">
        <f>VLOOKUP(A537,Revisión!$A$2:$L$703,7,FALSE)</f>
        <v>#N/A</v>
      </c>
      <c r="J537" s="4" t="e">
        <f>VLOOKUP(A537,Revisión!$A$2:$L$703,8,FALSE)</f>
        <v>#N/A</v>
      </c>
      <c r="K537" s="4" t="e">
        <f>VLOOKUP(A537,Revisión!$A$2:$L$703,9,FALSE)</f>
        <v>#N/A</v>
      </c>
      <c r="L537" s="4" t="e">
        <f>VLOOKUP(A537,Revisión!$A$2:$L$703,10,FALSE)</f>
        <v>#N/A</v>
      </c>
      <c r="M537" s="18" t="e">
        <f>VLOOKUP(A537,Revisión!$A$2:$L$703,11,FALSE)</f>
        <v>#N/A</v>
      </c>
      <c r="N537" s="30" t="str">
        <f>IF(E537="Coinciden",D537,IF(E537="Revisar",VLOOKUP(A537,Revisión!$A$2:$L$703,12,FALSE),""))</f>
        <v>Claoxylon linostachys subsp. brachyphyllum</v>
      </c>
    </row>
    <row r="538" spans="1:14" x14ac:dyDescent="0.3">
      <c r="A538" t="s">
        <v>1133</v>
      </c>
      <c r="B538" t="s">
        <v>1134</v>
      </c>
      <c r="C538" t="s">
        <v>1134</v>
      </c>
      <c r="D538" t="s">
        <v>1134</v>
      </c>
      <c r="E538" t="s">
        <v>18</v>
      </c>
      <c r="F538" t="s">
        <v>19</v>
      </c>
      <c r="H538" s="23" t="e">
        <f>VLOOKUP(A538,Revisión!$A$2:$L$703,6,FALSE)</f>
        <v>#N/A</v>
      </c>
      <c r="I538" s="4" t="e">
        <f>VLOOKUP(A538,Revisión!$A$2:$L$703,7,FALSE)</f>
        <v>#N/A</v>
      </c>
      <c r="J538" s="4" t="e">
        <f>VLOOKUP(A538,Revisión!$A$2:$L$703,8,FALSE)</f>
        <v>#N/A</v>
      </c>
      <c r="K538" s="4" t="e">
        <f>VLOOKUP(A538,Revisión!$A$2:$L$703,9,FALSE)</f>
        <v>#N/A</v>
      </c>
      <c r="L538" s="4" t="e">
        <f>VLOOKUP(A538,Revisión!$A$2:$L$703,10,FALSE)</f>
        <v>#N/A</v>
      </c>
      <c r="M538" s="18" t="e">
        <f>VLOOKUP(A538,Revisión!$A$2:$L$703,11,FALSE)</f>
        <v>#N/A</v>
      </c>
      <c r="N538" s="30" t="str">
        <f>IF(E538="Coinciden",D538,IF(E538="Revisar",VLOOKUP(A538,Revisión!$A$2:$L$703,12,FALSE),""))</f>
        <v>Clarkia tenella</v>
      </c>
    </row>
    <row r="539" spans="1:14" x14ac:dyDescent="0.3">
      <c r="A539" t="s">
        <v>1135</v>
      </c>
      <c r="B539" t="s">
        <v>1136</v>
      </c>
      <c r="C539" t="s">
        <v>1136</v>
      </c>
      <c r="D539" t="s">
        <v>1136</v>
      </c>
      <c r="E539" t="s">
        <v>18</v>
      </c>
      <c r="F539" t="s">
        <v>19</v>
      </c>
      <c r="H539" s="23" t="e">
        <f>VLOOKUP(A539,Revisión!$A$2:$L$703,6,FALSE)</f>
        <v>#N/A</v>
      </c>
      <c r="I539" s="4" t="e">
        <f>VLOOKUP(A539,Revisión!$A$2:$L$703,7,FALSE)</f>
        <v>#N/A</v>
      </c>
      <c r="J539" s="4" t="e">
        <f>VLOOKUP(A539,Revisión!$A$2:$L$703,8,FALSE)</f>
        <v>#N/A</v>
      </c>
      <c r="K539" s="4" t="e">
        <f>VLOOKUP(A539,Revisión!$A$2:$L$703,9,FALSE)</f>
        <v>#N/A</v>
      </c>
      <c r="L539" s="4" t="e">
        <f>VLOOKUP(A539,Revisión!$A$2:$L$703,10,FALSE)</f>
        <v>#N/A</v>
      </c>
      <c r="M539" s="18" t="e">
        <f>VLOOKUP(A539,Revisión!$A$2:$L$703,11,FALSE)</f>
        <v>#N/A</v>
      </c>
      <c r="N539" s="30" t="str">
        <f>IF(E539="Coinciden",D539,IF(E539="Revisar",VLOOKUP(A539,Revisión!$A$2:$L$703,12,FALSE),""))</f>
        <v>Claytonia virginica</v>
      </c>
    </row>
    <row r="540" spans="1:14" x14ac:dyDescent="0.3">
      <c r="A540" t="s">
        <v>1137</v>
      </c>
      <c r="B540" t="s">
        <v>1138</v>
      </c>
      <c r="C540" t="s">
        <v>1138</v>
      </c>
      <c r="E540" t="s">
        <v>8</v>
      </c>
      <c r="F540" t="s">
        <v>323</v>
      </c>
      <c r="H540" s="23" t="str">
        <f>VLOOKUP(A540,Revisión!$A$2:$L$703,6,FALSE)</f>
        <v>Holocheilus brasiliensis</v>
      </c>
      <c r="I540" s="4" t="str">
        <f>VLOOKUP(A540,Revisión!$A$2:$L$703,7,FALSE)</f>
        <v>-</v>
      </c>
      <c r="J540" s="4" t="str">
        <f>VLOOKUP(A540,Revisión!$A$2:$L$703,8,FALSE)</f>
        <v>Holocheilus brasiliensis</v>
      </c>
      <c r="K540" s="4" t="str">
        <f>VLOOKUP(A540,Revisión!$A$2:$L$703,9,FALSE)</f>
        <v>Holocheilus brasiliensis</v>
      </c>
      <c r="L540" s="4" t="str">
        <f>VLOOKUP(A540,Revisión!$A$2:$L$703,10,FALSE)</f>
        <v>Holocheilus brasiliensis</v>
      </c>
      <c r="M540" s="18">
        <f>VLOOKUP(A540,Revisión!$A$2:$L$703,11,FALSE)</f>
        <v>4</v>
      </c>
      <c r="N540" s="30" t="str">
        <f>IF(E540="Coinciden",D540,IF(E540="Revisar",VLOOKUP(A540,Revisión!$A$2:$L$703,12,FALSE),""))</f>
        <v>Holocheilus brasiliensis</v>
      </c>
    </row>
    <row r="541" spans="1:14" x14ac:dyDescent="0.3">
      <c r="A541" t="s">
        <v>1139</v>
      </c>
      <c r="B541" t="s">
        <v>1140</v>
      </c>
      <c r="C541" t="s">
        <v>1140</v>
      </c>
      <c r="D541" t="s">
        <v>1140</v>
      </c>
      <c r="E541" t="s">
        <v>18</v>
      </c>
      <c r="F541" t="s">
        <v>19</v>
      </c>
      <c r="H541" s="23" t="e">
        <f>VLOOKUP(A541,Revisión!$A$2:$L$703,6,FALSE)</f>
        <v>#N/A</v>
      </c>
      <c r="I541" s="4" t="e">
        <f>VLOOKUP(A541,Revisión!$A$2:$L$703,7,FALSE)</f>
        <v>#N/A</v>
      </c>
      <c r="J541" s="4" t="e">
        <f>VLOOKUP(A541,Revisión!$A$2:$L$703,8,FALSE)</f>
        <v>#N/A</v>
      </c>
      <c r="K541" s="4" t="e">
        <f>VLOOKUP(A541,Revisión!$A$2:$L$703,9,FALSE)</f>
        <v>#N/A</v>
      </c>
      <c r="L541" s="4" t="e">
        <f>VLOOKUP(A541,Revisión!$A$2:$L$703,10,FALSE)</f>
        <v>#N/A</v>
      </c>
      <c r="M541" s="18" t="e">
        <f>VLOOKUP(A541,Revisión!$A$2:$L$703,11,FALSE)</f>
        <v>#N/A</v>
      </c>
      <c r="N541" s="30" t="str">
        <f>IF(E541="Coinciden",D541,IF(E541="Revisar",VLOOKUP(A541,Revisión!$A$2:$L$703,12,FALSE),""))</f>
        <v>Clematis terniflora</v>
      </c>
    </row>
    <row r="542" spans="1:14" x14ac:dyDescent="0.3">
      <c r="A542" t="s">
        <v>1141</v>
      </c>
      <c r="B542" t="s">
        <v>1142</v>
      </c>
      <c r="C542" t="s">
        <v>1142</v>
      </c>
      <c r="D542" t="s">
        <v>1142</v>
      </c>
      <c r="E542" t="s">
        <v>18</v>
      </c>
      <c r="F542" t="s">
        <v>19</v>
      </c>
      <c r="H542" s="23" t="e">
        <f>VLOOKUP(A542,Revisión!$A$2:$L$703,6,FALSE)</f>
        <v>#N/A</v>
      </c>
      <c r="I542" s="4" t="e">
        <f>VLOOKUP(A542,Revisión!$A$2:$L$703,7,FALSE)</f>
        <v>#N/A</v>
      </c>
      <c r="J542" s="4" t="e">
        <f>VLOOKUP(A542,Revisión!$A$2:$L$703,8,FALSE)</f>
        <v>#N/A</v>
      </c>
      <c r="K542" s="4" t="e">
        <f>VLOOKUP(A542,Revisión!$A$2:$L$703,9,FALSE)</f>
        <v>#N/A</v>
      </c>
      <c r="L542" s="4" t="e">
        <f>VLOOKUP(A542,Revisión!$A$2:$L$703,10,FALSE)</f>
        <v>#N/A</v>
      </c>
      <c r="M542" s="18" t="e">
        <f>VLOOKUP(A542,Revisión!$A$2:$L$703,11,FALSE)</f>
        <v>#N/A</v>
      </c>
      <c r="N542" s="30" t="str">
        <f>IF(E542="Coinciden",D542,IF(E542="Revisar",VLOOKUP(A542,Revisión!$A$2:$L$703,12,FALSE),""))</f>
        <v>Clematis pitcheri</v>
      </c>
    </row>
    <row r="543" spans="1:14" x14ac:dyDescent="0.3">
      <c r="A543" t="s">
        <v>1143</v>
      </c>
      <c r="B543" t="s">
        <v>1144</v>
      </c>
      <c r="D543" t="s">
        <v>1144</v>
      </c>
      <c r="E543" t="s">
        <v>8</v>
      </c>
      <c r="F543" t="s">
        <v>34</v>
      </c>
      <c r="H543" s="23" t="str">
        <f>VLOOKUP(A543,Revisión!$A$2:$L$703,6,FALSE)</f>
        <v>Clematis virginiana</v>
      </c>
      <c r="I543" s="4" t="str">
        <f>VLOOKUP(A543,Revisión!$A$2:$L$703,7,FALSE)</f>
        <v>-</v>
      </c>
      <c r="J543" s="4" t="str">
        <f>VLOOKUP(A543,Revisión!$A$2:$L$703,8,FALSE)</f>
        <v>Clematis virginiana</v>
      </c>
      <c r="K543" s="4" t="str">
        <f>VLOOKUP(A543,Revisión!$A$2:$L$703,9,FALSE)</f>
        <v>Clematis virginiana</v>
      </c>
      <c r="L543" s="4" t="str">
        <f>VLOOKUP(A543,Revisión!$A$2:$L$703,10,FALSE)</f>
        <v>Clematis virginiana</v>
      </c>
      <c r="M543" s="18">
        <f>VLOOKUP(A543,Revisión!$A$2:$L$703,11,FALSE)</f>
        <v>4</v>
      </c>
      <c r="N543" s="30" t="str">
        <f>IF(E543="Coinciden",D543,IF(E543="Revisar",VLOOKUP(A543,Revisión!$A$2:$L$703,12,FALSE),""))</f>
        <v>Clematis virginiana</v>
      </c>
    </row>
    <row r="544" spans="1:14" x14ac:dyDescent="0.3">
      <c r="A544" t="s">
        <v>1145</v>
      </c>
      <c r="B544" t="s">
        <v>1146</v>
      </c>
      <c r="C544" t="s">
        <v>1146</v>
      </c>
      <c r="D544" t="s">
        <v>1146</v>
      </c>
      <c r="E544" t="s">
        <v>18</v>
      </c>
      <c r="F544" t="s">
        <v>19</v>
      </c>
      <c r="H544" s="23" t="e">
        <f>VLOOKUP(A544,Revisión!$A$2:$L$703,6,FALSE)</f>
        <v>#N/A</v>
      </c>
      <c r="I544" s="4" t="e">
        <f>VLOOKUP(A544,Revisión!$A$2:$L$703,7,FALSE)</f>
        <v>#N/A</v>
      </c>
      <c r="J544" s="4" t="e">
        <f>VLOOKUP(A544,Revisión!$A$2:$L$703,8,FALSE)</f>
        <v>#N/A</v>
      </c>
      <c r="K544" s="4" t="e">
        <f>VLOOKUP(A544,Revisión!$A$2:$L$703,9,FALSE)</f>
        <v>#N/A</v>
      </c>
      <c r="L544" s="4" t="e">
        <f>VLOOKUP(A544,Revisión!$A$2:$L$703,10,FALSE)</f>
        <v>#N/A</v>
      </c>
      <c r="M544" s="18" t="e">
        <f>VLOOKUP(A544,Revisión!$A$2:$L$703,11,FALSE)</f>
        <v>#N/A</v>
      </c>
      <c r="N544" s="30" t="str">
        <f>IF(E544="Coinciden",D544,IF(E544="Revisar",VLOOKUP(A544,Revisión!$A$2:$L$703,12,FALSE),""))</f>
        <v>Clematis apiifolia</v>
      </c>
    </row>
    <row r="545" spans="1:14" x14ac:dyDescent="0.3">
      <c r="A545" t="s">
        <v>1147</v>
      </c>
      <c r="B545" t="s">
        <v>1148</v>
      </c>
      <c r="D545" t="s">
        <v>1148</v>
      </c>
      <c r="E545" t="s">
        <v>8</v>
      </c>
      <c r="F545" t="s">
        <v>34</v>
      </c>
      <c r="H545" s="23" t="str">
        <f>VLOOKUP(A545,Revisión!$A$2:$L$703,6,FALSE)</f>
        <v>Clematis grata</v>
      </c>
      <c r="I545" s="4" t="str">
        <f>VLOOKUP(A545,Revisión!$A$2:$L$703,7,FALSE)</f>
        <v>-</v>
      </c>
      <c r="J545" s="4" t="str">
        <f>VLOOKUP(A545,Revisión!$A$2:$L$703,8,FALSE)</f>
        <v>Clematis grata</v>
      </c>
      <c r="K545" s="4" t="str">
        <f>VLOOKUP(A545,Revisión!$A$2:$L$703,9,FALSE)</f>
        <v>Clematis grata</v>
      </c>
      <c r="L545" s="4" t="str">
        <f>VLOOKUP(A545,Revisión!$A$2:$L$703,10,FALSE)</f>
        <v>Clematis grata</v>
      </c>
      <c r="M545" s="18">
        <f>VLOOKUP(A545,Revisión!$A$2:$L$703,11,FALSE)</f>
        <v>4</v>
      </c>
      <c r="N545" s="30" t="str">
        <f>IF(E545="Coinciden",D545,IF(E545="Revisar",VLOOKUP(A545,Revisión!$A$2:$L$703,12,FALSE),""))</f>
        <v>Clematis grata</v>
      </c>
    </row>
    <row r="546" spans="1:14" x14ac:dyDescent="0.3">
      <c r="A546" t="s">
        <v>1149</v>
      </c>
      <c r="B546" t="s">
        <v>1150</v>
      </c>
      <c r="C546" t="s">
        <v>1150</v>
      </c>
      <c r="D546" t="s">
        <v>1150</v>
      </c>
      <c r="E546" t="s">
        <v>18</v>
      </c>
      <c r="F546" t="s">
        <v>19</v>
      </c>
      <c r="H546" s="23" t="e">
        <f>VLOOKUP(A546,Revisión!$A$2:$L$703,6,FALSE)</f>
        <v>#N/A</v>
      </c>
      <c r="I546" s="4" t="e">
        <f>VLOOKUP(A546,Revisión!$A$2:$L$703,7,FALSE)</f>
        <v>#N/A</v>
      </c>
      <c r="J546" s="4" t="e">
        <f>VLOOKUP(A546,Revisión!$A$2:$L$703,8,FALSE)</f>
        <v>#N/A</v>
      </c>
      <c r="K546" s="4" t="e">
        <f>VLOOKUP(A546,Revisión!$A$2:$L$703,9,FALSE)</f>
        <v>#N/A</v>
      </c>
      <c r="L546" s="4" t="e">
        <f>VLOOKUP(A546,Revisión!$A$2:$L$703,10,FALSE)</f>
        <v>#N/A</v>
      </c>
      <c r="M546" s="18" t="e">
        <f>VLOOKUP(A546,Revisión!$A$2:$L$703,11,FALSE)</f>
        <v>#N/A</v>
      </c>
      <c r="N546" s="30" t="str">
        <f>IF(E546="Coinciden",D546,IF(E546="Revisar",VLOOKUP(A546,Revisión!$A$2:$L$703,12,FALSE),""))</f>
        <v>Clematis vitalba</v>
      </c>
    </row>
    <row r="547" spans="1:14" x14ac:dyDescent="0.3">
      <c r="A547" t="s">
        <v>1151</v>
      </c>
      <c r="B547" t="s">
        <v>1152</v>
      </c>
      <c r="C547" t="s">
        <v>1152</v>
      </c>
      <c r="D547" t="s">
        <v>1153</v>
      </c>
      <c r="E547" t="s">
        <v>8</v>
      </c>
      <c r="F547" t="s">
        <v>15</v>
      </c>
      <c r="H547" s="23" t="str">
        <f>VLOOKUP(A547,Revisión!$A$2:$L$703,6,FALSE)</f>
        <v>Rhodiola rhodantha</v>
      </c>
      <c r="I547" s="4" t="str">
        <f>VLOOKUP(A547,Revisión!$A$2:$L$703,7,FALSE)</f>
        <v>-</v>
      </c>
      <c r="J547" s="4" t="str">
        <f>VLOOKUP(A547,Revisión!$A$2:$L$703,8,FALSE)</f>
        <v>Rhodiola rhodantha</v>
      </c>
      <c r="K547" s="4" t="str">
        <f>VLOOKUP(A547,Revisión!$A$2:$L$703,9,FALSE)</f>
        <v>Rhodiola rhodantha</v>
      </c>
      <c r="L547" s="4" t="str">
        <f>VLOOKUP(A547,Revisión!$A$2:$L$703,10,FALSE)</f>
        <v>Rhodiola rhodantha</v>
      </c>
      <c r="M547" s="18">
        <f>VLOOKUP(A547,Revisión!$A$2:$L$703,11,FALSE)</f>
        <v>4</v>
      </c>
      <c r="N547" s="30" t="str">
        <f>IF(E547="Coinciden",D547,IF(E547="Revisar",VLOOKUP(A547,Revisión!$A$2:$L$703,12,FALSE),""))</f>
        <v>Rhodiola rhodantha</v>
      </c>
    </row>
    <row r="548" spans="1:14" x14ac:dyDescent="0.3">
      <c r="A548" t="s">
        <v>1154</v>
      </c>
      <c r="D548" t="s">
        <v>1155</v>
      </c>
      <c r="E548" t="s">
        <v>8</v>
      </c>
      <c r="F548" t="s">
        <v>9</v>
      </c>
      <c r="H548" s="23" t="str">
        <f>VLOOKUP(A548,Revisión!$A$2:$L$703,6,FALSE)</f>
        <v>-</v>
      </c>
      <c r="I548" s="4" t="str">
        <f>VLOOKUP(A548,Revisión!$A$2:$L$703,7,FALSE)</f>
        <v>-</v>
      </c>
      <c r="J548" s="4" t="str">
        <f>VLOOKUP(A548,Revisión!$A$2:$L$703,8,FALSE)</f>
        <v>Cleomella serrulata</v>
      </c>
      <c r="K548" s="4" t="str">
        <f>VLOOKUP(A548,Revisión!$A$2:$L$703,9,FALSE)</f>
        <v>Cleomella serrulata</v>
      </c>
      <c r="L548" s="4" t="str">
        <f>VLOOKUP(A548,Revisión!$A$2:$L$703,10,FALSE)</f>
        <v>Cleomella serrulata</v>
      </c>
      <c r="M548" s="18">
        <f>VLOOKUP(A548,Revisión!$A$2:$L$703,11,FALSE)</f>
        <v>3</v>
      </c>
      <c r="N548" s="30" t="str">
        <f>IF(E548="Coinciden",D548,IF(E548="Revisar",VLOOKUP(A548,Revisión!$A$2:$L$703,12,FALSE),""))</f>
        <v>Cleomella serrulata</v>
      </c>
    </row>
    <row r="549" spans="1:14" x14ac:dyDescent="0.3">
      <c r="A549" t="s">
        <v>1156</v>
      </c>
      <c r="B549" t="s">
        <v>1157</v>
      </c>
      <c r="C549" t="s">
        <v>1157</v>
      </c>
      <c r="D549" t="s">
        <v>1157</v>
      </c>
      <c r="E549" t="s">
        <v>18</v>
      </c>
      <c r="F549" t="s">
        <v>19</v>
      </c>
      <c r="H549" s="23" t="e">
        <f>VLOOKUP(A549,Revisión!$A$2:$L$703,6,FALSE)</f>
        <v>#N/A</v>
      </c>
      <c r="I549" s="4" t="e">
        <f>VLOOKUP(A549,Revisión!$A$2:$L$703,7,FALSE)</f>
        <v>#N/A</v>
      </c>
      <c r="J549" s="4" t="e">
        <f>VLOOKUP(A549,Revisión!$A$2:$L$703,8,FALSE)</f>
        <v>#N/A</v>
      </c>
      <c r="K549" s="4" t="e">
        <f>VLOOKUP(A549,Revisión!$A$2:$L$703,9,FALSE)</f>
        <v>#N/A</v>
      </c>
      <c r="L549" s="4" t="e">
        <f>VLOOKUP(A549,Revisión!$A$2:$L$703,10,FALSE)</f>
        <v>#N/A</v>
      </c>
      <c r="M549" s="18" t="e">
        <f>VLOOKUP(A549,Revisión!$A$2:$L$703,11,FALSE)</f>
        <v>#N/A</v>
      </c>
      <c r="N549" s="30" t="str">
        <f>IF(E549="Coinciden",D549,IF(E549="Revisar",VLOOKUP(A549,Revisión!$A$2:$L$703,12,FALSE),""))</f>
        <v>Clerodendrum trichotomum</v>
      </c>
    </row>
    <row r="550" spans="1:14" x14ac:dyDescent="0.3">
      <c r="A550" t="s">
        <v>1158</v>
      </c>
      <c r="D550" t="s">
        <v>1159</v>
      </c>
      <c r="E550" t="s">
        <v>8</v>
      </c>
      <c r="F550" t="s">
        <v>9</v>
      </c>
      <c r="H550" s="23" t="str">
        <f>VLOOKUP(A550,Revisión!$A$2:$L$703,6,FALSE)</f>
        <v>-</v>
      </c>
      <c r="I550" s="4" t="str">
        <f>VLOOKUP(A550,Revisión!$A$2:$L$703,7,FALSE)</f>
        <v>-</v>
      </c>
      <c r="J550" s="4" t="str">
        <f>VLOOKUP(A550,Revisión!$A$2:$L$703,8,FALSE)</f>
        <v>Volkameria mollis</v>
      </c>
      <c r="K550" s="4" t="str">
        <f>VLOOKUP(A550,Revisión!$A$2:$L$703,9,FALSE)</f>
        <v>Volkameria mollis</v>
      </c>
      <c r="L550" s="4" t="str">
        <f>VLOOKUP(A550,Revisión!$A$2:$L$703,10,FALSE)</f>
        <v>Volkameria mollis</v>
      </c>
      <c r="M550" s="18">
        <f>VLOOKUP(A550,Revisión!$A$2:$L$703,11,FALSE)</f>
        <v>3</v>
      </c>
      <c r="N550" s="30" t="str">
        <f>IF(E550="Coinciden",D550,IF(E550="Revisar",VLOOKUP(A550,Revisión!$A$2:$L$703,12,FALSE),""))</f>
        <v>Volkameria mollis</v>
      </c>
    </row>
    <row r="551" spans="1:14" x14ac:dyDescent="0.3">
      <c r="A551" t="s">
        <v>1160</v>
      </c>
      <c r="D551" t="s">
        <v>1161</v>
      </c>
      <c r="E551" t="s">
        <v>8</v>
      </c>
      <c r="F551" t="s">
        <v>9</v>
      </c>
      <c r="H551" s="23" t="str">
        <f>VLOOKUP(A551,Revisión!$A$2:$L$703,6,FALSE)</f>
        <v>Volkameria mollis</v>
      </c>
      <c r="I551" s="4" t="str">
        <f>VLOOKUP(A551,Revisión!$A$2:$L$703,7,FALSE)</f>
        <v>-</v>
      </c>
      <c r="J551" s="4" t="str">
        <f>VLOOKUP(A551,Revisión!$A$2:$L$703,8,FALSE)</f>
        <v>Volkameria mollis</v>
      </c>
      <c r="K551" s="4" t="str">
        <f>VLOOKUP(A551,Revisión!$A$2:$L$703,9,FALSE)</f>
        <v>Volkameria mollis</v>
      </c>
      <c r="L551" s="4" t="str">
        <f>VLOOKUP(A551,Revisión!$A$2:$L$703,10,FALSE)</f>
        <v>Volkameria mollis</v>
      </c>
      <c r="M551" s="18">
        <f>VLOOKUP(A551,Revisión!$A$2:$L$703,11,FALSE)</f>
        <v>4</v>
      </c>
      <c r="N551" s="30" t="str">
        <f>IF(E551="Coinciden",D551,IF(E551="Revisar",VLOOKUP(A551,Revisión!$A$2:$L$703,12,FALSE),""))</f>
        <v>Volkameria mollis</v>
      </c>
    </row>
    <row r="552" spans="1:14" x14ac:dyDescent="0.3">
      <c r="A552" t="s">
        <v>1162</v>
      </c>
      <c r="B552" t="s">
        <v>1163</v>
      </c>
      <c r="C552" t="s">
        <v>1163</v>
      </c>
      <c r="D552" t="s">
        <v>1163</v>
      </c>
      <c r="E552" t="s">
        <v>18</v>
      </c>
      <c r="F552" t="s">
        <v>19</v>
      </c>
      <c r="H552" s="23" t="e">
        <f>VLOOKUP(A552,Revisión!$A$2:$L$703,6,FALSE)</f>
        <v>#N/A</v>
      </c>
      <c r="I552" s="4" t="e">
        <f>VLOOKUP(A552,Revisión!$A$2:$L$703,7,FALSE)</f>
        <v>#N/A</v>
      </c>
      <c r="J552" s="4" t="e">
        <f>VLOOKUP(A552,Revisión!$A$2:$L$703,8,FALSE)</f>
        <v>#N/A</v>
      </c>
      <c r="K552" s="4" t="e">
        <f>VLOOKUP(A552,Revisión!$A$2:$L$703,9,FALSE)</f>
        <v>#N/A</v>
      </c>
      <c r="L552" s="4" t="e">
        <f>VLOOKUP(A552,Revisión!$A$2:$L$703,10,FALSE)</f>
        <v>#N/A</v>
      </c>
      <c r="M552" s="18" t="e">
        <f>VLOOKUP(A552,Revisión!$A$2:$L$703,11,FALSE)</f>
        <v>#N/A</v>
      </c>
      <c r="N552" s="30" t="str">
        <f>IF(E552="Coinciden",D552,IF(E552="Revisar",VLOOKUP(A552,Revisión!$A$2:$L$703,12,FALSE),""))</f>
        <v>Clethra barbinervis</v>
      </c>
    </row>
    <row r="553" spans="1:14" x14ac:dyDescent="0.3">
      <c r="A553" t="s">
        <v>1164</v>
      </c>
      <c r="B553" t="s">
        <v>1165</v>
      </c>
      <c r="C553" t="s">
        <v>1165</v>
      </c>
      <c r="D553" t="s">
        <v>1165</v>
      </c>
      <c r="E553" t="s">
        <v>18</v>
      </c>
      <c r="F553" t="s">
        <v>19</v>
      </c>
      <c r="H553" s="23" t="e">
        <f>VLOOKUP(A553,Revisión!$A$2:$L$703,6,FALSE)</f>
        <v>#N/A</v>
      </c>
      <c r="I553" s="4" t="e">
        <f>VLOOKUP(A553,Revisión!$A$2:$L$703,7,FALSE)</f>
        <v>#N/A</v>
      </c>
      <c r="J553" s="4" t="e">
        <f>VLOOKUP(A553,Revisión!$A$2:$L$703,8,FALSE)</f>
        <v>#N/A</v>
      </c>
      <c r="K553" s="4" t="e">
        <f>VLOOKUP(A553,Revisión!$A$2:$L$703,9,FALSE)</f>
        <v>#N/A</v>
      </c>
      <c r="L553" s="4" t="e">
        <f>VLOOKUP(A553,Revisión!$A$2:$L$703,10,FALSE)</f>
        <v>#N/A</v>
      </c>
      <c r="M553" s="18" t="e">
        <f>VLOOKUP(A553,Revisión!$A$2:$L$703,11,FALSE)</f>
        <v>#N/A</v>
      </c>
      <c r="N553" s="30" t="str">
        <f>IF(E553="Coinciden",D553,IF(E553="Revisar",VLOOKUP(A553,Revisión!$A$2:$L$703,12,FALSE),""))</f>
        <v>Miconia dependens</v>
      </c>
    </row>
    <row r="554" spans="1:14" x14ac:dyDescent="0.3">
      <c r="A554" t="s">
        <v>1166</v>
      </c>
      <c r="B554" t="s">
        <v>1167</v>
      </c>
      <c r="C554" t="s">
        <v>1167</v>
      </c>
      <c r="D554" t="s">
        <v>1167</v>
      </c>
      <c r="E554" t="s">
        <v>18</v>
      </c>
      <c r="F554" t="s">
        <v>19</v>
      </c>
      <c r="H554" s="23" t="e">
        <f>VLOOKUP(A554,Revisión!$A$2:$L$703,6,FALSE)</f>
        <v>#N/A</v>
      </c>
      <c r="I554" s="4" t="e">
        <f>VLOOKUP(A554,Revisión!$A$2:$L$703,7,FALSE)</f>
        <v>#N/A</v>
      </c>
      <c r="J554" s="4" t="e">
        <f>VLOOKUP(A554,Revisión!$A$2:$L$703,8,FALSE)</f>
        <v>#N/A</v>
      </c>
      <c r="K554" s="4" t="e">
        <f>VLOOKUP(A554,Revisión!$A$2:$L$703,9,FALSE)</f>
        <v>#N/A</v>
      </c>
      <c r="L554" s="4" t="e">
        <f>VLOOKUP(A554,Revisión!$A$2:$L$703,10,FALSE)</f>
        <v>#N/A</v>
      </c>
      <c r="M554" s="18" t="e">
        <f>VLOOKUP(A554,Revisión!$A$2:$L$703,11,FALSE)</f>
        <v>#N/A</v>
      </c>
      <c r="N554" s="30" t="str">
        <f>IF(E554="Coinciden",D554,IF(E554="Revisar",VLOOKUP(A554,Revisión!$A$2:$L$703,12,FALSE),""))</f>
        <v>Clinopodium micranthum</v>
      </c>
    </row>
    <row r="555" spans="1:14" x14ac:dyDescent="0.3">
      <c r="A555" t="s">
        <v>1168</v>
      </c>
      <c r="B555" t="s">
        <v>1169</v>
      </c>
      <c r="C555" t="s">
        <v>1169</v>
      </c>
      <c r="D555" t="s">
        <v>1170</v>
      </c>
      <c r="E555" t="s">
        <v>8</v>
      </c>
      <c r="F555" t="s">
        <v>15</v>
      </c>
      <c r="H555" s="23" t="str">
        <f>VLOOKUP(A555,Revisión!$A$2:$L$703,6,FALSE)</f>
        <v>Clinopodium chinense subsp. grandiflorum</v>
      </c>
      <c r="I555" s="4" t="str">
        <f>VLOOKUP(A555,Revisión!$A$2:$L$703,7,FALSE)</f>
        <v>-</v>
      </c>
      <c r="J555" s="4" t="str">
        <f>VLOOKUP(A555,Revisión!$A$2:$L$703,8,FALSE)</f>
        <v>Clinopodium chinense subsp. grandiflorum</v>
      </c>
      <c r="K555" s="4" t="str">
        <f>VLOOKUP(A555,Revisión!$A$2:$L$703,9,FALSE)</f>
        <v>Clinopodium chinense subsp. grandiflorum</v>
      </c>
      <c r="L555" s="4" t="str">
        <f>VLOOKUP(A555,Revisión!$A$2:$L$703,10,FALSE)</f>
        <v>Clinopodium chinense subsp. grandiflorum</v>
      </c>
      <c r="M555" s="18">
        <f>VLOOKUP(A555,Revisión!$A$2:$L$703,11,FALSE)</f>
        <v>4</v>
      </c>
      <c r="N555" s="30" t="str">
        <f>IF(E555="Coinciden",D555,IF(E555="Revisar",VLOOKUP(A555,Revisión!$A$2:$L$703,12,FALSE),""))</f>
        <v>Clinopodium chinense subsp. grandiflorum</v>
      </c>
    </row>
    <row r="556" spans="1:14" x14ac:dyDescent="0.3">
      <c r="A556" t="s">
        <v>1171</v>
      </c>
      <c r="B556" t="s">
        <v>1172</v>
      </c>
      <c r="C556" t="s">
        <v>1172</v>
      </c>
      <c r="D556" t="s">
        <v>1172</v>
      </c>
      <c r="E556" t="s">
        <v>18</v>
      </c>
      <c r="F556" t="s">
        <v>19</v>
      </c>
      <c r="H556" s="23" t="e">
        <f>VLOOKUP(A556,Revisión!$A$2:$L$703,6,FALSE)</f>
        <v>#N/A</v>
      </c>
      <c r="I556" s="4" t="e">
        <f>VLOOKUP(A556,Revisión!$A$2:$L$703,7,FALSE)</f>
        <v>#N/A</v>
      </c>
      <c r="J556" s="4" t="e">
        <f>VLOOKUP(A556,Revisión!$A$2:$L$703,8,FALSE)</f>
        <v>#N/A</v>
      </c>
      <c r="K556" s="4" t="e">
        <f>VLOOKUP(A556,Revisión!$A$2:$L$703,9,FALSE)</f>
        <v>#N/A</v>
      </c>
      <c r="L556" s="4" t="e">
        <f>VLOOKUP(A556,Revisión!$A$2:$L$703,10,FALSE)</f>
        <v>#N/A</v>
      </c>
      <c r="M556" s="18" t="e">
        <f>VLOOKUP(A556,Revisión!$A$2:$L$703,11,FALSE)</f>
        <v>#N/A</v>
      </c>
      <c r="N556" s="30" t="str">
        <f>IF(E556="Coinciden",D556,IF(E556="Revisar",VLOOKUP(A556,Revisión!$A$2:$L$703,12,FALSE),""))</f>
        <v>Clintonia borealis</v>
      </c>
    </row>
    <row r="557" spans="1:14" x14ac:dyDescent="0.3">
      <c r="A557" t="s">
        <v>1173</v>
      </c>
      <c r="B557" t="s">
        <v>1174</v>
      </c>
      <c r="C557" t="s">
        <v>1174</v>
      </c>
      <c r="D557" t="s">
        <v>1174</v>
      </c>
      <c r="E557" t="s">
        <v>18</v>
      </c>
      <c r="F557" t="s">
        <v>19</v>
      </c>
      <c r="H557" s="23" t="e">
        <f>VLOOKUP(A557,Revisión!$A$2:$L$703,6,FALSE)</f>
        <v>#N/A</v>
      </c>
      <c r="I557" s="4" t="e">
        <f>VLOOKUP(A557,Revisión!$A$2:$L$703,7,FALSE)</f>
        <v>#N/A</v>
      </c>
      <c r="J557" s="4" t="e">
        <f>VLOOKUP(A557,Revisión!$A$2:$L$703,8,FALSE)</f>
        <v>#N/A</v>
      </c>
      <c r="K557" s="4" t="e">
        <f>VLOOKUP(A557,Revisión!$A$2:$L$703,9,FALSE)</f>
        <v>#N/A</v>
      </c>
      <c r="L557" s="4" t="e">
        <f>VLOOKUP(A557,Revisión!$A$2:$L$703,10,FALSE)</f>
        <v>#N/A</v>
      </c>
      <c r="M557" s="18" t="e">
        <f>VLOOKUP(A557,Revisión!$A$2:$L$703,11,FALSE)</f>
        <v>#N/A</v>
      </c>
      <c r="N557" s="30" t="str">
        <f>IF(E557="Coinciden",D557,IF(E557="Revisar",VLOOKUP(A557,Revisión!$A$2:$L$703,12,FALSE),""))</f>
        <v>Clusia grandiflora</v>
      </c>
    </row>
    <row r="558" spans="1:14" x14ac:dyDescent="0.3">
      <c r="A558" t="s">
        <v>1175</v>
      </c>
      <c r="B558" t="s">
        <v>1176</v>
      </c>
      <c r="C558" t="s">
        <v>1176</v>
      </c>
      <c r="D558" t="s">
        <v>1176</v>
      </c>
      <c r="E558" t="s">
        <v>18</v>
      </c>
      <c r="F558" t="s">
        <v>19</v>
      </c>
      <c r="H558" s="23" t="e">
        <f>VLOOKUP(A558,Revisión!$A$2:$L$703,6,FALSE)</f>
        <v>#N/A</v>
      </c>
      <c r="I558" s="4" t="e">
        <f>VLOOKUP(A558,Revisión!$A$2:$L$703,7,FALSE)</f>
        <v>#N/A</v>
      </c>
      <c r="J558" s="4" t="e">
        <f>VLOOKUP(A558,Revisión!$A$2:$L$703,8,FALSE)</f>
        <v>#N/A</v>
      </c>
      <c r="K558" s="4" t="e">
        <f>VLOOKUP(A558,Revisión!$A$2:$L$703,9,FALSE)</f>
        <v>#N/A</v>
      </c>
      <c r="L558" s="4" t="e">
        <f>VLOOKUP(A558,Revisión!$A$2:$L$703,10,FALSE)</f>
        <v>#N/A</v>
      </c>
      <c r="M558" s="18" t="e">
        <f>VLOOKUP(A558,Revisión!$A$2:$L$703,11,FALSE)</f>
        <v>#N/A</v>
      </c>
      <c r="N558" s="30" t="str">
        <f>IF(E558="Coinciden",D558,IF(E558="Revisar",VLOOKUP(A558,Revisión!$A$2:$L$703,12,FALSE),""))</f>
        <v>Clusia pusilla</v>
      </c>
    </row>
    <row r="559" spans="1:14" x14ac:dyDescent="0.3">
      <c r="A559" t="s">
        <v>1177</v>
      </c>
      <c r="E559" t="s">
        <v>8</v>
      </c>
      <c r="F559" t="s">
        <v>11</v>
      </c>
      <c r="H559" s="23" t="e">
        <f>VLOOKUP(A559,Revisión!$A$2:$L$703,6,FALSE)</f>
        <v>#N/A</v>
      </c>
      <c r="I559" s="4" t="e">
        <f>VLOOKUP(A559,Revisión!$A$2:$L$703,7,FALSE)</f>
        <v>#N/A</v>
      </c>
      <c r="J559" s="4" t="e">
        <f>VLOOKUP(A559,Revisión!$A$2:$L$703,8,FALSE)</f>
        <v>#N/A</v>
      </c>
      <c r="K559" s="4" t="e">
        <f>VLOOKUP(A559,Revisión!$A$2:$L$703,9,FALSE)</f>
        <v>#N/A</v>
      </c>
      <c r="L559" s="4" t="e">
        <f>VLOOKUP(A559,Revisión!$A$2:$L$703,10,FALSE)</f>
        <v>#N/A</v>
      </c>
      <c r="M559" s="18" t="e">
        <f>VLOOKUP(A559,Revisión!$A$2:$L$703,11,FALSE)</f>
        <v>#N/A</v>
      </c>
      <c r="N559" s="30" t="e">
        <f>IF(E559="Coinciden",D559,IF(E559="Revisar",VLOOKUP(A559,Revisión!$A$2:$L$703,12,FALSE),""))</f>
        <v>#N/A</v>
      </c>
    </row>
    <row r="560" spans="1:14" x14ac:dyDescent="0.3">
      <c r="A560" t="s">
        <v>1178</v>
      </c>
      <c r="B560" t="s">
        <v>1179</v>
      </c>
      <c r="C560" t="s">
        <v>1179</v>
      </c>
      <c r="D560" t="s">
        <v>1179</v>
      </c>
      <c r="E560" t="s">
        <v>18</v>
      </c>
      <c r="F560" t="s">
        <v>19</v>
      </c>
      <c r="H560" s="23" t="e">
        <f>VLOOKUP(A560,Revisión!$A$2:$L$703,6,FALSE)</f>
        <v>#N/A</v>
      </c>
      <c r="I560" s="4" t="e">
        <f>VLOOKUP(A560,Revisión!$A$2:$L$703,7,FALSE)</f>
        <v>#N/A</v>
      </c>
      <c r="J560" s="4" t="e">
        <f>VLOOKUP(A560,Revisión!$A$2:$L$703,8,FALSE)</f>
        <v>#N/A</v>
      </c>
      <c r="K560" s="4" t="e">
        <f>VLOOKUP(A560,Revisión!$A$2:$L$703,9,FALSE)</f>
        <v>#N/A</v>
      </c>
      <c r="L560" s="4" t="e">
        <f>VLOOKUP(A560,Revisión!$A$2:$L$703,10,FALSE)</f>
        <v>#N/A</v>
      </c>
      <c r="M560" s="18" t="e">
        <f>VLOOKUP(A560,Revisión!$A$2:$L$703,11,FALSE)</f>
        <v>#N/A</v>
      </c>
      <c r="N560" s="30" t="str">
        <f>IF(E560="Coinciden",D560,IF(E560="Revisar",VLOOKUP(A560,Revisión!$A$2:$L$703,12,FALSE),""))</f>
        <v>Cochlearia groenlandica</v>
      </c>
    </row>
    <row r="561" spans="1:14" x14ac:dyDescent="0.3">
      <c r="A561" t="s">
        <v>1180</v>
      </c>
      <c r="B561" t="s">
        <v>1181</v>
      </c>
      <c r="C561" t="s">
        <v>1181</v>
      </c>
      <c r="D561" t="s">
        <v>1181</v>
      </c>
      <c r="E561" t="s">
        <v>18</v>
      </c>
      <c r="F561" t="s">
        <v>19</v>
      </c>
      <c r="H561" s="23" t="e">
        <f>VLOOKUP(A561,Revisión!$A$2:$L$703,6,FALSE)</f>
        <v>#N/A</v>
      </c>
      <c r="I561" s="4" t="e">
        <f>VLOOKUP(A561,Revisión!$A$2:$L$703,7,FALSE)</f>
        <v>#N/A</v>
      </c>
      <c r="J561" s="4" t="e">
        <f>VLOOKUP(A561,Revisión!$A$2:$L$703,8,FALSE)</f>
        <v>#N/A</v>
      </c>
      <c r="K561" s="4" t="e">
        <f>VLOOKUP(A561,Revisión!$A$2:$L$703,9,FALSE)</f>
        <v>#N/A</v>
      </c>
      <c r="L561" s="4" t="e">
        <f>VLOOKUP(A561,Revisión!$A$2:$L$703,10,FALSE)</f>
        <v>#N/A</v>
      </c>
      <c r="M561" s="18" t="e">
        <f>VLOOKUP(A561,Revisión!$A$2:$L$703,11,FALSE)</f>
        <v>#N/A</v>
      </c>
      <c r="N561" s="30" t="str">
        <f>IF(E561="Coinciden",D561,IF(E561="Revisar",VLOOKUP(A561,Revisión!$A$2:$L$703,12,FALSE),""))</f>
        <v>Codonopsis lanceolata</v>
      </c>
    </row>
    <row r="562" spans="1:14" x14ac:dyDescent="0.3">
      <c r="A562" t="s">
        <v>1182</v>
      </c>
      <c r="B562" t="s">
        <v>1183</v>
      </c>
      <c r="C562" t="s">
        <v>1183</v>
      </c>
      <c r="D562" t="s">
        <v>1183</v>
      </c>
      <c r="E562" t="s">
        <v>18</v>
      </c>
      <c r="F562" t="s">
        <v>19</v>
      </c>
      <c r="H562" s="23" t="e">
        <f>VLOOKUP(A562,Revisión!$A$2:$L$703,6,FALSE)</f>
        <v>#N/A</v>
      </c>
      <c r="I562" s="4" t="e">
        <f>VLOOKUP(A562,Revisión!$A$2:$L$703,7,FALSE)</f>
        <v>#N/A</v>
      </c>
      <c r="J562" s="4" t="e">
        <f>VLOOKUP(A562,Revisión!$A$2:$L$703,8,FALSE)</f>
        <v>#N/A</v>
      </c>
      <c r="K562" s="4" t="e">
        <f>VLOOKUP(A562,Revisión!$A$2:$L$703,9,FALSE)</f>
        <v>#N/A</v>
      </c>
      <c r="L562" s="4" t="e">
        <f>VLOOKUP(A562,Revisión!$A$2:$L$703,10,FALSE)</f>
        <v>#N/A</v>
      </c>
      <c r="M562" s="18" t="e">
        <f>VLOOKUP(A562,Revisión!$A$2:$L$703,11,FALSE)</f>
        <v>#N/A</v>
      </c>
      <c r="N562" s="30" t="str">
        <f>IF(E562="Coinciden",D562,IF(E562="Revisar",VLOOKUP(A562,Revisión!$A$2:$L$703,12,FALSE),""))</f>
        <v>Coffea arabica</v>
      </c>
    </row>
    <row r="563" spans="1:14" x14ac:dyDescent="0.3">
      <c r="A563" t="s">
        <v>1184</v>
      </c>
      <c r="B563" t="s">
        <v>1185</v>
      </c>
      <c r="C563" t="s">
        <v>1185</v>
      </c>
      <c r="D563" t="s">
        <v>1185</v>
      </c>
      <c r="E563" t="s">
        <v>18</v>
      </c>
      <c r="F563" t="s">
        <v>19</v>
      </c>
      <c r="H563" s="23" t="e">
        <f>VLOOKUP(A563,Revisión!$A$2:$L$703,6,FALSE)</f>
        <v>#N/A</v>
      </c>
      <c r="I563" s="4" t="e">
        <f>VLOOKUP(A563,Revisión!$A$2:$L$703,7,FALSE)</f>
        <v>#N/A</v>
      </c>
      <c r="J563" s="4" t="e">
        <f>VLOOKUP(A563,Revisión!$A$2:$L$703,8,FALSE)</f>
        <v>#N/A</v>
      </c>
      <c r="K563" s="4" t="e">
        <f>VLOOKUP(A563,Revisión!$A$2:$L$703,9,FALSE)</f>
        <v>#N/A</v>
      </c>
      <c r="L563" s="4" t="e">
        <f>VLOOKUP(A563,Revisión!$A$2:$L$703,10,FALSE)</f>
        <v>#N/A</v>
      </c>
      <c r="M563" s="18" t="e">
        <f>VLOOKUP(A563,Revisión!$A$2:$L$703,11,FALSE)</f>
        <v>#N/A</v>
      </c>
      <c r="N563" s="30" t="str">
        <f>IF(E563="Coinciden",D563,IF(E563="Revisar",VLOOKUP(A563,Revisión!$A$2:$L$703,12,FALSE),""))</f>
        <v>Coffea macrocarpa</v>
      </c>
    </row>
    <row r="564" spans="1:14" x14ac:dyDescent="0.3">
      <c r="A564" t="s">
        <v>1186</v>
      </c>
      <c r="B564" t="s">
        <v>1187</v>
      </c>
      <c r="C564" t="s">
        <v>1187</v>
      </c>
      <c r="D564" t="s">
        <v>1187</v>
      </c>
      <c r="E564" t="s">
        <v>18</v>
      </c>
      <c r="F564" t="s">
        <v>19</v>
      </c>
      <c r="H564" s="23" t="e">
        <f>VLOOKUP(A564,Revisión!$A$2:$L$703,6,FALSE)</f>
        <v>#N/A</v>
      </c>
      <c r="I564" s="4" t="e">
        <f>VLOOKUP(A564,Revisión!$A$2:$L$703,7,FALSE)</f>
        <v>#N/A</v>
      </c>
      <c r="J564" s="4" t="e">
        <f>VLOOKUP(A564,Revisión!$A$2:$L$703,8,FALSE)</f>
        <v>#N/A</v>
      </c>
      <c r="K564" s="4" t="e">
        <f>VLOOKUP(A564,Revisión!$A$2:$L$703,9,FALSE)</f>
        <v>#N/A</v>
      </c>
      <c r="L564" s="4" t="e">
        <f>VLOOKUP(A564,Revisión!$A$2:$L$703,10,FALSE)</f>
        <v>#N/A</v>
      </c>
      <c r="M564" s="18" t="e">
        <f>VLOOKUP(A564,Revisión!$A$2:$L$703,11,FALSE)</f>
        <v>#N/A</v>
      </c>
      <c r="N564" s="30" t="str">
        <f>IF(E564="Coinciden",D564,IF(E564="Revisar",VLOOKUP(A564,Revisión!$A$2:$L$703,12,FALSE),""))</f>
        <v>Coffea mauritiana</v>
      </c>
    </row>
    <row r="565" spans="1:14" x14ac:dyDescent="0.3">
      <c r="A565" t="s">
        <v>1188</v>
      </c>
      <c r="B565" t="s">
        <v>1189</v>
      </c>
      <c r="C565" t="s">
        <v>1189</v>
      </c>
      <c r="D565" t="s">
        <v>1189</v>
      </c>
      <c r="E565" t="s">
        <v>18</v>
      </c>
      <c r="F565" t="s">
        <v>19</v>
      </c>
      <c r="H565" s="23" t="e">
        <f>VLOOKUP(A565,Revisión!$A$2:$L$703,6,FALSE)</f>
        <v>#N/A</v>
      </c>
      <c r="I565" s="4" t="e">
        <f>VLOOKUP(A565,Revisión!$A$2:$L$703,7,FALSE)</f>
        <v>#N/A</v>
      </c>
      <c r="J565" s="4" t="e">
        <f>VLOOKUP(A565,Revisión!$A$2:$L$703,8,FALSE)</f>
        <v>#N/A</v>
      </c>
      <c r="K565" s="4" t="e">
        <f>VLOOKUP(A565,Revisión!$A$2:$L$703,9,FALSE)</f>
        <v>#N/A</v>
      </c>
      <c r="L565" s="4" t="e">
        <f>VLOOKUP(A565,Revisión!$A$2:$L$703,10,FALSE)</f>
        <v>#N/A</v>
      </c>
      <c r="M565" s="18" t="e">
        <f>VLOOKUP(A565,Revisión!$A$2:$L$703,11,FALSE)</f>
        <v>#N/A</v>
      </c>
      <c r="N565" s="30" t="str">
        <f>IF(E565="Coinciden",D565,IF(E565="Revisar",VLOOKUP(A565,Revisión!$A$2:$L$703,12,FALSE),""))</f>
        <v>Colea seychellarum</v>
      </c>
    </row>
    <row r="566" spans="1:14" x14ac:dyDescent="0.3">
      <c r="A566" t="s">
        <v>1190</v>
      </c>
      <c r="B566" t="s">
        <v>1191</v>
      </c>
      <c r="C566" t="s">
        <v>1191</v>
      </c>
      <c r="D566" t="s">
        <v>1191</v>
      </c>
      <c r="E566" t="s">
        <v>18</v>
      </c>
      <c r="F566" t="s">
        <v>19</v>
      </c>
      <c r="H566" s="23" t="e">
        <f>VLOOKUP(A566,Revisión!$A$2:$L$703,6,FALSE)</f>
        <v>#N/A</v>
      </c>
      <c r="I566" s="4" t="e">
        <f>VLOOKUP(A566,Revisión!$A$2:$L$703,7,FALSE)</f>
        <v>#N/A</v>
      </c>
      <c r="J566" s="4" t="e">
        <f>VLOOKUP(A566,Revisión!$A$2:$L$703,8,FALSE)</f>
        <v>#N/A</v>
      </c>
      <c r="K566" s="4" t="e">
        <f>VLOOKUP(A566,Revisión!$A$2:$L$703,9,FALSE)</f>
        <v>#N/A</v>
      </c>
      <c r="L566" s="4" t="e">
        <f>VLOOKUP(A566,Revisión!$A$2:$L$703,10,FALSE)</f>
        <v>#N/A</v>
      </c>
      <c r="M566" s="18" t="e">
        <f>VLOOKUP(A566,Revisión!$A$2:$L$703,11,FALSE)</f>
        <v>#N/A</v>
      </c>
      <c r="N566" s="30" t="str">
        <f>IF(E566="Coinciden",D566,IF(E566="Revisar",VLOOKUP(A566,Revisión!$A$2:$L$703,12,FALSE),""))</f>
        <v>Colletia paradoxa</v>
      </c>
    </row>
    <row r="567" spans="1:14" x14ac:dyDescent="0.3">
      <c r="A567" t="s">
        <v>1192</v>
      </c>
      <c r="B567" t="s">
        <v>1193</v>
      </c>
      <c r="C567" t="s">
        <v>1193</v>
      </c>
      <c r="D567" t="s">
        <v>1193</v>
      </c>
      <c r="E567" t="s">
        <v>18</v>
      </c>
      <c r="F567" t="s">
        <v>19</v>
      </c>
      <c r="H567" s="23" t="e">
        <f>VLOOKUP(A567,Revisión!$A$2:$L$703,6,FALSE)</f>
        <v>#N/A</v>
      </c>
      <c r="I567" s="4" t="e">
        <f>VLOOKUP(A567,Revisión!$A$2:$L$703,7,FALSE)</f>
        <v>#N/A</v>
      </c>
      <c r="J567" s="4" t="e">
        <f>VLOOKUP(A567,Revisión!$A$2:$L$703,8,FALSE)</f>
        <v>#N/A</v>
      </c>
      <c r="K567" s="4" t="e">
        <f>VLOOKUP(A567,Revisión!$A$2:$L$703,9,FALSE)</f>
        <v>#N/A</v>
      </c>
      <c r="L567" s="4" t="e">
        <f>VLOOKUP(A567,Revisión!$A$2:$L$703,10,FALSE)</f>
        <v>#N/A</v>
      </c>
      <c r="M567" s="18" t="e">
        <f>VLOOKUP(A567,Revisión!$A$2:$L$703,11,FALSE)</f>
        <v>#N/A</v>
      </c>
      <c r="N567" s="30" t="str">
        <f>IF(E567="Coinciden",D567,IF(E567="Revisar",VLOOKUP(A567,Revisión!$A$2:$L$703,12,FALSE),""))</f>
        <v>Collinsia verna</v>
      </c>
    </row>
    <row r="568" spans="1:14" x14ac:dyDescent="0.3">
      <c r="A568" t="s">
        <v>1194</v>
      </c>
      <c r="B568" t="s">
        <v>1195</v>
      </c>
      <c r="C568" t="s">
        <v>1195</v>
      </c>
      <c r="D568" t="s">
        <v>1195</v>
      </c>
      <c r="E568" t="s">
        <v>18</v>
      </c>
      <c r="F568" t="s">
        <v>19</v>
      </c>
      <c r="H568" s="23" t="e">
        <f>VLOOKUP(A568,Revisión!$A$2:$L$703,6,FALSE)</f>
        <v>#N/A</v>
      </c>
      <c r="I568" s="4" t="e">
        <f>VLOOKUP(A568,Revisión!$A$2:$L$703,7,FALSE)</f>
        <v>#N/A</v>
      </c>
      <c r="J568" s="4" t="e">
        <f>VLOOKUP(A568,Revisión!$A$2:$L$703,8,FALSE)</f>
        <v>#N/A</v>
      </c>
      <c r="K568" s="4" t="e">
        <f>VLOOKUP(A568,Revisión!$A$2:$L$703,9,FALSE)</f>
        <v>#N/A</v>
      </c>
      <c r="L568" s="4" t="e">
        <f>VLOOKUP(A568,Revisión!$A$2:$L$703,10,FALSE)</f>
        <v>#N/A</v>
      </c>
      <c r="M568" s="18" t="e">
        <f>VLOOKUP(A568,Revisión!$A$2:$L$703,11,FALSE)</f>
        <v>#N/A</v>
      </c>
      <c r="N568" s="30" t="str">
        <f>IF(E568="Coinciden",D568,IF(E568="Revisar",VLOOKUP(A568,Revisión!$A$2:$L$703,12,FALSE),""))</f>
        <v>Collomia biflora</v>
      </c>
    </row>
    <row r="569" spans="1:14" x14ac:dyDescent="0.3">
      <c r="A569" t="s">
        <v>1196</v>
      </c>
      <c r="B569" t="s">
        <v>1197</v>
      </c>
      <c r="C569" t="s">
        <v>1197</v>
      </c>
      <c r="D569" t="s">
        <v>1197</v>
      </c>
      <c r="E569" t="s">
        <v>18</v>
      </c>
      <c r="F569" t="s">
        <v>19</v>
      </c>
      <c r="H569" s="23" t="e">
        <f>VLOOKUP(A569,Revisión!$A$2:$L$703,6,FALSE)</f>
        <v>#N/A</v>
      </c>
      <c r="I569" s="4" t="e">
        <f>VLOOKUP(A569,Revisión!$A$2:$L$703,7,FALSE)</f>
        <v>#N/A</v>
      </c>
      <c r="J569" s="4" t="e">
        <f>VLOOKUP(A569,Revisión!$A$2:$L$703,8,FALSE)</f>
        <v>#N/A</v>
      </c>
      <c r="K569" s="4" t="e">
        <f>VLOOKUP(A569,Revisión!$A$2:$L$703,9,FALSE)</f>
        <v>#N/A</v>
      </c>
      <c r="L569" s="4" t="e">
        <f>VLOOKUP(A569,Revisión!$A$2:$L$703,10,FALSE)</f>
        <v>#N/A</v>
      </c>
      <c r="M569" s="18" t="e">
        <f>VLOOKUP(A569,Revisión!$A$2:$L$703,11,FALSE)</f>
        <v>#N/A</v>
      </c>
      <c r="N569" s="30" t="str">
        <f>IF(E569="Coinciden",D569,IF(E569="Revisar",VLOOKUP(A569,Revisión!$A$2:$L$703,12,FALSE),""))</f>
        <v>Comandra umbellata</v>
      </c>
    </row>
    <row r="570" spans="1:14" x14ac:dyDescent="0.3">
      <c r="A570" t="s">
        <v>1198</v>
      </c>
      <c r="B570" t="s">
        <v>1199</v>
      </c>
      <c r="D570" t="s">
        <v>1199</v>
      </c>
      <c r="E570" t="s">
        <v>8</v>
      </c>
      <c r="F570" t="s">
        <v>34</v>
      </c>
      <c r="H570" s="23" t="str">
        <f>VLOOKUP(A570,Revisión!$A$2:$L$703,6,FALSE)</f>
        <v>Commelina communis</v>
      </c>
      <c r="I570" s="4" t="str">
        <f>VLOOKUP(A570,Revisión!$A$2:$L$703,7,FALSE)</f>
        <v>-</v>
      </c>
      <c r="J570" s="4" t="str">
        <f>VLOOKUP(A570,Revisión!$A$2:$L$703,8,FALSE)</f>
        <v>Commelina communis</v>
      </c>
      <c r="K570" s="4" t="str">
        <f>VLOOKUP(A570,Revisión!$A$2:$L$703,9,FALSE)</f>
        <v>Commelina communis</v>
      </c>
      <c r="L570" s="4" t="str">
        <f>VLOOKUP(A570,Revisión!$A$2:$L$703,10,FALSE)</f>
        <v>Commelina communis</v>
      </c>
      <c r="M570" s="18">
        <f>VLOOKUP(A570,Revisión!$A$2:$L$703,11,FALSE)</f>
        <v>4</v>
      </c>
      <c r="N570" s="30" t="str">
        <f>IF(E570="Coinciden",D570,IF(E570="Revisar",VLOOKUP(A570,Revisión!$A$2:$L$703,12,FALSE),""))</f>
        <v>Commelina communis</v>
      </c>
    </row>
    <row r="571" spans="1:14" x14ac:dyDescent="0.3">
      <c r="A571" t="s">
        <v>1200</v>
      </c>
      <c r="B571" t="s">
        <v>1201</v>
      </c>
      <c r="C571" t="s">
        <v>1201</v>
      </c>
      <c r="D571" t="s">
        <v>1201</v>
      </c>
      <c r="E571" t="s">
        <v>18</v>
      </c>
      <c r="F571" t="s">
        <v>19</v>
      </c>
      <c r="H571" s="23" t="e">
        <f>VLOOKUP(A571,Revisión!$A$2:$L$703,6,FALSE)</f>
        <v>#N/A</v>
      </c>
      <c r="I571" s="4" t="e">
        <f>VLOOKUP(A571,Revisión!$A$2:$L$703,7,FALSE)</f>
        <v>#N/A</v>
      </c>
      <c r="J571" s="4" t="e">
        <f>VLOOKUP(A571,Revisión!$A$2:$L$703,8,FALSE)</f>
        <v>#N/A</v>
      </c>
      <c r="K571" s="4" t="e">
        <f>VLOOKUP(A571,Revisión!$A$2:$L$703,9,FALSE)</f>
        <v>#N/A</v>
      </c>
      <c r="L571" s="4" t="e">
        <f>VLOOKUP(A571,Revisión!$A$2:$L$703,10,FALSE)</f>
        <v>#N/A</v>
      </c>
      <c r="M571" s="18" t="e">
        <f>VLOOKUP(A571,Revisión!$A$2:$L$703,11,FALSE)</f>
        <v>#N/A</v>
      </c>
      <c r="N571" s="30" t="str">
        <f>IF(E571="Coinciden",D571,IF(E571="Revisar",VLOOKUP(A571,Revisión!$A$2:$L$703,12,FALSE),""))</f>
        <v>Commelina erecta</v>
      </c>
    </row>
    <row r="572" spans="1:14" x14ac:dyDescent="0.3">
      <c r="A572" t="s">
        <v>1202</v>
      </c>
      <c r="B572" t="s">
        <v>1203</v>
      </c>
      <c r="C572" t="s">
        <v>1203</v>
      </c>
      <c r="D572" t="s">
        <v>1204</v>
      </c>
      <c r="E572" t="s">
        <v>8</v>
      </c>
      <c r="F572" t="s">
        <v>15</v>
      </c>
      <c r="H572" s="23" t="str">
        <f>VLOOKUP(A572,Revisión!$A$2:$L$703,6,FALSE)</f>
        <v>Commicarpus tuberosus</v>
      </c>
      <c r="I572" s="4" t="str">
        <f>VLOOKUP(A572,Revisión!$A$2:$L$703,7,FALSE)</f>
        <v>-</v>
      </c>
      <c r="J572" s="4" t="str">
        <f>VLOOKUP(A572,Revisión!$A$2:$L$703,8,FALSE)</f>
        <v>Commicarpus tuberosus</v>
      </c>
      <c r="K572" s="4" t="str">
        <f>VLOOKUP(A572,Revisión!$A$2:$L$703,9,FALSE)</f>
        <v>Commicarpus tuberosus</v>
      </c>
      <c r="L572" s="4" t="str">
        <f>VLOOKUP(A572,Revisión!$A$2:$L$703,10,FALSE)</f>
        <v>Commicarpus tuberosus</v>
      </c>
      <c r="M572" s="18">
        <f>VLOOKUP(A572,Revisión!$A$2:$L$703,11,FALSE)</f>
        <v>4</v>
      </c>
      <c r="N572" s="30" t="str">
        <f>IF(E572="Coinciden",D572,IF(E572="Revisar",VLOOKUP(A572,Revisión!$A$2:$L$703,12,FALSE),""))</f>
        <v>Commicarpus tuberosus</v>
      </c>
    </row>
    <row r="573" spans="1:14" x14ac:dyDescent="0.3">
      <c r="A573" t="s">
        <v>1205</v>
      </c>
      <c r="B573" t="s">
        <v>1206</v>
      </c>
      <c r="C573" t="s">
        <v>1206</v>
      </c>
      <c r="D573" t="s">
        <v>1206</v>
      </c>
      <c r="E573" t="s">
        <v>18</v>
      </c>
      <c r="F573" t="s">
        <v>19</v>
      </c>
      <c r="H573" s="23" t="e">
        <f>VLOOKUP(A573,Revisión!$A$2:$L$703,6,FALSE)</f>
        <v>#N/A</v>
      </c>
      <c r="I573" s="4" t="e">
        <f>VLOOKUP(A573,Revisión!$A$2:$L$703,7,FALSE)</f>
        <v>#N/A</v>
      </c>
      <c r="J573" s="4" t="e">
        <f>VLOOKUP(A573,Revisión!$A$2:$L$703,8,FALSE)</f>
        <v>#N/A</v>
      </c>
      <c r="K573" s="4" t="e">
        <f>VLOOKUP(A573,Revisión!$A$2:$L$703,9,FALSE)</f>
        <v>#N/A</v>
      </c>
      <c r="L573" s="4" t="e">
        <f>VLOOKUP(A573,Revisión!$A$2:$L$703,10,FALSE)</f>
        <v>#N/A</v>
      </c>
      <c r="M573" s="18" t="e">
        <f>VLOOKUP(A573,Revisión!$A$2:$L$703,11,FALSE)</f>
        <v>#N/A</v>
      </c>
      <c r="N573" s="30" t="str">
        <f>IF(E573="Coinciden",D573,IF(E573="Revisar",VLOOKUP(A573,Revisión!$A$2:$L$703,12,FALSE),""))</f>
        <v>Conium maculatum</v>
      </c>
    </row>
    <row r="574" spans="1:14" x14ac:dyDescent="0.3">
      <c r="A574" t="s">
        <v>1207</v>
      </c>
      <c r="B574" t="s">
        <v>1208</v>
      </c>
      <c r="C574" t="s">
        <v>1208</v>
      </c>
      <c r="D574" t="s">
        <v>1208</v>
      </c>
      <c r="E574" t="s">
        <v>18</v>
      </c>
      <c r="F574" t="s">
        <v>19</v>
      </c>
      <c r="H574" s="23" t="e">
        <f>VLOOKUP(A574,Revisión!$A$2:$L$703,6,FALSE)</f>
        <v>#N/A</v>
      </c>
      <c r="I574" s="4" t="e">
        <f>VLOOKUP(A574,Revisión!$A$2:$L$703,7,FALSE)</f>
        <v>#N/A</v>
      </c>
      <c r="J574" s="4" t="e">
        <f>VLOOKUP(A574,Revisión!$A$2:$L$703,8,FALSE)</f>
        <v>#N/A</v>
      </c>
      <c r="K574" s="4" t="e">
        <f>VLOOKUP(A574,Revisión!$A$2:$L$703,9,FALSE)</f>
        <v>#N/A</v>
      </c>
      <c r="L574" s="4" t="e">
        <f>VLOOKUP(A574,Revisión!$A$2:$L$703,10,FALSE)</f>
        <v>#N/A</v>
      </c>
      <c r="M574" s="18" t="e">
        <f>VLOOKUP(A574,Revisión!$A$2:$L$703,11,FALSE)</f>
        <v>#N/A</v>
      </c>
      <c r="N574" s="30" t="str">
        <f>IF(E574="Coinciden",D574,IF(E574="Revisar",VLOOKUP(A574,Revisión!$A$2:$L$703,12,FALSE),""))</f>
        <v>Conocarpus erectus</v>
      </c>
    </row>
    <row r="575" spans="1:14" x14ac:dyDescent="0.3">
      <c r="A575" t="s">
        <v>1209</v>
      </c>
      <c r="E575" t="s">
        <v>8</v>
      </c>
      <c r="F575" t="s">
        <v>11</v>
      </c>
      <c r="H575" s="23" t="e">
        <f>VLOOKUP(A575,Revisión!$A$2:$L$703,6,FALSE)</f>
        <v>#N/A</v>
      </c>
      <c r="I575" s="4" t="e">
        <f>VLOOKUP(A575,Revisión!$A$2:$L$703,7,FALSE)</f>
        <v>#N/A</v>
      </c>
      <c r="J575" s="4" t="e">
        <f>VLOOKUP(A575,Revisión!$A$2:$L$703,8,FALSE)</f>
        <v>#N/A</v>
      </c>
      <c r="K575" s="4" t="e">
        <f>VLOOKUP(A575,Revisión!$A$2:$L$703,9,FALSE)</f>
        <v>#N/A</v>
      </c>
      <c r="L575" s="4" t="e">
        <f>VLOOKUP(A575,Revisión!$A$2:$L$703,10,FALSE)</f>
        <v>#N/A</v>
      </c>
      <c r="M575" s="18" t="e">
        <f>VLOOKUP(A575,Revisión!$A$2:$L$703,11,FALSE)</f>
        <v>#N/A</v>
      </c>
      <c r="N575" s="30" t="e">
        <f>IF(E575="Coinciden",D575,IF(E575="Revisar",VLOOKUP(A575,Revisión!$A$2:$L$703,12,FALSE),""))</f>
        <v>#N/A</v>
      </c>
    </row>
    <row r="576" spans="1:14" x14ac:dyDescent="0.3">
      <c r="A576" t="s">
        <v>1210</v>
      </c>
      <c r="B576" t="s">
        <v>1211</v>
      </c>
      <c r="C576" t="s">
        <v>1211</v>
      </c>
      <c r="D576" t="s">
        <v>1211</v>
      </c>
      <c r="E576" t="s">
        <v>18</v>
      </c>
      <c r="F576" t="s">
        <v>19</v>
      </c>
      <c r="H576" s="23" t="e">
        <f>VLOOKUP(A576,Revisión!$A$2:$L$703,6,FALSE)</f>
        <v>#N/A</v>
      </c>
      <c r="I576" s="4" t="e">
        <f>VLOOKUP(A576,Revisión!$A$2:$L$703,7,FALSE)</f>
        <v>#N/A</v>
      </c>
      <c r="J576" s="4" t="e">
        <f>VLOOKUP(A576,Revisión!$A$2:$L$703,8,FALSE)</f>
        <v>#N/A</v>
      </c>
      <c r="K576" s="4" t="e">
        <f>VLOOKUP(A576,Revisión!$A$2:$L$703,9,FALSE)</f>
        <v>#N/A</v>
      </c>
      <c r="L576" s="4" t="e">
        <f>VLOOKUP(A576,Revisión!$A$2:$L$703,10,FALSE)</f>
        <v>#N/A</v>
      </c>
      <c r="M576" s="18" t="e">
        <f>VLOOKUP(A576,Revisión!$A$2:$L$703,11,FALSE)</f>
        <v>#N/A</v>
      </c>
      <c r="N576" s="30" t="str">
        <f>IF(E576="Coinciden",D576,IF(E576="Revisar",VLOOKUP(A576,Revisión!$A$2:$L$703,12,FALSE),""))</f>
        <v>Convolvulus cantabrica</v>
      </c>
    </row>
    <row r="577" spans="1:14" x14ac:dyDescent="0.3">
      <c r="A577" t="s">
        <v>1212</v>
      </c>
      <c r="B577" t="s">
        <v>1213</v>
      </c>
      <c r="C577" t="s">
        <v>1213</v>
      </c>
      <c r="D577" t="s">
        <v>1213</v>
      </c>
      <c r="E577" t="s">
        <v>18</v>
      </c>
      <c r="F577" t="s">
        <v>19</v>
      </c>
      <c r="H577" s="23" t="e">
        <f>VLOOKUP(A577,Revisión!$A$2:$L$703,6,FALSE)</f>
        <v>#N/A</v>
      </c>
      <c r="I577" s="4" t="e">
        <f>VLOOKUP(A577,Revisión!$A$2:$L$703,7,FALSE)</f>
        <v>#N/A</v>
      </c>
      <c r="J577" s="4" t="e">
        <f>VLOOKUP(A577,Revisión!$A$2:$L$703,8,FALSE)</f>
        <v>#N/A</v>
      </c>
      <c r="K577" s="4" t="e">
        <f>VLOOKUP(A577,Revisión!$A$2:$L$703,9,FALSE)</f>
        <v>#N/A</v>
      </c>
      <c r="L577" s="4" t="e">
        <f>VLOOKUP(A577,Revisión!$A$2:$L$703,10,FALSE)</f>
        <v>#N/A</v>
      </c>
      <c r="M577" s="18" t="e">
        <f>VLOOKUP(A577,Revisión!$A$2:$L$703,11,FALSE)</f>
        <v>#N/A</v>
      </c>
      <c r="N577" s="30" t="str">
        <f>IF(E577="Coinciden",D577,IF(E577="Revisar",VLOOKUP(A577,Revisión!$A$2:$L$703,12,FALSE),""))</f>
        <v>Convolvulus arvensis</v>
      </c>
    </row>
    <row r="578" spans="1:14" x14ac:dyDescent="0.3">
      <c r="A578" t="s">
        <v>1214</v>
      </c>
      <c r="B578" t="s">
        <v>1215</v>
      </c>
      <c r="C578" t="s">
        <v>800</v>
      </c>
      <c r="D578" t="s">
        <v>800</v>
      </c>
      <c r="E578" t="s">
        <v>8</v>
      </c>
      <c r="F578" t="s">
        <v>23</v>
      </c>
      <c r="H578" s="23" t="str">
        <f>VLOOKUP(A578,Revisión!$A$2:$L$703,6,FALSE)</f>
        <v>Convolvulus sepium</v>
      </c>
      <c r="I578" s="4" t="str">
        <f>VLOOKUP(A578,Revisión!$A$2:$L$703,7,FALSE)</f>
        <v>-</v>
      </c>
      <c r="J578" s="4" t="str">
        <f>VLOOKUP(A578,Revisión!$A$2:$L$703,8,FALSE)</f>
        <v>Convolvulus sepium</v>
      </c>
      <c r="K578" s="4" t="str">
        <f>VLOOKUP(A578,Revisión!$A$2:$L$703,9,FALSE)</f>
        <v>Convolvulus sepium</v>
      </c>
      <c r="L578" s="4" t="str">
        <f>VLOOKUP(A578,Revisión!$A$2:$L$703,10,FALSE)</f>
        <v>Convolvulus sepium</v>
      </c>
      <c r="M578" s="18">
        <f>VLOOKUP(A578,Revisión!$A$2:$L$703,11,FALSE)</f>
        <v>4</v>
      </c>
      <c r="N578" s="30" t="str">
        <f>IF(E578="Coinciden",D578,IF(E578="Revisar",VLOOKUP(A578,Revisión!$A$2:$L$703,12,FALSE),""))</f>
        <v>Convolvulus sepium</v>
      </c>
    </row>
    <row r="579" spans="1:14" x14ac:dyDescent="0.3">
      <c r="A579" t="s">
        <v>1216</v>
      </c>
      <c r="B579" t="s">
        <v>1217</v>
      </c>
      <c r="C579" t="s">
        <v>1217</v>
      </c>
      <c r="D579" t="s">
        <v>1217</v>
      </c>
      <c r="E579" t="s">
        <v>18</v>
      </c>
      <c r="F579" t="s">
        <v>19</v>
      </c>
      <c r="H579" s="23" t="e">
        <f>VLOOKUP(A579,Revisión!$A$2:$L$703,6,FALSE)</f>
        <v>#N/A</v>
      </c>
      <c r="I579" s="4" t="e">
        <f>VLOOKUP(A579,Revisión!$A$2:$L$703,7,FALSE)</f>
        <v>#N/A</v>
      </c>
      <c r="J579" s="4" t="e">
        <f>VLOOKUP(A579,Revisión!$A$2:$L$703,8,FALSE)</f>
        <v>#N/A</v>
      </c>
      <c r="K579" s="4" t="e">
        <f>VLOOKUP(A579,Revisión!$A$2:$L$703,9,FALSE)</f>
        <v>#N/A</v>
      </c>
      <c r="L579" s="4" t="e">
        <f>VLOOKUP(A579,Revisión!$A$2:$L$703,10,FALSE)</f>
        <v>#N/A</v>
      </c>
      <c r="M579" s="18" t="e">
        <f>VLOOKUP(A579,Revisión!$A$2:$L$703,11,FALSE)</f>
        <v>#N/A</v>
      </c>
      <c r="N579" s="30" t="str">
        <f>IF(E579="Coinciden",D579,IF(E579="Revisar",VLOOKUP(A579,Revisión!$A$2:$L$703,12,FALSE),""))</f>
        <v>Convolvulus floridus</v>
      </c>
    </row>
    <row r="580" spans="1:14" x14ac:dyDescent="0.3">
      <c r="A580" t="s">
        <v>1218</v>
      </c>
      <c r="B580" t="s">
        <v>1219</v>
      </c>
      <c r="C580" t="s">
        <v>1219</v>
      </c>
      <c r="D580" t="s">
        <v>1219</v>
      </c>
      <c r="E580" t="s">
        <v>18</v>
      </c>
      <c r="F580" t="s">
        <v>19</v>
      </c>
      <c r="H580" s="23" t="e">
        <f>VLOOKUP(A580,Revisión!$A$2:$L$703,6,FALSE)</f>
        <v>#N/A</v>
      </c>
      <c r="I580" s="4" t="e">
        <f>VLOOKUP(A580,Revisión!$A$2:$L$703,7,FALSE)</f>
        <v>#N/A</v>
      </c>
      <c r="J580" s="4" t="e">
        <f>VLOOKUP(A580,Revisión!$A$2:$L$703,8,FALSE)</f>
        <v>#N/A</v>
      </c>
      <c r="K580" s="4" t="e">
        <f>VLOOKUP(A580,Revisión!$A$2:$L$703,9,FALSE)</f>
        <v>#N/A</v>
      </c>
      <c r="L580" s="4" t="e">
        <f>VLOOKUP(A580,Revisión!$A$2:$L$703,10,FALSE)</f>
        <v>#N/A</v>
      </c>
      <c r="M580" s="18" t="e">
        <f>VLOOKUP(A580,Revisión!$A$2:$L$703,11,FALSE)</f>
        <v>#N/A</v>
      </c>
      <c r="N580" s="30" t="str">
        <f>IF(E580="Coinciden",D580,IF(E580="Revisar",VLOOKUP(A580,Revisión!$A$2:$L$703,12,FALSE),""))</f>
        <v>Convolvulus hermanniae</v>
      </c>
    </row>
    <row r="581" spans="1:14" x14ac:dyDescent="0.3">
      <c r="A581" t="s">
        <v>1220</v>
      </c>
      <c r="B581" t="s">
        <v>1221</v>
      </c>
      <c r="C581" t="s">
        <v>1221</v>
      </c>
      <c r="D581" t="s">
        <v>1221</v>
      </c>
      <c r="E581" t="s">
        <v>18</v>
      </c>
      <c r="F581" t="s">
        <v>19</v>
      </c>
      <c r="H581" s="23" t="e">
        <f>VLOOKUP(A581,Revisión!$A$2:$L$703,6,FALSE)</f>
        <v>#N/A</v>
      </c>
      <c r="I581" s="4" t="e">
        <f>VLOOKUP(A581,Revisión!$A$2:$L$703,7,FALSE)</f>
        <v>#N/A</v>
      </c>
      <c r="J581" s="4" t="e">
        <f>VLOOKUP(A581,Revisión!$A$2:$L$703,8,FALSE)</f>
        <v>#N/A</v>
      </c>
      <c r="K581" s="4" t="e">
        <f>VLOOKUP(A581,Revisión!$A$2:$L$703,9,FALSE)</f>
        <v>#N/A</v>
      </c>
      <c r="L581" s="4" t="e">
        <f>VLOOKUP(A581,Revisión!$A$2:$L$703,10,FALSE)</f>
        <v>#N/A</v>
      </c>
      <c r="M581" s="18" t="e">
        <f>VLOOKUP(A581,Revisión!$A$2:$L$703,11,FALSE)</f>
        <v>#N/A</v>
      </c>
      <c r="N581" s="30" t="str">
        <f>IF(E581="Coinciden",D581,IF(E581="Revisar",VLOOKUP(A581,Revisión!$A$2:$L$703,12,FALSE),""))</f>
        <v>Convolvulus althaeoides</v>
      </c>
    </row>
    <row r="582" spans="1:14" x14ac:dyDescent="0.3">
      <c r="A582" t="s">
        <v>1222</v>
      </c>
      <c r="B582" t="s">
        <v>1223</v>
      </c>
      <c r="C582" t="s">
        <v>1223</v>
      </c>
      <c r="D582" t="s">
        <v>1223</v>
      </c>
      <c r="E582" t="s">
        <v>18</v>
      </c>
      <c r="F582" t="s">
        <v>19</v>
      </c>
      <c r="H582" s="23" t="e">
        <f>VLOOKUP(A582,Revisión!$A$2:$L$703,6,FALSE)</f>
        <v>#N/A</v>
      </c>
      <c r="I582" s="4" t="e">
        <f>VLOOKUP(A582,Revisión!$A$2:$L$703,7,FALSE)</f>
        <v>#N/A</v>
      </c>
      <c r="J582" s="4" t="e">
        <f>VLOOKUP(A582,Revisión!$A$2:$L$703,8,FALSE)</f>
        <v>#N/A</v>
      </c>
      <c r="K582" s="4" t="e">
        <f>VLOOKUP(A582,Revisión!$A$2:$L$703,9,FALSE)</f>
        <v>#N/A</v>
      </c>
      <c r="L582" s="4" t="e">
        <f>VLOOKUP(A582,Revisión!$A$2:$L$703,10,FALSE)</f>
        <v>#N/A</v>
      </c>
      <c r="M582" s="18" t="e">
        <f>VLOOKUP(A582,Revisión!$A$2:$L$703,11,FALSE)</f>
        <v>#N/A</v>
      </c>
      <c r="N582" s="30" t="str">
        <f>IF(E582="Coinciden",D582,IF(E582="Revisar",VLOOKUP(A582,Revisión!$A$2:$L$703,12,FALSE),""))</f>
        <v>Erigeron bonariensis</v>
      </c>
    </row>
    <row r="583" spans="1:14" x14ac:dyDescent="0.3">
      <c r="A583" t="s">
        <v>1224</v>
      </c>
      <c r="B583" t="s">
        <v>1225</v>
      </c>
      <c r="C583" t="s">
        <v>1225</v>
      </c>
      <c r="D583" t="s">
        <v>1225</v>
      </c>
      <c r="E583" t="s">
        <v>18</v>
      </c>
      <c r="F583" t="s">
        <v>19</v>
      </c>
      <c r="H583" s="23" t="e">
        <f>VLOOKUP(A583,Revisión!$A$2:$L$703,6,FALSE)</f>
        <v>#N/A</v>
      </c>
      <c r="I583" s="4" t="e">
        <f>VLOOKUP(A583,Revisión!$A$2:$L$703,7,FALSE)</f>
        <v>#N/A</v>
      </c>
      <c r="J583" s="4" t="e">
        <f>VLOOKUP(A583,Revisión!$A$2:$L$703,8,FALSE)</f>
        <v>#N/A</v>
      </c>
      <c r="K583" s="4" t="e">
        <f>VLOOKUP(A583,Revisión!$A$2:$L$703,9,FALSE)</f>
        <v>#N/A</v>
      </c>
      <c r="L583" s="4" t="e">
        <f>VLOOKUP(A583,Revisión!$A$2:$L$703,10,FALSE)</f>
        <v>#N/A</v>
      </c>
      <c r="M583" s="18" t="e">
        <f>VLOOKUP(A583,Revisión!$A$2:$L$703,11,FALSE)</f>
        <v>#N/A</v>
      </c>
      <c r="N583" s="30" t="str">
        <f>IF(E583="Coinciden",D583,IF(E583="Revisar",VLOOKUP(A583,Revisión!$A$2:$L$703,12,FALSE),""))</f>
        <v>Hancea integrifolia</v>
      </c>
    </row>
    <row r="584" spans="1:14" x14ac:dyDescent="0.3">
      <c r="A584" t="s">
        <v>1226</v>
      </c>
      <c r="D584" t="s">
        <v>1227</v>
      </c>
      <c r="E584" t="s">
        <v>8</v>
      </c>
      <c r="F584" t="s">
        <v>9</v>
      </c>
      <c r="H584" s="23" t="str">
        <f>VLOOKUP(A584,Revisión!$A$2:$L$703,6,FALSE)</f>
        <v xml:space="preserve">Varronia   </v>
      </c>
      <c r="I584" s="4" t="str">
        <f>VLOOKUP(A584,Revisión!$A$2:$L$703,7,FALSE)</f>
        <v>-</v>
      </c>
      <c r="J584" s="4" t="str">
        <f>VLOOKUP(A584,Revisión!$A$2:$L$703,8,FALSE)</f>
        <v>Varronia martinicensis</v>
      </c>
      <c r="K584" s="4" t="str">
        <f>VLOOKUP(A584,Revisión!$A$2:$L$703,9,FALSE)</f>
        <v>Varronia martinicensis</v>
      </c>
      <c r="L584" s="4" t="str">
        <f>VLOOKUP(A584,Revisión!$A$2:$L$703,10,FALSE)</f>
        <v>Varronia martinicensis</v>
      </c>
      <c r="M584" s="18">
        <f>VLOOKUP(A584,Revisión!$A$2:$L$703,11,FALSE)</f>
        <v>3</v>
      </c>
      <c r="N584" s="30" t="str">
        <f>IF(E584="Coinciden",D584,IF(E584="Revisar",VLOOKUP(A584,Revisión!$A$2:$L$703,12,FALSE),""))</f>
        <v>Varronia martinicensis</v>
      </c>
    </row>
    <row r="585" spans="1:14" x14ac:dyDescent="0.3">
      <c r="A585" t="s">
        <v>1228</v>
      </c>
      <c r="B585" t="s">
        <v>1229</v>
      </c>
      <c r="C585" t="s">
        <v>1229</v>
      </c>
      <c r="D585" t="s">
        <v>1229</v>
      </c>
      <c r="E585" t="s">
        <v>18</v>
      </c>
      <c r="F585" t="s">
        <v>19</v>
      </c>
      <c r="H585" s="23" t="e">
        <f>VLOOKUP(A585,Revisión!$A$2:$L$703,6,FALSE)</f>
        <v>#N/A</v>
      </c>
      <c r="I585" s="4" t="e">
        <f>VLOOKUP(A585,Revisión!$A$2:$L$703,7,FALSE)</f>
        <v>#N/A</v>
      </c>
      <c r="J585" s="4" t="e">
        <f>VLOOKUP(A585,Revisión!$A$2:$L$703,8,FALSE)</f>
        <v>#N/A</v>
      </c>
      <c r="K585" s="4" t="e">
        <f>VLOOKUP(A585,Revisión!$A$2:$L$703,9,FALSE)</f>
        <v>#N/A</v>
      </c>
      <c r="L585" s="4" t="e">
        <f>VLOOKUP(A585,Revisión!$A$2:$L$703,10,FALSE)</f>
        <v>#N/A</v>
      </c>
      <c r="M585" s="18" t="e">
        <f>VLOOKUP(A585,Revisión!$A$2:$L$703,11,FALSE)</f>
        <v>#N/A</v>
      </c>
      <c r="N585" s="30" t="str">
        <f>IF(E585="Coinciden",D585,IF(E585="Revisar",VLOOKUP(A585,Revisión!$A$2:$L$703,12,FALSE),""))</f>
        <v>Cordia lutea</v>
      </c>
    </row>
    <row r="586" spans="1:14" x14ac:dyDescent="0.3">
      <c r="A586" t="s">
        <v>1230</v>
      </c>
      <c r="B586" t="s">
        <v>1231</v>
      </c>
      <c r="C586" t="s">
        <v>1231</v>
      </c>
      <c r="D586" t="s">
        <v>1231</v>
      </c>
      <c r="E586" t="s">
        <v>18</v>
      </c>
      <c r="F586" t="s">
        <v>19</v>
      </c>
      <c r="H586" s="23" t="e">
        <f>VLOOKUP(A586,Revisión!$A$2:$L$703,6,FALSE)</f>
        <v>#N/A</v>
      </c>
      <c r="I586" s="4" t="e">
        <f>VLOOKUP(A586,Revisión!$A$2:$L$703,7,FALSE)</f>
        <v>#N/A</v>
      </c>
      <c r="J586" s="4" t="e">
        <f>VLOOKUP(A586,Revisión!$A$2:$L$703,8,FALSE)</f>
        <v>#N/A</v>
      </c>
      <c r="K586" s="4" t="e">
        <f>VLOOKUP(A586,Revisión!$A$2:$L$703,9,FALSE)</f>
        <v>#N/A</v>
      </c>
      <c r="L586" s="4" t="e">
        <f>VLOOKUP(A586,Revisión!$A$2:$L$703,10,FALSE)</f>
        <v>#N/A</v>
      </c>
      <c r="M586" s="18" t="e">
        <f>VLOOKUP(A586,Revisión!$A$2:$L$703,11,FALSE)</f>
        <v>#N/A</v>
      </c>
      <c r="N586" s="30" t="str">
        <f>IF(E586="Coinciden",D586,IF(E586="Revisar",VLOOKUP(A586,Revisión!$A$2:$L$703,12,FALSE),""))</f>
        <v>Varronia brownei</v>
      </c>
    </row>
    <row r="587" spans="1:14" x14ac:dyDescent="0.3">
      <c r="A587" t="s">
        <v>1232</v>
      </c>
      <c r="B587" t="s">
        <v>1233</v>
      </c>
      <c r="D587" t="s">
        <v>1233</v>
      </c>
      <c r="E587" t="s">
        <v>8</v>
      </c>
      <c r="F587" t="s">
        <v>34</v>
      </c>
      <c r="H587" s="23" t="str">
        <f>VLOOKUP(A587,Revisión!$A$2:$L$703,6,FALSE)</f>
        <v>Cordia gerascanthus</v>
      </c>
      <c r="I587" s="4" t="str">
        <f>VLOOKUP(A587,Revisión!$A$2:$L$703,7,FALSE)</f>
        <v>-</v>
      </c>
      <c r="J587" s="4" t="str">
        <f>VLOOKUP(A587,Revisión!$A$2:$L$703,8,FALSE)</f>
        <v>Cordia gerascanthus</v>
      </c>
      <c r="K587" s="4" t="str">
        <f>VLOOKUP(A587,Revisión!$A$2:$L$703,9,FALSE)</f>
        <v>Cordia gerascanthus</v>
      </c>
      <c r="L587" s="4" t="str">
        <f>VLOOKUP(A587,Revisión!$A$2:$L$703,10,FALSE)</f>
        <v>Cordia gerascanthus</v>
      </c>
      <c r="M587" s="18">
        <f>VLOOKUP(A587,Revisión!$A$2:$L$703,11,FALSE)</f>
        <v>4</v>
      </c>
      <c r="N587" s="30" t="str">
        <f>IF(E587="Coinciden",D587,IF(E587="Revisar",VLOOKUP(A587,Revisión!$A$2:$L$703,12,FALSE),""))</f>
        <v>Cordia gerascanthus</v>
      </c>
    </row>
    <row r="588" spans="1:14" x14ac:dyDescent="0.3">
      <c r="A588" t="s">
        <v>1234</v>
      </c>
      <c r="B588" t="s">
        <v>1235</v>
      </c>
      <c r="C588" t="s">
        <v>1235</v>
      </c>
      <c r="D588" t="s">
        <v>1236</v>
      </c>
      <c r="E588" t="s">
        <v>8</v>
      </c>
      <c r="F588" t="s">
        <v>15</v>
      </c>
      <c r="H588" s="23" t="str">
        <f>VLOOKUP(A588,Revisión!$A$2:$L$703,6,FALSE)</f>
        <v>Varronia leucophlyctis</v>
      </c>
      <c r="I588" s="4" t="str">
        <f>VLOOKUP(A588,Revisión!$A$2:$L$703,7,FALSE)</f>
        <v>-</v>
      </c>
      <c r="J588" s="4" t="str">
        <f>VLOOKUP(A588,Revisión!$A$2:$L$703,8,FALSE)</f>
        <v>Varronia leucophlyctis</v>
      </c>
      <c r="K588" s="4" t="str">
        <f>VLOOKUP(A588,Revisión!$A$2:$L$703,9,FALSE)</f>
        <v>Varronia leucophlyctis</v>
      </c>
      <c r="L588" s="4" t="str">
        <f>VLOOKUP(A588,Revisión!$A$2:$L$703,10,FALSE)</f>
        <v>Varronia leucophlyctis</v>
      </c>
      <c r="M588" s="18">
        <f>VLOOKUP(A588,Revisión!$A$2:$L$703,11,FALSE)</f>
        <v>4</v>
      </c>
      <c r="N588" s="30" t="str">
        <f>IF(E588="Coinciden",D588,IF(E588="Revisar",VLOOKUP(A588,Revisión!$A$2:$L$703,12,FALSE),""))</f>
        <v>Varronia leucophlyctis</v>
      </c>
    </row>
    <row r="589" spans="1:14" x14ac:dyDescent="0.3">
      <c r="A589" t="s">
        <v>1237</v>
      </c>
      <c r="B589" t="s">
        <v>1238</v>
      </c>
      <c r="D589" t="s">
        <v>1238</v>
      </c>
      <c r="E589" t="s">
        <v>8</v>
      </c>
      <c r="F589" t="s">
        <v>34</v>
      </c>
      <c r="H589" s="23" t="str">
        <f>VLOOKUP(A589,Revisión!$A$2:$L$703,6,FALSE)</f>
        <v>Cordia sebestena</v>
      </c>
      <c r="I589" s="4" t="str">
        <f>VLOOKUP(A589,Revisión!$A$2:$L$703,7,FALSE)</f>
        <v>-</v>
      </c>
      <c r="J589" s="4" t="str">
        <f>VLOOKUP(A589,Revisión!$A$2:$L$703,8,FALSE)</f>
        <v>Cordia sebestena</v>
      </c>
      <c r="K589" s="4" t="str">
        <f>VLOOKUP(A589,Revisión!$A$2:$L$703,9,FALSE)</f>
        <v>Cordia sebestena</v>
      </c>
      <c r="L589" s="4" t="str">
        <f>VLOOKUP(A589,Revisión!$A$2:$L$703,10,FALSE)</f>
        <v>Cordia sebestena</v>
      </c>
      <c r="M589" s="18">
        <f>VLOOKUP(A589,Revisión!$A$2:$L$703,11,FALSE)</f>
        <v>4</v>
      </c>
      <c r="N589" s="30" t="str">
        <f>IF(E589="Coinciden",D589,IF(E589="Revisar",VLOOKUP(A589,Revisión!$A$2:$L$703,12,FALSE),""))</f>
        <v>Cordia sebestena</v>
      </c>
    </row>
    <row r="590" spans="1:14" x14ac:dyDescent="0.3">
      <c r="A590" t="s">
        <v>1239</v>
      </c>
      <c r="B590" t="s">
        <v>1240</v>
      </c>
      <c r="C590" t="s">
        <v>1240</v>
      </c>
      <c r="D590" t="s">
        <v>1240</v>
      </c>
      <c r="E590" t="s">
        <v>18</v>
      </c>
      <c r="F590" t="s">
        <v>19</v>
      </c>
      <c r="H590" s="23" t="e">
        <f>VLOOKUP(A590,Revisión!$A$2:$L$703,6,FALSE)</f>
        <v>#N/A</v>
      </c>
      <c r="I590" s="4" t="e">
        <f>VLOOKUP(A590,Revisión!$A$2:$L$703,7,FALSE)</f>
        <v>#N/A</v>
      </c>
      <c r="J590" s="4" t="e">
        <f>VLOOKUP(A590,Revisión!$A$2:$L$703,8,FALSE)</f>
        <v>#N/A</v>
      </c>
      <c r="K590" s="4" t="e">
        <f>VLOOKUP(A590,Revisión!$A$2:$L$703,9,FALSE)</f>
        <v>#N/A</v>
      </c>
      <c r="L590" s="4" t="e">
        <f>VLOOKUP(A590,Revisión!$A$2:$L$703,10,FALSE)</f>
        <v>#N/A</v>
      </c>
      <c r="M590" s="18" t="e">
        <f>VLOOKUP(A590,Revisión!$A$2:$L$703,11,FALSE)</f>
        <v>#N/A</v>
      </c>
      <c r="N590" s="30" t="str">
        <f>IF(E590="Coinciden",D590,IF(E590="Revisar",VLOOKUP(A590,Revisión!$A$2:$L$703,12,FALSE),""))</f>
        <v>Varronia revoluta</v>
      </c>
    </row>
    <row r="591" spans="1:14" x14ac:dyDescent="0.3">
      <c r="A591" t="s">
        <v>1241</v>
      </c>
      <c r="E591" t="s">
        <v>8</v>
      </c>
      <c r="F591" t="s">
        <v>11</v>
      </c>
      <c r="H591" s="23" t="e">
        <f>VLOOKUP(A591,Revisión!$A$2:$L$703,6,FALSE)</f>
        <v>#N/A</v>
      </c>
      <c r="I591" s="4" t="e">
        <f>VLOOKUP(A591,Revisión!$A$2:$L$703,7,FALSE)</f>
        <v>#N/A</v>
      </c>
      <c r="J591" s="4" t="e">
        <f>VLOOKUP(A591,Revisión!$A$2:$L$703,8,FALSE)</f>
        <v>#N/A</v>
      </c>
      <c r="K591" s="4" t="e">
        <f>VLOOKUP(A591,Revisión!$A$2:$L$703,9,FALSE)</f>
        <v>#N/A</v>
      </c>
      <c r="L591" s="4" t="e">
        <f>VLOOKUP(A591,Revisión!$A$2:$L$703,10,FALSE)</f>
        <v>#N/A</v>
      </c>
      <c r="M591" s="18" t="e">
        <f>VLOOKUP(A591,Revisión!$A$2:$L$703,11,FALSE)</f>
        <v>#N/A</v>
      </c>
      <c r="N591" s="30" t="e">
        <f>IF(E591="Coinciden",D591,IF(E591="Revisar",VLOOKUP(A591,Revisión!$A$2:$L$703,12,FALSE),""))</f>
        <v>#N/A</v>
      </c>
    </row>
    <row r="592" spans="1:14" x14ac:dyDescent="0.3">
      <c r="A592" t="s">
        <v>1242</v>
      </c>
      <c r="D592" t="s">
        <v>1243</v>
      </c>
      <c r="E592" t="s">
        <v>8</v>
      </c>
      <c r="F592" t="s">
        <v>9</v>
      </c>
      <c r="H592" s="23" t="str">
        <f>VLOOKUP(A592,Revisión!$A$2:$L$703,6,FALSE)</f>
        <v>-</v>
      </c>
      <c r="I592" s="4" t="str">
        <f>VLOOKUP(A592,Revisión!$A$2:$L$703,7,FALSE)</f>
        <v>-</v>
      </c>
      <c r="J592" s="4" t="str">
        <f>VLOOKUP(A592,Revisión!$A$2:$L$703,8,FALSE)</f>
        <v>Varronia oaxacana</v>
      </c>
      <c r="K592" s="4" t="str">
        <f>VLOOKUP(A592,Revisión!$A$2:$L$703,9,FALSE)</f>
        <v>Varronia oaxacana</v>
      </c>
      <c r="L592" s="4" t="str">
        <f>VLOOKUP(A592,Revisión!$A$2:$L$703,10,FALSE)</f>
        <v>Varronia oaxacana</v>
      </c>
      <c r="M592" s="18">
        <f>VLOOKUP(A592,Revisión!$A$2:$L$703,11,FALSE)</f>
        <v>3</v>
      </c>
      <c r="N592" s="30" t="str">
        <f>IF(E592="Coinciden",D592,IF(E592="Revisar",VLOOKUP(A592,Revisión!$A$2:$L$703,12,FALSE),""))</f>
        <v>Varronia oaxacana</v>
      </c>
    </row>
    <row r="593" spans="1:14" x14ac:dyDescent="0.3">
      <c r="A593" t="s">
        <v>1244</v>
      </c>
      <c r="E593" t="s">
        <v>8</v>
      </c>
      <c r="F593" t="s">
        <v>11</v>
      </c>
      <c r="H593" s="23" t="e">
        <f>VLOOKUP(A593,Revisión!$A$2:$L$703,6,FALSE)</f>
        <v>#N/A</v>
      </c>
      <c r="I593" s="4" t="e">
        <f>VLOOKUP(A593,Revisión!$A$2:$L$703,7,FALSE)</f>
        <v>#N/A</v>
      </c>
      <c r="J593" s="4" t="e">
        <f>VLOOKUP(A593,Revisión!$A$2:$L$703,8,FALSE)</f>
        <v>#N/A</v>
      </c>
      <c r="K593" s="4" t="e">
        <f>VLOOKUP(A593,Revisión!$A$2:$L$703,9,FALSE)</f>
        <v>#N/A</v>
      </c>
      <c r="L593" s="4" t="e">
        <f>VLOOKUP(A593,Revisión!$A$2:$L$703,10,FALSE)</f>
        <v>#N/A</v>
      </c>
      <c r="M593" s="18" t="e">
        <f>VLOOKUP(A593,Revisión!$A$2:$L$703,11,FALSE)</f>
        <v>#N/A</v>
      </c>
      <c r="N593" s="30" t="e">
        <f>IF(E593="Coinciden",D593,IF(E593="Revisar",VLOOKUP(A593,Revisión!$A$2:$L$703,12,FALSE),""))</f>
        <v>#N/A</v>
      </c>
    </row>
    <row r="594" spans="1:14" x14ac:dyDescent="0.3">
      <c r="A594" t="s">
        <v>1245</v>
      </c>
      <c r="B594" t="s">
        <v>1246</v>
      </c>
      <c r="C594" t="s">
        <v>1247</v>
      </c>
      <c r="D594" t="s">
        <v>1246</v>
      </c>
      <c r="E594" t="s">
        <v>8</v>
      </c>
      <c r="F594" t="s">
        <v>493</v>
      </c>
      <c r="H594" s="23" t="str">
        <f>VLOOKUP(A594,Revisión!$A$2:$L$703,6,FALSE)</f>
        <v>Anacis palmata</v>
      </c>
      <c r="I594" s="4" t="str">
        <f>VLOOKUP(A594,Revisión!$A$2:$L$703,7,FALSE)</f>
        <v>-</v>
      </c>
      <c r="J594" s="4" t="str">
        <f>VLOOKUP(A594,Revisión!$A$2:$L$703,8,FALSE)</f>
        <v>Anacis palmata</v>
      </c>
      <c r="K594" s="4" t="str">
        <f>VLOOKUP(A594,Revisión!$A$2:$L$703,9,FALSE)</f>
        <v>Anacis palmata</v>
      </c>
      <c r="L594" s="4" t="str">
        <f>VLOOKUP(A594,Revisión!$A$2:$L$703,10,FALSE)</f>
        <v>Anacis palmata</v>
      </c>
      <c r="M594" s="18">
        <f>VLOOKUP(A594,Revisión!$A$2:$L$703,11,FALSE)</f>
        <v>4</v>
      </c>
      <c r="N594" s="30" t="str">
        <f>IF(E594="Coinciden",D594,IF(E594="Revisar",VLOOKUP(A594,Revisión!$A$2:$L$703,12,FALSE),""))</f>
        <v>Anacis palmata</v>
      </c>
    </row>
    <row r="595" spans="1:14" x14ac:dyDescent="0.3">
      <c r="A595" t="s">
        <v>1248</v>
      </c>
      <c r="B595" t="s">
        <v>1249</v>
      </c>
      <c r="C595" t="s">
        <v>1250</v>
      </c>
      <c r="D595" t="s">
        <v>1249</v>
      </c>
      <c r="E595" t="s">
        <v>8</v>
      </c>
      <c r="F595" t="s">
        <v>493</v>
      </c>
      <c r="H595" s="23" t="str">
        <f>VLOOKUP(A595,Revisión!$A$2:$L$703,6,FALSE)</f>
        <v>Anacis tripteris</v>
      </c>
      <c r="I595" s="4" t="str">
        <f>VLOOKUP(A595,Revisión!$A$2:$L$703,7,FALSE)</f>
        <v>-</v>
      </c>
      <c r="J595" s="4" t="str">
        <f>VLOOKUP(A595,Revisión!$A$2:$L$703,8,FALSE)</f>
        <v>Anacis tripteris</v>
      </c>
      <c r="K595" s="4" t="str">
        <f>VLOOKUP(A595,Revisión!$A$2:$L$703,9,FALSE)</f>
        <v>Anacis tripteris</v>
      </c>
      <c r="L595" s="4" t="str">
        <f>VLOOKUP(A595,Revisión!$A$2:$L$703,10,FALSE)</f>
        <v>Anacis tripteris</v>
      </c>
      <c r="M595" s="18">
        <f>VLOOKUP(A595,Revisión!$A$2:$L$703,11,FALSE)</f>
        <v>4</v>
      </c>
      <c r="N595" s="30" t="str">
        <f>IF(E595="Coinciden",D595,IF(E595="Revisar",VLOOKUP(A595,Revisión!$A$2:$L$703,12,FALSE),""))</f>
        <v>Anacis tripteris</v>
      </c>
    </row>
    <row r="596" spans="1:14" x14ac:dyDescent="0.3">
      <c r="A596" t="s">
        <v>1251</v>
      </c>
      <c r="B596" t="s">
        <v>1252</v>
      </c>
      <c r="C596" t="s">
        <v>1252</v>
      </c>
      <c r="D596" t="s">
        <v>1252</v>
      </c>
      <c r="E596" t="s">
        <v>18</v>
      </c>
      <c r="F596" t="s">
        <v>19</v>
      </c>
      <c r="H596" s="23" t="e">
        <f>VLOOKUP(A596,Revisión!$A$2:$L$703,6,FALSE)</f>
        <v>#N/A</v>
      </c>
      <c r="I596" s="4" t="e">
        <f>VLOOKUP(A596,Revisión!$A$2:$L$703,7,FALSE)</f>
        <v>#N/A</v>
      </c>
      <c r="J596" s="4" t="e">
        <f>VLOOKUP(A596,Revisión!$A$2:$L$703,8,FALSE)</f>
        <v>#N/A</v>
      </c>
      <c r="K596" s="4" t="e">
        <f>VLOOKUP(A596,Revisión!$A$2:$L$703,9,FALSE)</f>
        <v>#N/A</v>
      </c>
      <c r="L596" s="4" t="e">
        <f>VLOOKUP(A596,Revisión!$A$2:$L$703,10,FALSE)</f>
        <v>#N/A</v>
      </c>
      <c r="M596" s="18" t="e">
        <f>VLOOKUP(A596,Revisión!$A$2:$L$703,11,FALSE)</f>
        <v>#N/A</v>
      </c>
      <c r="N596" s="30" t="str">
        <f>IF(E596="Coinciden",D596,IF(E596="Revisar",VLOOKUP(A596,Revisión!$A$2:$L$703,12,FALSE),""))</f>
        <v>Coreopsis basalis</v>
      </c>
    </row>
    <row r="597" spans="1:14" x14ac:dyDescent="0.3">
      <c r="A597" t="s">
        <v>1253</v>
      </c>
      <c r="B597" t="s">
        <v>1254</v>
      </c>
      <c r="C597" t="s">
        <v>1254</v>
      </c>
      <c r="D597" t="s">
        <v>1254</v>
      </c>
      <c r="E597" t="s">
        <v>18</v>
      </c>
      <c r="F597" t="s">
        <v>19</v>
      </c>
      <c r="H597" s="23" t="e">
        <f>VLOOKUP(A597,Revisión!$A$2:$L$703,6,FALSE)</f>
        <v>#N/A</v>
      </c>
      <c r="I597" s="4" t="e">
        <f>VLOOKUP(A597,Revisión!$A$2:$L$703,7,FALSE)</f>
        <v>#N/A</v>
      </c>
      <c r="J597" s="4" t="e">
        <f>VLOOKUP(A597,Revisión!$A$2:$L$703,8,FALSE)</f>
        <v>#N/A</v>
      </c>
      <c r="K597" s="4" t="e">
        <f>VLOOKUP(A597,Revisión!$A$2:$L$703,9,FALSE)</f>
        <v>#N/A</v>
      </c>
      <c r="L597" s="4" t="e">
        <f>VLOOKUP(A597,Revisión!$A$2:$L$703,10,FALSE)</f>
        <v>#N/A</v>
      </c>
      <c r="M597" s="18" t="e">
        <f>VLOOKUP(A597,Revisión!$A$2:$L$703,11,FALSE)</f>
        <v>#N/A</v>
      </c>
      <c r="N597" s="30" t="str">
        <f>IF(E597="Coinciden",D597,IF(E597="Revisar",VLOOKUP(A597,Revisión!$A$2:$L$703,12,FALSE),""))</f>
        <v>Cornus amomum</v>
      </c>
    </row>
    <row r="598" spans="1:14" x14ac:dyDescent="0.3">
      <c r="A598" t="s">
        <v>1255</v>
      </c>
      <c r="B598" t="s">
        <v>1256</v>
      </c>
      <c r="C598" t="s">
        <v>1256</v>
      </c>
      <c r="D598" t="s">
        <v>1256</v>
      </c>
      <c r="E598" t="s">
        <v>18</v>
      </c>
      <c r="F598" t="s">
        <v>19</v>
      </c>
      <c r="H598" s="23" t="e">
        <f>VLOOKUP(A598,Revisión!$A$2:$L$703,6,FALSE)</f>
        <v>#N/A</v>
      </c>
      <c r="I598" s="4" t="e">
        <f>VLOOKUP(A598,Revisión!$A$2:$L$703,7,FALSE)</f>
        <v>#N/A</v>
      </c>
      <c r="J598" s="4" t="e">
        <f>VLOOKUP(A598,Revisión!$A$2:$L$703,8,FALSE)</f>
        <v>#N/A</v>
      </c>
      <c r="K598" s="4" t="e">
        <f>VLOOKUP(A598,Revisión!$A$2:$L$703,9,FALSE)</f>
        <v>#N/A</v>
      </c>
      <c r="L598" s="4" t="e">
        <f>VLOOKUP(A598,Revisión!$A$2:$L$703,10,FALSE)</f>
        <v>#N/A</v>
      </c>
      <c r="M598" s="18" t="e">
        <f>VLOOKUP(A598,Revisión!$A$2:$L$703,11,FALSE)</f>
        <v>#N/A</v>
      </c>
      <c r="N598" s="30" t="str">
        <f>IF(E598="Coinciden",D598,IF(E598="Revisar",VLOOKUP(A598,Revisión!$A$2:$L$703,12,FALSE),""))</f>
        <v>Cornus canadensis</v>
      </c>
    </row>
    <row r="599" spans="1:14" x14ac:dyDescent="0.3">
      <c r="A599" t="s">
        <v>1257</v>
      </c>
      <c r="D599" t="s">
        <v>1258</v>
      </c>
      <c r="E599" t="s">
        <v>8</v>
      </c>
      <c r="F599" t="s">
        <v>9</v>
      </c>
      <c r="H599" s="23" t="str">
        <f>VLOOKUP(A599,Revisión!$A$2:$L$703,6,FALSE)</f>
        <v>-</v>
      </c>
      <c r="I599" s="4" t="str">
        <f>VLOOKUP(A599,Revisión!$A$2:$L$703,7,FALSE)</f>
        <v>-</v>
      </c>
      <c r="J599" s="4" t="str">
        <f>VLOOKUP(A599,Revisión!$A$2:$L$703,8,FALSE)</f>
        <v>Cornus oblonga</v>
      </c>
      <c r="K599" s="4" t="str">
        <f>VLOOKUP(A599,Revisión!$A$2:$L$703,9,FALSE)</f>
        <v>Cornus oblonga</v>
      </c>
      <c r="L599" s="4" t="str">
        <f>VLOOKUP(A599,Revisión!$A$2:$L$703,10,FALSE)</f>
        <v>Cornus oblonga</v>
      </c>
      <c r="M599" s="18">
        <f>VLOOKUP(A599,Revisión!$A$2:$L$703,11,FALSE)</f>
        <v>3</v>
      </c>
      <c r="N599" s="30" t="str">
        <f>IF(E599="Coinciden",D599,IF(E599="Revisar",VLOOKUP(A599,Revisión!$A$2:$L$703,12,FALSE),""))</f>
        <v>Cornus oblonga</v>
      </c>
    </row>
    <row r="600" spans="1:14" x14ac:dyDescent="0.3">
      <c r="A600" t="s">
        <v>1259</v>
      </c>
      <c r="B600" t="s">
        <v>1260</v>
      </c>
      <c r="C600" t="s">
        <v>1260</v>
      </c>
      <c r="D600" t="s">
        <v>1260</v>
      </c>
      <c r="E600" t="s">
        <v>18</v>
      </c>
      <c r="F600" t="s">
        <v>19</v>
      </c>
      <c r="H600" s="23" t="e">
        <f>VLOOKUP(A600,Revisión!$A$2:$L$703,6,FALSE)</f>
        <v>#N/A</v>
      </c>
      <c r="I600" s="4" t="e">
        <f>VLOOKUP(A600,Revisión!$A$2:$L$703,7,FALSE)</f>
        <v>#N/A</v>
      </c>
      <c r="J600" s="4" t="e">
        <f>VLOOKUP(A600,Revisión!$A$2:$L$703,8,FALSE)</f>
        <v>#N/A</v>
      </c>
      <c r="K600" s="4" t="e">
        <f>VLOOKUP(A600,Revisión!$A$2:$L$703,9,FALSE)</f>
        <v>#N/A</v>
      </c>
      <c r="L600" s="4" t="e">
        <f>VLOOKUP(A600,Revisión!$A$2:$L$703,10,FALSE)</f>
        <v>#N/A</v>
      </c>
      <c r="M600" s="18" t="e">
        <f>VLOOKUP(A600,Revisión!$A$2:$L$703,11,FALSE)</f>
        <v>#N/A</v>
      </c>
      <c r="N600" s="30" t="str">
        <f>IF(E600="Coinciden",D600,IF(E600="Revisar",VLOOKUP(A600,Revisión!$A$2:$L$703,12,FALSE),""))</f>
        <v>Cornus florida</v>
      </c>
    </row>
    <row r="601" spans="1:14" x14ac:dyDescent="0.3">
      <c r="A601" t="s">
        <v>1261</v>
      </c>
      <c r="B601" t="s">
        <v>1262</v>
      </c>
      <c r="C601" t="s">
        <v>1262</v>
      </c>
      <c r="D601" t="s">
        <v>1262</v>
      </c>
      <c r="E601" t="s">
        <v>18</v>
      </c>
      <c r="F601" t="s">
        <v>19</v>
      </c>
      <c r="H601" s="23" t="e">
        <f>VLOOKUP(A601,Revisión!$A$2:$L$703,6,FALSE)</f>
        <v>#N/A</v>
      </c>
      <c r="I601" s="4" t="e">
        <f>VLOOKUP(A601,Revisión!$A$2:$L$703,7,FALSE)</f>
        <v>#N/A</v>
      </c>
      <c r="J601" s="4" t="e">
        <f>VLOOKUP(A601,Revisión!$A$2:$L$703,8,FALSE)</f>
        <v>#N/A</v>
      </c>
      <c r="K601" s="4" t="e">
        <f>VLOOKUP(A601,Revisión!$A$2:$L$703,9,FALSE)</f>
        <v>#N/A</v>
      </c>
      <c r="L601" s="4" t="e">
        <f>VLOOKUP(A601,Revisión!$A$2:$L$703,10,FALSE)</f>
        <v>#N/A</v>
      </c>
      <c r="M601" s="18" t="e">
        <f>VLOOKUP(A601,Revisión!$A$2:$L$703,11,FALSE)</f>
        <v>#N/A</v>
      </c>
      <c r="N601" s="30" t="str">
        <f>IF(E601="Coinciden",D601,IF(E601="Revisar",VLOOKUP(A601,Revisión!$A$2:$L$703,12,FALSE),""))</f>
        <v>Cornutia pyramidata</v>
      </c>
    </row>
    <row r="602" spans="1:14" x14ac:dyDescent="0.3">
      <c r="A602" t="s">
        <v>1263</v>
      </c>
      <c r="B602" t="s">
        <v>1264</v>
      </c>
      <c r="C602" t="s">
        <v>1264</v>
      </c>
      <c r="D602" t="s">
        <v>1264</v>
      </c>
      <c r="E602" t="s">
        <v>18</v>
      </c>
      <c r="F602" t="s">
        <v>19</v>
      </c>
      <c r="H602" s="23" t="e">
        <f>VLOOKUP(A602,Revisión!$A$2:$L$703,6,FALSE)</f>
        <v>#N/A</v>
      </c>
      <c r="I602" s="4" t="e">
        <f>VLOOKUP(A602,Revisión!$A$2:$L$703,7,FALSE)</f>
        <v>#N/A</v>
      </c>
      <c r="J602" s="4" t="e">
        <f>VLOOKUP(A602,Revisión!$A$2:$L$703,8,FALSE)</f>
        <v>#N/A</v>
      </c>
      <c r="K602" s="4" t="e">
        <f>VLOOKUP(A602,Revisión!$A$2:$L$703,9,FALSE)</f>
        <v>#N/A</v>
      </c>
      <c r="L602" s="4" t="e">
        <f>VLOOKUP(A602,Revisión!$A$2:$L$703,10,FALSE)</f>
        <v>#N/A</v>
      </c>
      <c r="M602" s="18" t="e">
        <f>VLOOKUP(A602,Revisión!$A$2:$L$703,11,FALSE)</f>
        <v>#N/A</v>
      </c>
      <c r="N602" s="30" t="str">
        <f>IF(E602="Coinciden",D602,IF(E602="Revisar",VLOOKUP(A602,Revisión!$A$2:$L$703,12,FALSE),""))</f>
        <v>Corokia cotoneaster</v>
      </c>
    </row>
    <row r="603" spans="1:14" x14ac:dyDescent="0.3">
      <c r="A603" t="s">
        <v>1265</v>
      </c>
      <c r="B603" t="s">
        <v>1266</v>
      </c>
      <c r="C603" t="s">
        <v>1266</v>
      </c>
      <c r="D603" t="s">
        <v>1266</v>
      </c>
      <c r="E603" t="s">
        <v>18</v>
      </c>
      <c r="F603" t="s">
        <v>19</v>
      </c>
      <c r="H603" s="23" t="e">
        <f>VLOOKUP(A603,Revisión!$A$2:$L$703,6,FALSE)</f>
        <v>#N/A</v>
      </c>
      <c r="I603" s="4" t="e">
        <f>VLOOKUP(A603,Revisión!$A$2:$L$703,7,FALSE)</f>
        <v>#N/A</v>
      </c>
      <c r="J603" s="4" t="e">
        <f>VLOOKUP(A603,Revisión!$A$2:$L$703,8,FALSE)</f>
        <v>#N/A</v>
      </c>
      <c r="K603" s="4" t="e">
        <f>VLOOKUP(A603,Revisión!$A$2:$L$703,9,FALSE)</f>
        <v>#N/A</v>
      </c>
      <c r="L603" s="4" t="e">
        <f>VLOOKUP(A603,Revisión!$A$2:$L$703,10,FALSE)</f>
        <v>#N/A</v>
      </c>
      <c r="M603" s="18" t="e">
        <f>VLOOKUP(A603,Revisión!$A$2:$L$703,11,FALSE)</f>
        <v>#N/A</v>
      </c>
      <c r="N603" s="30" t="str">
        <f>IF(E603="Coinciden",D603,IF(E603="Revisar",VLOOKUP(A603,Revisión!$A$2:$L$703,12,FALSE),""))</f>
        <v>Corydalis incisa</v>
      </c>
    </row>
    <row r="604" spans="1:14" x14ac:dyDescent="0.3">
      <c r="A604" t="s">
        <v>1267</v>
      </c>
      <c r="B604" t="s">
        <v>1268</v>
      </c>
      <c r="C604" t="s">
        <v>1268</v>
      </c>
      <c r="D604" t="s">
        <v>1268</v>
      </c>
      <c r="E604" t="s">
        <v>18</v>
      </c>
      <c r="F604" t="s">
        <v>19</v>
      </c>
      <c r="H604" s="23" t="e">
        <f>VLOOKUP(A604,Revisión!$A$2:$L$703,6,FALSE)</f>
        <v>#N/A</v>
      </c>
      <c r="I604" s="4" t="e">
        <f>VLOOKUP(A604,Revisión!$A$2:$L$703,7,FALSE)</f>
        <v>#N/A</v>
      </c>
      <c r="J604" s="4" t="e">
        <f>VLOOKUP(A604,Revisión!$A$2:$L$703,8,FALSE)</f>
        <v>#N/A</v>
      </c>
      <c r="K604" s="4" t="e">
        <f>VLOOKUP(A604,Revisión!$A$2:$L$703,9,FALSE)</f>
        <v>#N/A</v>
      </c>
      <c r="L604" s="4" t="e">
        <f>VLOOKUP(A604,Revisión!$A$2:$L$703,10,FALSE)</f>
        <v>#N/A</v>
      </c>
      <c r="M604" s="18" t="e">
        <f>VLOOKUP(A604,Revisión!$A$2:$L$703,11,FALSE)</f>
        <v>#N/A</v>
      </c>
      <c r="N604" s="30" t="str">
        <f>IF(E604="Coinciden",D604,IF(E604="Revisar",VLOOKUP(A604,Revisión!$A$2:$L$703,12,FALSE),""))</f>
        <v>Corydalis lineariloba</v>
      </c>
    </row>
    <row r="605" spans="1:14" x14ac:dyDescent="0.3">
      <c r="A605" t="s">
        <v>1269</v>
      </c>
      <c r="B605" t="s">
        <v>1270</v>
      </c>
      <c r="C605" t="s">
        <v>1270</v>
      </c>
      <c r="D605" t="s">
        <v>1270</v>
      </c>
      <c r="E605" t="s">
        <v>18</v>
      </c>
      <c r="F605" t="s">
        <v>19</v>
      </c>
      <c r="H605" s="23" t="e">
        <f>VLOOKUP(A605,Revisión!$A$2:$L$703,6,FALSE)</f>
        <v>#N/A</v>
      </c>
      <c r="I605" s="4" t="e">
        <f>VLOOKUP(A605,Revisión!$A$2:$L$703,7,FALSE)</f>
        <v>#N/A</v>
      </c>
      <c r="J605" s="4" t="e">
        <f>VLOOKUP(A605,Revisión!$A$2:$L$703,8,FALSE)</f>
        <v>#N/A</v>
      </c>
      <c r="K605" s="4" t="e">
        <f>VLOOKUP(A605,Revisión!$A$2:$L$703,9,FALSE)</f>
        <v>#N/A</v>
      </c>
      <c r="L605" s="4" t="e">
        <f>VLOOKUP(A605,Revisión!$A$2:$L$703,10,FALSE)</f>
        <v>#N/A</v>
      </c>
      <c r="M605" s="18" t="e">
        <f>VLOOKUP(A605,Revisión!$A$2:$L$703,11,FALSE)</f>
        <v>#N/A</v>
      </c>
      <c r="N605" s="30" t="str">
        <f>IF(E605="Coinciden",D605,IF(E605="Revisar",VLOOKUP(A605,Revisión!$A$2:$L$703,12,FALSE),""))</f>
        <v>Corydalis pallida</v>
      </c>
    </row>
    <row r="606" spans="1:14" x14ac:dyDescent="0.3">
      <c r="A606" t="s">
        <v>1271</v>
      </c>
      <c r="B606" t="s">
        <v>1272</v>
      </c>
      <c r="C606" t="s">
        <v>1272</v>
      </c>
      <c r="D606" t="s">
        <v>1272</v>
      </c>
      <c r="E606" t="s">
        <v>18</v>
      </c>
      <c r="F606" t="s">
        <v>19</v>
      </c>
      <c r="H606" s="23" t="e">
        <f>VLOOKUP(A606,Revisión!$A$2:$L$703,6,FALSE)</f>
        <v>#N/A</v>
      </c>
      <c r="I606" s="4" t="e">
        <f>VLOOKUP(A606,Revisión!$A$2:$L$703,7,FALSE)</f>
        <v>#N/A</v>
      </c>
      <c r="J606" s="4" t="e">
        <f>VLOOKUP(A606,Revisión!$A$2:$L$703,8,FALSE)</f>
        <v>#N/A</v>
      </c>
      <c r="K606" s="4" t="e">
        <f>VLOOKUP(A606,Revisión!$A$2:$L$703,9,FALSE)</f>
        <v>#N/A</v>
      </c>
      <c r="L606" s="4" t="e">
        <f>VLOOKUP(A606,Revisión!$A$2:$L$703,10,FALSE)</f>
        <v>#N/A</v>
      </c>
      <c r="M606" s="18" t="e">
        <f>VLOOKUP(A606,Revisión!$A$2:$L$703,11,FALSE)</f>
        <v>#N/A</v>
      </c>
      <c r="N606" s="30" t="str">
        <f>IF(E606="Coinciden",D606,IF(E606="Revisar",VLOOKUP(A606,Revisión!$A$2:$L$703,12,FALSE),""))</f>
        <v>Leptinella pyrethrifolia</v>
      </c>
    </row>
    <row r="607" spans="1:14" x14ac:dyDescent="0.3">
      <c r="A607" t="s">
        <v>1273</v>
      </c>
      <c r="B607" t="s">
        <v>1274</v>
      </c>
      <c r="C607" t="s">
        <v>1274</v>
      </c>
      <c r="D607" t="s">
        <v>1274</v>
      </c>
      <c r="E607" t="s">
        <v>18</v>
      </c>
      <c r="F607" t="s">
        <v>19</v>
      </c>
      <c r="H607" s="23" t="e">
        <f>VLOOKUP(A607,Revisión!$A$2:$L$703,6,FALSE)</f>
        <v>#N/A</v>
      </c>
      <c r="I607" s="4" t="e">
        <f>VLOOKUP(A607,Revisión!$A$2:$L$703,7,FALSE)</f>
        <v>#N/A</v>
      </c>
      <c r="J607" s="4" t="e">
        <f>VLOOKUP(A607,Revisión!$A$2:$L$703,8,FALSE)</f>
        <v>#N/A</v>
      </c>
      <c r="K607" s="4" t="e">
        <f>VLOOKUP(A607,Revisión!$A$2:$L$703,9,FALSE)</f>
        <v>#N/A</v>
      </c>
      <c r="L607" s="4" t="e">
        <f>VLOOKUP(A607,Revisión!$A$2:$L$703,10,FALSE)</f>
        <v>#N/A</v>
      </c>
      <c r="M607" s="18" t="e">
        <f>VLOOKUP(A607,Revisión!$A$2:$L$703,11,FALSE)</f>
        <v>#N/A</v>
      </c>
      <c r="N607" s="30" t="str">
        <f>IF(E607="Coinciden",D607,IF(E607="Revisar",VLOOKUP(A607,Revisión!$A$2:$L$703,12,FALSE),""))</f>
        <v>Craspedia uniflora</v>
      </c>
    </row>
    <row r="608" spans="1:14" x14ac:dyDescent="0.3">
      <c r="A608" t="s">
        <v>1275</v>
      </c>
      <c r="E608" t="s">
        <v>8</v>
      </c>
      <c r="F608" t="s">
        <v>11</v>
      </c>
      <c r="H608" s="23" t="e">
        <f>VLOOKUP(A608,Revisión!$A$2:$L$703,6,FALSE)</f>
        <v>#N/A</v>
      </c>
      <c r="I608" s="4" t="e">
        <f>VLOOKUP(A608,Revisión!$A$2:$L$703,7,FALSE)</f>
        <v>#N/A</v>
      </c>
      <c r="J608" s="4" t="e">
        <f>VLOOKUP(A608,Revisión!$A$2:$L$703,8,FALSE)</f>
        <v>#N/A</v>
      </c>
      <c r="K608" s="4" t="e">
        <f>VLOOKUP(A608,Revisión!$A$2:$L$703,9,FALSE)</f>
        <v>#N/A</v>
      </c>
      <c r="L608" s="4" t="e">
        <f>VLOOKUP(A608,Revisión!$A$2:$L$703,10,FALSE)</f>
        <v>#N/A</v>
      </c>
      <c r="M608" s="18" t="e">
        <f>VLOOKUP(A608,Revisión!$A$2:$L$703,11,FALSE)</f>
        <v>#N/A</v>
      </c>
      <c r="N608" s="30" t="e">
        <f>IF(E608="Coinciden",D608,IF(E608="Revisar",VLOOKUP(A608,Revisión!$A$2:$L$703,12,FALSE),""))</f>
        <v>#N/A</v>
      </c>
    </row>
    <row r="609" spans="1:14" x14ac:dyDescent="0.3">
      <c r="A609" t="s">
        <v>1276</v>
      </c>
      <c r="B609" t="s">
        <v>1277</v>
      </c>
      <c r="D609" t="s">
        <v>1277</v>
      </c>
      <c r="E609" t="s">
        <v>8</v>
      </c>
      <c r="F609" t="s">
        <v>34</v>
      </c>
      <c r="H609" s="23" t="str">
        <f>VLOOKUP(A609,Revisión!$A$2:$L$703,6,FALSE)</f>
        <v>Crataegus crus-galli</v>
      </c>
      <c r="I609" s="4" t="str">
        <f>VLOOKUP(A609,Revisión!$A$2:$L$703,7,FALSE)</f>
        <v>-</v>
      </c>
      <c r="J609" s="4" t="str">
        <f>VLOOKUP(A609,Revisión!$A$2:$L$703,8,FALSE)</f>
        <v>Crataegus crus-galli</v>
      </c>
      <c r="K609" s="4" t="str">
        <f>VLOOKUP(A609,Revisión!$A$2:$L$703,9,FALSE)</f>
        <v>Crataegus crus-galli</v>
      </c>
      <c r="L609" s="4" t="str">
        <f>VLOOKUP(A609,Revisión!$A$2:$L$703,10,FALSE)</f>
        <v>Crataegus crus-galli</v>
      </c>
      <c r="M609" s="18">
        <f>VLOOKUP(A609,Revisión!$A$2:$L$703,11,FALSE)</f>
        <v>4</v>
      </c>
      <c r="N609" s="30" t="str">
        <f>IF(E609="Coinciden",D609,IF(E609="Revisar",VLOOKUP(A609,Revisión!$A$2:$L$703,12,FALSE),""))</f>
        <v>Crataegus crus-galli</v>
      </c>
    </row>
    <row r="610" spans="1:14" x14ac:dyDescent="0.3">
      <c r="A610" t="s">
        <v>1278</v>
      </c>
      <c r="B610" t="s">
        <v>1279</v>
      </c>
      <c r="D610" t="s">
        <v>1279</v>
      </c>
      <c r="E610" t="s">
        <v>8</v>
      </c>
      <c r="F610" t="s">
        <v>34</v>
      </c>
      <c r="H610" s="23" t="str">
        <f>VLOOKUP(A610,Revisión!$A$2:$L$703,6,FALSE)</f>
        <v>Crataegus coccinea</v>
      </c>
      <c r="I610" s="4" t="str">
        <f>VLOOKUP(A610,Revisión!$A$2:$L$703,7,FALSE)</f>
        <v>-</v>
      </c>
      <c r="J610" s="4" t="str">
        <f>VLOOKUP(A610,Revisión!$A$2:$L$703,8,FALSE)</f>
        <v>Crataegus coccinea</v>
      </c>
      <c r="K610" s="4" t="str">
        <f>VLOOKUP(A610,Revisión!$A$2:$L$703,9,FALSE)</f>
        <v>Crataegus coccinea</v>
      </c>
      <c r="L610" s="4" t="str">
        <f>VLOOKUP(A610,Revisión!$A$2:$L$703,10,FALSE)</f>
        <v>Crataegus coccinea</v>
      </c>
      <c r="M610" s="18">
        <f>VLOOKUP(A610,Revisión!$A$2:$L$703,11,FALSE)</f>
        <v>4</v>
      </c>
      <c r="N610" s="30" t="str">
        <f>IF(E610="Coinciden",D610,IF(E610="Revisar",VLOOKUP(A610,Revisión!$A$2:$L$703,12,FALSE),""))</f>
        <v>Crataegus coccinea</v>
      </c>
    </row>
    <row r="611" spans="1:14" x14ac:dyDescent="0.3">
      <c r="A611" t="s">
        <v>1280</v>
      </c>
      <c r="B611" t="s">
        <v>1281</v>
      </c>
      <c r="D611" t="s">
        <v>1281</v>
      </c>
      <c r="E611" t="s">
        <v>8</v>
      </c>
      <c r="F611" t="s">
        <v>34</v>
      </c>
      <c r="H611" s="23" t="str">
        <f>VLOOKUP(A611,Revisión!$A$2:$L$703,6,FALSE)</f>
        <v>Crataegus mollis</v>
      </c>
      <c r="I611" s="4" t="str">
        <f>VLOOKUP(A611,Revisión!$A$2:$L$703,7,FALSE)</f>
        <v>-</v>
      </c>
      <c r="J611" s="4" t="str">
        <f>VLOOKUP(A611,Revisión!$A$2:$L$703,8,FALSE)</f>
        <v>Crataegus mollis</v>
      </c>
      <c r="K611" s="4" t="str">
        <f>VLOOKUP(A611,Revisión!$A$2:$L$703,9,FALSE)</f>
        <v>Crataegus mollis</v>
      </c>
      <c r="L611" s="4" t="str">
        <f>VLOOKUP(A611,Revisión!$A$2:$L$703,10,FALSE)</f>
        <v>Crataegus mollis</v>
      </c>
      <c r="M611" s="18">
        <f>VLOOKUP(A611,Revisión!$A$2:$L$703,11,FALSE)</f>
        <v>4</v>
      </c>
      <c r="N611" s="30" t="str">
        <f>IF(E611="Coinciden",D611,IF(E611="Revisar",VLOOKUP(A611,Revisión!$A$2:$L$703,12,FALSE),""))</f>
        <v>Crataegus mollis</v>
      </c>
    </row>
    <row r="612" spans="1:14" x14ac:dyDescent="0.3">
      <c r="A612" t="s">
        <v>1282</v>
      </c>
      <c r="B612" t="s">
        <v>1283</v>
      </c>
      <c r="C612" t="s">
        <v>1283</v>
      </c>
      <c r="D612" t="s">
        <v>1283</v>
      </c>
      <c r="E612" t="s">
        <v>18</v>
      </c>
      <c r="F612" t="s">
        <v>19</v>
      </c>
      <c r="H612" s="23" t="e">
        <f>VLOOKUP(A612,Revisión!$A$2:$L$703,6,FALSE)</f>
        <v>#N/A</v>
      </c>
      <c r="I612" s="4" t="e">
        <f>VLOOKUP(A612,Revisión!$A$2:$L$703,7,FALSE)</f>
        <v>#N/A</v>
      </c>
      <c r="J612" s="4" t="e">
        <f>VLOOKUP(A612,Revisión!$A$2:$L$703,8,FALSE)</f>
        <v>#N/A</v>
      </c>
      <c r="K612" s="4" t="e">
        <f>VLOOKUP(A612,Revisión!$A$2:$L$703,9,FALSE)</f>
        <v>#N/A</v>
      </c>
      <c r="L612" s="4" t="e">
        <f>VLOOKUP(A612,Revisión!$A$2:$L$703,10,FALSE)</f>
        <v>#N/A</v>
      </c>
      <c r="M612" s="18" t="e">
        <f>VLOOKUP(A612,Revisión!$A$2:$L$703,11,FALSE)</f>
        <v>#N/A</v>
      </c>
      <c r="N612" s="30" t="str">
        <f>IF(E612="Coinciden",D612,IF(E612="Revisar",VLOOKUP(A612,Revisión!$A$2:$L$703,12,FALSE),""))</f>
        <v>Craterispermum microdon</v>
      </c>
    </row>
    <row r="613" spans="1:14" x14ac:dyDescent="0.3">
      <c r="A613" t="s">
        <v>1284</v>
      </c>
      <c r="B613" t="s">
        <v>1285</v>
      </c>
      <c r="C613" t="s">
        <v>1285</v>
      </c>
      <c r="D613" t="s">
        <v>1285</v>
      </c>
      <c r="E613" t="s">
        <v>18</v>
      </c>
      <c r="F613" t="s">
        <v>19</v>
      </c>
      <c r="H613" s="23" t="e">
        <f>VLOOKUP(A613,Revisión!$A$2:$L$703,6,FALSE)</f>
        <v>#N/A</v>
      </c>
      <c r="I613" s="4" t="e">
        <f>VLOOKUP(A613,Revisión!$A$2:$L$703,7,FALSE)</f>
        <v>#N/A</v>
      </c>
      <c r="J613" s="4" t="e">
        <f>VLOOKUP(A613,Revisión!$A$2:$L$703,8,FALSE)</f>
        <v>#N/A</v>
      </c>
      <c r="K613" s="4" t="e">
        <f>VLOOKUP(A613,Revisión!$A$2:$L$703,9,FALSE)</f>
        <v>#N/A</v>
      </c>
      <c r="L613" s="4" t="e">
        <f>VLOOKUP(A613,Revisión!$A$2:$L$703,10,FALSE)</f>
        <v>#N/A</v>
      </c>
      <c r="M613" s="18" t="e">
        <f>VLOOKUP(A613,Revisión!$A$2:$L$703,11,FALSE)</f>
        <v>#N/A</v>
      </c>
      <c r="N613" s="30" t="str">
        <f>IF(E613="Coinciden",D613,IF(E613="Revisar",VLOOKUP(A613,Revisión!$A$2:$L$703,12,FALSE),""))</f>
        <v>Crepidiastrum lanceolatum</v>
      </c>
    </row>
    <row r="614" spans="1:14" x14ac:dyDescent="0.3">
      <c r="A614" t="s">
        <v>1286</v>
      </c>
      <c r="B614" t="s">
        <v>1287</v>
      </c>
      <c r="C614" t="s">
        <v>1287</v>
      </c>
      <c r="D614" t="s">
        <v>1287</v>
      </c>
      <c r="E614" t="s">
        <v>18</v>
      </c>
      <c r="F614" t="s">
        <v>19</v>
      </c>
      <c r="H614" s="23" t="e">
        <f>VLOOKUP(A614,Revisión!$A$2:$L$703,6,FALSE)</f>
        <v>#N/A</v>
      </c>
      <c r="I614" s="4" t="e">
        <f>VLOOKUP(A614,Revisión!$A$2:$L$703,7,FALSE)</f>
        <v>#N/A</v>
      </c>
      <c r="J614" s="4" t="e">
        <f>VLOOKUP(A614,Revisión!$A$2:$L$703,8,FALSE)</f>
        <v>#N/A</v>
      </c>
      <c r="K614" s="4" t="e">
        <f>VLOOKUP(A614,Revisión!$A$2:$L$703,9,FALSE)</f>
        <v>#N/A</v>
      </c>
      <c r="L614" s="4" t="e">
        <f>VLOOKUP(A614,Revisión!$A$2:$L$703,10,FALSE)</f>
        <v>#N/A</v>
      </c>
      <c r="M614" s="18" t="e">
        <f>VLOOKUP(A614,Revisión!$A$2:$L$703,11,FALSE)</f>
        <v>#N/A</v>
      </c>
      <c r="N614" s="30" t="str">
        <f>IF(E614="Coinciden",D614,IF(E614="Revisar",VLOOKUP(A614,Revisión!$A$2:$L$703,12,FALSE),""))</f>
        <v>Crepis paludosa</v>
      </c>
    </row>
    <row r="615" spans="1:14" x14ac:dyDescent="0.3">
      <c r="A615" t="s">
        <v>1288</v>
      </c>
      <c r="B615" t="s">
        <v>1289</v>
      </c>
      <c r="C615" t="s">
        <v>1289</v>
      </c>
      <c r="D615" t="s">
        <v>1289</v>
      </c>
      <c r="E615" t="s">
        <v>18</v>
      </c>
      <c r="F615" t="s">
        <v>19</v>
      </c>
      <c r="H615" s="23" t="e">
        <f>VLOOKUP(A615,Revisión!$A$2:$L$703,6,FALSE)</f>
        <v>#N/A</v>
      </c>
      <c r="I615" s="4" t="e">
        <f>VLOOKUP(A615,Revisión!$A$2:$L$703,7,FALSE)</f>
        <v>#N/A</v>
      </c>
      <c r="J615" s="4" t="e">
        <f>VLOOKUP(A615,Revisión!$A$2:$L$703,8,FALSE)</f>
        <v>#N/A</v>
      </c>
      <c r="K615" s="4" t="e">
        <f>VLOOKUP(A615,Revisión!$A$2:$L$703,9,FALSE)</f>
        <v>#N/A</v>
      </c>
      <c r="L615" s="4" t="e">
        <f>VLOOKUP(A615,Revisión!$A$2:$L$703,10,FALSE)</f>
        <v>#N/A</v>
      </c>
      <c r="M615" s="18" t="e">
        <f>VLOOKUP(A615,Revisión!$A$2:$L$703,11,FALSE)</f>
        <v>#N/A</v>
      </c>
      <c r="N615" s="30" t="str">
        <f>IF(E615="Coinciden",D615,IF(E615="Revisar",VLOOKUP(A615,Revisión!$A$2:$L$703,12,FALSE),""))</f>
        <v>Crepis capillaris</v>
      </c>
    </row>
    <row r="616" spans="1:14" x14ac:dyDescent="0.3">
      <c r="A616" t="s">
        <v>1290</v>
      </c>
      <c r="B616" t="s">
        <v>1291</v>
      </c>
      <c r="C616" t="s">
        <v>1291</v>
      </c>
      <c r="D616" t="s">
        <v>1291</v>
      </c>
      <c r="E616" t="s">
        <v>18</v>
      </c>
      <c r="F616" t="s">
        <v>19</v>
      </c>
      <c r="H616" s="23" t="e">
        <f>VLOOKUP(A616,Revisión!$A$2:$L$703,6,FALSE)</f>
        <v>#N/A</v>
      </c>
      <c r="I616" s="4" t="e">
        <f>VLOOKUP(A616,Revisión!$A$2:$L$703,7,FALSE)</f>
        <v>#N/A</v>
      </c>
      <c r="J616" s="4" t="e">
        <f>VLOOKUP(A616,Revisión!$A$2:$L$703,8,FALSE)</f>
        <v>#N/A</v>
      </c>
      <c r="K616" s="4" t="e">
        <f>VLOOKUP(A616,Revisión!$A$2:$L$703,9,FALSE)</f>
        <v>#N/A</v>
      </c>
      <c r="L616" s="4" t="e">
        <f>VLOOKUP(A616,Revisión!$A$2:$L$703,10,FALSE)</f>
        <v>#N/A</v>
      </c>
      <c r="M616" s="18" t="e">
        <f>VLOOKUP(A616,Revisión!$A$2:$L$703,11,FALSE)</f>
        <v>#N/A</v>
      </c>
      <c r="N616" s="30" t="str">
        <f>IF(E616="Coinciden",D616,IF(E616="Revisar",VLOOKUP(A616,Revisión!$A$2:$L$703,12,FALSE),""))</f>
        <v>Crithmum maritimum</v>
      </c>
    </row>
    <row r="617" spans="1:14" x14ac:dyDescent="0.3">
      <c r="A617" t="s">
        <v>1292</v>
      </c>
      <c r="B617" t="s">
        <v>1293</v>
      </c>
      <c r="C617" t="s">
        <v>1293</v>
      </c>
      <c r="D617" t="s">
        <v>1293</v>
      </c>
      <c r="E617" t="s">
        <v>18</v>
      </c>
      <c r="F617" t="s">
        <v>19</v>
      </c>
      <c r="H617" s="23" t="e">
        <f>VLOOKUP(A617,Revisión!$A$2:$L$703,6,FALSE)</f>
        <v>#N/A</v>
      </c>
      <c r="I617" s="4" t="e">
        <f>VLOOKUP(A617,Revisión!$A$2:$L$703,7,FALSE)</f>
        <v>#N/A</v>
      </c>
      <c r="J617" s="4" t="e">
        <f>VLOOKUP(A617,Revisión!$A$2:$L$703,8,FALSE)</f>
        <v>#N/A</v>
      </c>
      <c r="K617" s="4" t="e">
        <f>VLOOKUP(A617,Revisión!$A$2:$L$703,9,FALSE)</f>
        <v>#N/A</v>
      </c>
      <c r="L617" s="4" t="e">
        <f>VLOOKUP(A617,Revisión!$A$2:$L$703,10,FALSE)</f>
        <v>#N/A</v>
      </c>
      <c r="M617" s="18" t="e">
        <f>VLOOKUP(A617,Revisión!$A$2:$L$703,11,FALSE)</f>
        <v>#N/A</v>
      </c>
      <c r="N617" s="30" t="str">
        <f>IF(E617="Coinciden",D617,IF(E617="Revisar",VLOOKUP(A617,Revisión!$A$2:$L$703,12,FALSE),""))</f>
        <v>Crocus cancellatus</v>
      </c>
    </row>
    <row r="618" spans="1:14" x14ac:dyDescent="0.3">
      <c r="A618" t="s">
        <v>1294</v>
      </c>
      <c r="B618" t="s">
        <v>1295</v>
      </c>
      <c r="C618" t="s">
        <v>1295</v>
      </c>
      <c r="D618" t="s">
        <v>1295</v>
      </c>
      <c r="E618" t="s">
        <v>18</v>
      </c>
      <c r="F618" t="s">
        <v>19</v>
      </c>
      <c r="H618" s="23" t="e">
        <f>VLOOKUP(A618,Revisión!$A$2:$L$703,6,FALSE)</f>
        <v>#N/A</v>
      </c>
      <c r="I618" s="4" t="e">
        <f>VLOOKUP(A618,Revisión!$A$2:$L$703,7,FALSE)</f>
        <v>#N/A</v>
      </c>
      <c r="J618" s="4" t="e">
        <f>VLOOKUP(A618,Revisión!$A$2:$L$703,8,FALSE)</f>
        <v>#N/A</v>
      </c>
      <c r="K618" s="4" t="e">
        <f>VLOOKUP(A618,Revisión!$A$2:$L$703,9,FALSE)</f>
        <v>#N/A</v>
      </c>
      <c r="L618" s="4" t="e">
        <f>VLOOKUP(A618,Revisión!$A$2:$L$703,10,FALSE)</f>
        <v>#N/A</v>
      </c>
      <c r="M618" s="18" t="e">
        <f>VLOOKUP(A618,Revisión!$A$2:$L$703,11,FALSE)</f>
        <v>#N/A</v>
      </c>
      <c r="N618" s="30" t="str">
        <f>IF(E618="Coinciden",D618,IF(E618="Revisar",VLOOKUP(A618,Revisión!$A$2:$L$703,12,FALSE),""))</f>
        <v>Crocus laevigatus</v>
      </c>
    </row>
    <row r="619" spans="1:14" x14ac:dyDescent="0.3">
      <c r="A619" t="s">
        <v>1296</v>
      </c>
      <c r="B619" t="s">
        <v>1297</v>
      </c>
      <c r="C619" t="s">
        <v>1297</v>
      </c>
      <c r="D619" t="s">
        <v>1297</v>
      </c>
      <c r="E619" t="s">
        <v>18</v>
      </c>
      <c r="F619" t="s">
        <v>19</v>
      </c>
      <c r="H619" s="23" t="e">
        <f>VLOOKUP(A619,Revisión!$A$2:$L$703,6,FALSE)</f>
        <v>#N/A</v>
      </c>
      <c r="I619" s="4" t="e">
        <f>VLOOKUP(A619,Revisión!$A$2:$L$703,7,FALSE)</f>
        <v>#N/A</v>
      </c>
      <c r="J619" s="4" t="e">
        <f>VLOOKUP(A619,Revisión!$A$2:$L$703,8,FALSE)</f>
        <v>#N/A</v>
      </c>
      <c r="K619" s="4" t="e">
        <f>VLOOKUP(A619,Revisión!$A$2:$L$703,9,FALSE)</f>
        <v>#N/A</v>
      </c>
      <c r="L619" s="4" t="e">
        <f>VLOOKUP(A619,Revisión!$A$2:$L$703,10,FALSE)</f>
        <v>#N/A</v>
      </c>
      <c r="M619" s="18" t="e">
        <f>VLOOKUP(A619,Revisión!$A$2:$L$703,11,FALSE)</f>
        <v>#N/A</v>
      </c>
      <c r="N619" s="30" t="str">
        <f>IF(E619="Coinciden",D619,IF(E619="Revisar",VLOOKUP(A619,Revisión!$A$2:$L$703,12,FALSE),""))</f>
        <v>Croomia japonica</v>
      </c>
    </row>
    <row r="620" spans="1:14" x14ac:dyDescent="0.3">
      <c r="A620" t="s">
        <v>1298</v>
      </c>
      <c r="B620" t="s">
        <v>1299</v>
      </c>
      <c r="C620" t="s">
        <v>1299</v>
      </c>
      <c r="D620" t="s">
        <v>1299</v>
      </c>
      <c r="E620" t="s">
        <v>18</v>
      </c>
      <c r="F620" t="s">
        <v>19</v>
      </c>
      <c r="H620" s="23" t="e">
        <f>VLOOKUP(A620,Revisión!$A$2:$L$703,6,FALSE)</f>
        <v>#N/A</v>
      </c>
      <c r="I620" s="4" t="e">
        <f>VLOOKUP(A620,Revisión!$A$2:$L$703,7,FALSE)</f>
        <v>#N/A</v>
      </c>
      <c r="J620" s="4" t="e">
        <f>VLOOKUP(A620,Revisión!$A$2:$L$703,8,FALSE)</f>
        <v>#N/A</v>
      </c>
      <c r="K620" s="4" t="e">
        <f>VLOOKUP(A620,Revisión!$A$2:$L$703,9,FALSE)</f>
        <v>#N/A</v>
      </c>
      <c r="L620" s="4" t="e">
        <f>VLOOKUP(A620,Revisión!$A$2:$L$703,10,FALSE)</f>
        <v>#N/A</v>
      </c>
      <c r="M620" s="18" t="e">
        <f>VLOOKUP(A620,Revisión!$A$2:$L$703,11,FALSE)</f>
        <v>#N/A</v>
      </c>
      <c r="N620" s="30" t="str">
        <f>IF(E620="Coinciden",D620,IF(E620="Revisar",VLOOKUP(A620,Revisión!$A$2:$L$703,12,FALSE),""))</f>
        <v>Crotalaria sagittalis</v>
      </c>
    </row>
    <row r="621" spans="1:14" x14ac:dyDescent="0.3">
      <c r="A621" t="s">
        <v>1300</v>
      </c>
      <c r="B621" t="s">
        <v>1301</v>
      </c>
      <c r="C621" t="s">
        <v>1301</v>
      </c>
      <c r="D621" t="s">
        <v>1301</v>
      </c>
      <c r="E621" t="s">
        <v>18</v>
      </c>
      <c r="F621" t="s">
        <v>19</v>
      </c>
      <c r="H621" s="23" t="e">
        <f>VLOOKUP(A621,Revisión!$A$2:$L$703,6,FALSE)</f>
        <v>#N/A</v>
      </c>
      <c r="I621" s="4" t="e">
        <f>VLOOKUP(A621,Revisión!$A$2:$L$703,7,FALSE)</f>
        <v>#N/A</v>
      </c>
      <c r="J621" s="4" t="e">
        <f>VLOOKUP(A621,Revisión!$A$2:$L$703,8,FALSE)</f>
        <v>#N/A</v>
      </c>
      <c r="K621" s="4" t="e">
        <f>VLOOKUP(A621,Revisión!$A$2:$L$703,9,FALSE)</f>
        <v>#N/A</v>
      </c>
      <c r="L621" s="4" t="e">
        <f>VLOOKUP(A621,Revisión!$A$2:$L$703,10,FALSE)</f>
        <v>#N/A</v>
      </c>
      <c r="M621" s="18" t="e">
        <f>VLOOKUP(A621,Revisión!$A$2:$L$703,11,FALSE)</f>
        <v>#N/A</v>
      </c>
      <c r="N621" s="30" t="str">
        <f>IF(E621="Coinciden",D621,IF(E621="Revisar",VLOOKUP(A621,Revisión!$A$2:$L$703,12,FALSE),""))</f>
        <v>Crotalaria incana</v>
      </c>
    </row>
    <row r="622" spans="1:14" x14ac:dyDescent="0.3">
      <c r="A622" t="s">
        <v>1302</v>
      </c>
      <c r="B622" t="s">
        <v>1303</v>
      </c>
      <c r="C622" t="s">
        <v>1303</v>
      </c>
      <c r="D622" t="s">
        <v>1303</v>
      </c>
      <c r="E622" t="s">
        <v>18</v>
      </c>
      <c r="F622" t="s">
        <v>19</v>
      </c>
      <c r="H622" s="23" t="e">
        <f>VLOOKUP(A622,Revisión!$A$2:$L$703,6,FALSE)</f>
        <v>#N/A</v>
      </c>
      <c r="I622" s="4" t="e">
        <f>VLOOKUP(A622,Revisión!$A$2:$L$703,7,FALSE)</f>
        <v>#N/A</v>
      </c>
      <c r="J622" s="4" t="e">
        <f>VLOOKUP(A622,Revisión!$A$2:$L$703,8,FALSE)</f>
        <v>#N/A</v>
      </c>
      <c r="K622" s="4" t="e">
        <f>VLOOKUP(A622,Revisión!$A$2:$L$703,9,FALSE)</f>
        <v>#N/A</v>
      </c>
      <c r="L622" s="4" t="e">
        <f>VLOOKUP(A622,Revisión!$A$2:$L$703,10,FALSE)</f>
        <v>#N/A</v>
      </c>
      <c r="M622" s="18" t="e">
        <f>VLOOKUP(A622,Revisión!$A$2:$L$703,11,FALSE)</f>
        <v>#N/A</v>
      </c>
      <c r="N622" s="30" t="str">
        <f>IF(E622="Coinciden",D622,IF(E622="Revisar",VLOOKUP(A622,Revisión!$A$2:$L$703,12,FALSE),""))</f>
        <v>Crotalaria verrucosa</v>
      </c>
    </row>
    <row r="623" spans="1:14" x14ac:dyDescent="0.3">
      <c r="A623" t="s">
        <v>1304</v>
      </c>
      <c r="C623" t="s">
        <v>1305</v>
      </c>
      <c r="D623" t="s">
        <v>1305</v>
      </c>
      <c r="E623" t="s">
        <v>8</v>
      </c>
      <c r="F623" t="s">
        <v>49</v>
      </c>
      <c r="H623" s="23" t="str">
        <f>VLOOKUP(A623,Revisión!$A$2:$L$703,6,FALSE)</f>
        <v>Croton grangerioides</v>
      </c>
      <c r="I623" s="4" t="str">
        <f>VLOOKUP(A623,Revisión!$A$2:$L$703,7,FALSE)</f>
        <v>-</v>
      </c>
      <c r="J623" s="4" t="str">
        <f>VLOOKUP(A623,Revisión!$A$2:$L$703,8,FALSE)</f>
        <v>Croton grangerioides</v>
      </c>
      <c r="K623" s="4" t="str">
        <f>VLOOKUP(A623,Revisión!$A$2:$L$703,9,FALSE)</f>
        <v>Croton grangerioides</v>
      </c>
      <c r="L623" s="4" t="str">
        <f>VLOOKUP(A623,Revisión!$A$2:$L$703,10,FALSE)</f>
        <v>Croton grangerioides</v>
      </c>
      <c r="M623" s="18">
        <f>VLOOKUP(A623,Revisión!$A$2:$L$703,11,FALSE)</f>
        <v>4</v>
      </c>
      <c r="N623" s="30" t="str">
        <f>IF(E623="Coinciden",D623,IF(E623="Revisar",VLOOKUP(A623,Revisión!$A$2:$L$703,12,FALSE),""))</f>
        <v>Croton grangerioides</v>
      </c>
    </row>
    <row r="624" spans="1:14" x14ac:dyDescent="0.3">
      <c r="A624" t="s">
        <v>1306</v>
      </c>
      <c r="B624" t="s">
        <v>1307</v>
      </c>
      <c r="C624" t="s">
        <v>1307</v>
      </c>
      <c r="D624" t="s">
        <v>1307</v>
      </c>
      <c r="E624" t="s">
        <v>18</v>
      </c>
      <c r="F624" t="s">
        <v>19</v>
      </c>
      <c r="H624" s="23" t="e">
        <f>VLOOKUP(A624,Revisión!$A$2:$L$703,6,FALSE)</f>
        <v>#N/A</v>
      </c>
      <c r="I624" s="4" t="e">
        <f>VLOOKUP(A624,Revisión!$A$2:$L$703,7,FALSE)</f>
        <v>#N/A</v>
      </c>
      <c r="J624" s="4" t="e">
        <f>VLOOKUP(A624,Revisión!$A$2:$L$703,8,FALSE)</f>
        <v>#N/A</v>
      </c>
      <c r="K624" s="4" t="e">
        <f>VLOOKUP(A624,Revisión!$A$2:$L$703,9,FALSE)</f>
        <v>#N/A</v>
      </c>
      <c r="L624" s="4" t="e">
        <f>VLOOKUP(A624,Revisión!$A$2:$L$703,10,FALSE)</f>
        <v>#N/A</v>
      </c>
      <c r="M624" s="18" t="e">
        <f>VLOOKUP(A624,Revisión!$A$2:$L$703,11,FALSE)</f>
        <v>#N/A</v>
      </c>
      <c r="N624" s="30" t="str">
        <f>IF(E624="Coinciden",D624,IF(E624="Revisar",VLOOKUP(A624,Revisión!$A$2:$L$703,12,FALSE),""))</f>
        <v>Croton flavens</v>
      </c>
    </row>
    <row r="625" spans="1:14" x14ac:dyDescent="0.3">
      <c r="A625" t="s">
        <v>1308</v>
      </c>
      <c r="B625" t="s">
        <v>1309</v>
      </c>
      <c r="C625" t="s">
        <v>1309</v>
      </c>
      <c r="D625" t="s">
        <v>1309</v>
      </c>
      <c r="E625" t="s">
        <v>18</v>
      </c>
      <c r="F625" t="s">
        <v>19</v>
      </c>
      <c r="H625" s="23" t="e">
        <f>VLOOKUP(A625,Revisión!$A$2:$L$703,6,FALSE)</f>
        <v>#N/A</v>
      </c>
      <c r="I625" s="4" t="e">
        <f>VLOOKUP(A625,Revisión!$A$2:$L$703,7,FALSE)</f>
        <v>#N/A</v>
      </c>
      <c r="J625" s="4" t="e">
        <f>VLOOKUP(A625,Revisión!$A$2:$L$703,8,FALSE)</f>
        <v>#N/A</v>
      </c>
      <c r="K625" s="4" t="e">
        <f>VLOOKUP(A625,Revisión!$A$2:$L$703,9,FALSE)</f>
        <v>#N/A</v>
      </c>
      <c r="L625" s="4" t="e">
        <f>VLOOKUP(A625,Revisión!$A$2:$L$703,10,FALSE)</f>
        <v>#N/A</v>
      </c>
      <c r="M625" s="18" t="e">
        <f>VLOOKUP(A625,Revisión!$A$2:$L$703,11,FALSE)</f>
        <v>#N/A</v>
      </c>
      <c r="N625" s="30" t="str">
        <f>IF(E625="Coinciden",D625,IF(E625="Revisar",VLOOKUP(A625,Revisión!$A$2:$L$703,12,FALSE),""))</f>
        <v>Croton scouleri</v>
      </c>
    </row>
    <row r="626" spans="1:14" x14ac:dyDescent="0.3">
      <c r="A626" t="s">
        <v>1310</v>
      </c>
      <c r="B626" t="s">
        <v>1311</v>
      </c>
      <c r="C626" t="s">
        <v>1311</v>
      </c>
      <c r="D626" t="s">
        <v>1311</v>
      </c>
      <c r="E626" t="s">
        <v>18</v>
      </c>
      <c r="F626" t="s">
        <v>19</v>
      </c>
      <c r="H626" s="23" t="e">
        <f>VLOOKUP(A626,Revisión!$A$2:$L$703,6,FALSE)</f>
        <v>#N/A</v>
      </c>
      <c r="I626" s="4" t="e">
        <f>VLOOKUP(A626,Revisión!$A$2:$L$703,7,FALSE)</f>
        <v>#N/A</v>
      </c>
      <c r="J626" s="4" t="e">
        <f>VLOOKUP(A626,Revisión!$A$2:$L$703,8,FALSE)</f>
        <v>#N/A</v>
      </c>
      <c r="K626" s="4" t="e">
        <f>VLOOKUP(A626,Revisión!$A$2:$L$703,9,FALSE)</f>
        <v>#N/A</v>
      </c>
      <c r="L626" s="4" t="e">
        <f>VLOOKUP(A626,Revisión!$A$2:$L$703,10,FALSE)</f>
        <v>#N/A</v>
      </c>
      <c r="M626" s="18" t="e">
        <f>VLOOKUP(A626,Revisión!$A$2:$L$703,11,FALSE)</f>
        <v>#N/A</v>
      </c>
      <c r="N626" s="30" t="str">
        <f>IF(E626="Coinciden",D626,IF(E626="Revisar",VLOOKUP(A626,Revisión!$A$2:$L$703,12,FALSE),""))</f>
        <v>Croton hirtus</v>
      </c>
    </row>
    <row r="627" spans="1:14" x14ac:dyDescent="0.3">
      <c r="A627" t="s">
        <v>1312</v>
      </c>
      <c r="B627" t="s">
        <v>1313</v>
      </c>
      <c r="C627" t="s">
        <v>1313</v>
      </c>
      <c r="D627" t="s">
        <v>1313</v>
      </c>
      <c r="E627" t="s">
        <v>18</v>
      </c>
      <c r="F627" t="s">
        <v>19</v>
      </c>
      <c r="H627" s="23" t="e">
        <f>VLOOKUP(A627,Revisión!$A$2:$L$703,6,FALSE)</f>
        <v>#N/A</v>
      </c>
      <c r="I627" s="4" t="e">
        <f>VLOOKUP(A627,Revisión!$A$2:$L$703,7,FALSE)</f>
        <v>#N/A</v>
      </c>
      <c r="J627" s="4" t="e">
        <f>VLOOKUP(A627,Revisión!$A$2:$L$703,8,FALSE)</f>
        <v>#N/A</v>
      </c>
      <c r="K627" s="4" t="e">
        <f>VLOOKUP(A627,Revisión!$A$2:$L$703,9,FALSE)</f>
        <v>#N/A</v>
      </c>
      <c r="L627" s="4" t="e">
        <f>VLOOKUP(A627,Revisión!$A$2:$L$703,10,FALSE)</f>
        <v>#N/A</v>
      </c>
      <c r="M627" s="18" t="e">
        <f>VLOOKUP(A627,Revisión!$A$2:$L$703,11,FALSE)</f>
        <v>#N/A</v>
      </c>
      <c r="N627" s="30" t="str">
        <f>IF(E627="Coinciden",D627,IF(E627="Revisar",VLOOKUP(A627,Revisión!$A$2:$L$703,12,FALSE),""))</f>
        <v>Croton fothergillifolius</v>
      </c>
    </row>
    <row r="628" spans="1:14" x14ac:dyDescent="0.3">
      <c r="A628" t="s">
        <v>1314</v>
      </c>
      <c r="B628" t="s">
        <v>1315</v>
      </c>
      <c r="C628" t="s">
        <v>1315</v>
      </c>
      <c r="D628" t="s">
        <v>1315</v>
      </c>
      <c r="E628" t="s">
        <v>18</v>
      </c>
      <c r="F628" t="s">
        <v>19</v>
      </c>
      <c r="H628" s="23" t="e">
        <f>VLOOKUP(A628,Revisión!$A$2:$L$703,6,FALSE)</f>
        <v>#N/A</v>
      </c>
      <c r="I628" s="4" t="e">
        <f>VLOOKUP(A628,Revisión!$A$2:$L$703,7,FALSE)</f>
        <v>#N/A</v>
      </c>
      <c r="J628" s="4" t="e">
        <f>VLOOKUP(A628,Revisión!$A$2:$L$703,8,FALSE)</f>
        <v>#N/A</v>
      </c>
      <c r="K628" s="4" t="e">
        <f>VLOOKUP(A628,Revisión!$A$2:$L$703,9,FALSE)</f>
        <v>#N/A</v>
      </c>
      <c r="L628" s="4" t="e">
        <f>VLOOKUP(A628,Revisión!$A$2:$L$703,10,FALSE)</f>
        <v>#N/A</v>
      </c>
      <c r="M628" s="18" t="e">
        <f>VLOOKUP(A628,Revisión!$A$2:$L$703,11,FALSE)</f>
        <v>#N/A</v>
      </c>
      <c r="N628" s="30" t="str">
        <f>IF(E628="Coinciden",D628,IF(E628="Revisar",VLOOKUP(A628,Revisión!$A$2:$L$703,12,FALSE),""))</f>
        <v>Crupina crupinastrum</v>
      </c>
    </row>
    <row r="629" spans="1:14" x14ac:dyDescent="0.3">
      <c r="A629" t="s">
        <v>1316</v>
      </c>
      <c r="B629" t="s">
        <v>1317</v>
      </c>
      <c r="C629" t="s">
        <v>1317</v>
      </c>
      <c r="D629" t="s">
        <v>1317</v>
      </c>
      <c r="E629" t="s">
        <v>18</v>
      </c>
      <c r="F629" t="s">
        <v>19</v>
      </c>
      <c r="H629" s="23" t="e">
        <f>VLOOKUP(A629,Revisión!$A$2:$L$703,6,FALSE)</f>
        <v>#N/A</v>
      </c>
      <c r="I629" s="4" t="e">
        <f>VLOOKUP(A629,Revisión!$A$2:$L$703,7,FALSE)</f>
        <v>#N/A</v>
      </c>
      <c r="J629" s="4" t="e">
        <f>VLOOKUP(A629,Revisión!$A$2:$L$703,8,FALSE)</f>
        <v>#N/A</v>
      </c>
      <c r="K629" s="4" t="e">
        <f>VLOOKUP(A629,Revisión!$A$2:$L$703,9,FALSE)</f>
        <v>#N/A</v>
      </c>
      <c r="L629" s="4" t="e">
        <f>VLOOKUP(A629,Revisión!$A$2:$L$703,10,FALSE)</f>
        <v>#N/A</v>
      </c>
      <c r="M629" s="18" t="e">
        <f>VLOOKUP(A629,Revisión!$A$2:$L$703,11,FALSE)</f>
        <v>#N/A</v>
      </c>
      <c r="N629" s="30" t="str">
        <f>IF(E629="Coinciden",D629,IF(E629="Revisar",VLOOKUP(A629,Revisión!$A$2:$L$703,12,FALSE),""))</f>
        <v>Cryptocarpus pyriformis</v>
      </c>
    </row>
    <row r="630" spans="1:14" x14ac:dyDescent="0.3">
      <c r="A630" t="s">
        <v>1318</v>
      </c>
      <c r="B630" t="s">
        <v>1319</v>
      </c>
      <c r="C630" t="s">
        <v>1319</v>
      </c>
      <c r="D630" t="s">
        <v>1319</v>
      </c>
      <c r="E630" t="s">
        <v>18</v>
      </c>
      <c r="F630" t="s">
        <v>19</v>
      </c>
      <c r="H630" s="23" t="e">
        <f>VLOOKUP(A630,Revisión!$A$2:$L$703,6,FALSE)</f>
        <v>#N/A</v>
      </c>
      <c r="I630" s="4" t="e">
        <f>VLOOKUP(A630,Revisión!$A$2:$L$703,7,FALSE)</f>
        <v>#N/A</v>
      </c>
      <c r="J630" s="4" t="e">
        <f>VLOOKUP(A630,Revisión!$A$2:$L$703,8,FALSE)</f>
        <v>#N/A</v>
      </c>
      <c r="K630" s="4" t="e">
        <f>VLOOKUP(A630,Revisión!$A$2:$L$703,9,FALSE)</f>
        <v>#N/A</v>
      </c>
      <c r="L630" s="4" t="e">
        <f>VLOOKUP(A630,Revisión!$A$2:$L$703,10,FALSE)</f>
        <v>#N/A</v>
      </c>
      <c r="M630" s="18" t="e">
        <f>VLOOKUP(A630,Revisión!$A$2:$L$703,11,FALSE)</f>
        <v>#N/A</v>
      </c>
      <c r="N630" s="30" t="str">
        <f>IF(E630="Coinciden",D630,IF(E630="Revisar",VLOOKUP(A630,Revisión!$A$2:$L$703,12,FALSE),""))</f>
        <v>Cryptotaenia japonica</v>
      </c>
    </row>
    <row r="631" spans="1:14" x14ac:dyDescent="0.3">
      <c r="A631" t="s">
        <v>1320</v>
      </c>
      <c r="B631" t="s">
        <v>1321</v>
      </c>
      <c r="C631" t="s">
        <v>1321</v>
      </c>
      <c r="D631" t="s">
        <v>1321</v>
      </c>
      <c r="E631" t="s">
        <v>18</v>
      </c>
      <c r="F631" t="s">
        <v>19</v>
      </c>
      <c r="H631" s="23" t="e">
        <f>VLOOKUP(A631,Revisión!$A$2:$L$703,6,FALSE)</f>
        <v>#N/A</v>
      </c>
      <c r="I631" s="4" t="e">
        <f>VLOOKUP(A631,Revisión!$A$2:$L$703,7,FALSE)</f>
        <v>#N/A</v>
      </c>
      <c r="J631" s="4" t="e">
        <f>VLOOKUP(A631,Revisión!$A$2:$L$703,8,FALSE)</f>
        <v>#N/A</v>
      </c>
      <c r="K631" s="4" t="e">
        <f>VLOOKUP(A631,Revisión!$A$2:$L$703,9,FALSE)</f>
        <v>#N/A</v>
      </c>
      <c r="L631" s="4" t="e">
        <f>VLOOKUP(A631,Revisión!$A$2:$L$703,10,FALSE)</f>
        <v>#N/A</v>
      </c>
      <c r="M631" s="18" t="e">
        <f>VLOOKUP(A631,Revisión!$A$2:$L$703,11,FALSE)</f>
        <v>#N/A</v>
      </c>
      <c r="N631" s="30" t="str">
        <f>IF(E631="Coinciden",D631,IF(E631="Revisar",VLOOKUP(A631,Revisión!$A$2:$L$703,12,FALSE),""))</f>
        <v>Cryptotaenia canadensis</v>
      </c>
    </row>
    <row r="632" spans="1:14" x14ac:dyDescent="0.3">
      <c r="A632" t="s">
        <v>1322</v>
      </c>
      <c r="B632" t="s">
        <v>1323</v>
      </c>
      <c r="C632" t="s">
        <v>1323</v>
      </c>
      <c r="D632" t="s">
        <v>1323</v>
      </c>
      <c r="E632" t="s">
        <v>18</v>
      </c>
      <c r="F632" t="s">
        <v>19</v>
      </c>
      <c r="H632" s="23" t="e">
        <f>VLOOKUP(A632,Revisión!$A$2:$L$703,6,FALSE)</f>
        <v>#N/A</v>
      </c>
      <c r="I632" s="4" t="e">
        <f>VLOOKUP(A632,Revisión!$A$2:$L$703,7,FALSE)</f>
        <v>#N/A</v>
      </c>
      <c r="J632" s="4" t="e">
        <f>VLOOKUP(A632,Revisión!$A$2:$L$703,8,FALSE)</f>
        <v>#N/A</v>
      </c>
      <c r="K632" s="4" t="e">
        <f>VLOOKUP(A632,Revisión!$A$2:$L$703,9,FALSE)</f>
        <v>#N/A</v>
      </c>
      <c r="L632" s="4" t="e">
        <f>VLOOKUP(A632,Revisión!$A$2:$L$703,10,FALSE)</f>
        <v>#N/A</v>
      </c>
      <c r="M632" s="18" t="e">
        <f>VLOOKUP(A632,Revisión!$A$2:$L$703,11,FALSE)</f>
        <v>#N/A</v>
      </c>
      <c r="N632" s="30" t="str">
        <f>IF(E632="Coinciden",D632,IF(E632="Revisar",VLOOKUP(A632,Revisión!$A$2:$L$703,12,FALSE),""))</f>
        <v>Cucurbita melopepo</v>
      </c>
    </row>
    <row r="633" spans="1:14" x14ac:dyDescent="0.3">
      <c r="A633" t="s">
        <v>1324</v>
      </c>
      <c r="B633" t="s">
        <v>1325</v>
      </c>
      <c r="C633" t="s">
        <v>1325</v>
      </c>
      <c r="D633" t="s">
        <v>1325</v>
      </c>
      <c r="E633" t="s">
        <v>18</v>
      </c>
      <c r="F633" t="s">
        <v>19</v>
      </c>
      <c r="H633" s="23" t="e">
        <f>VLOOKUP(A633,Revisión!$A$2:$L$703,6,FALSE)</f>
        <v>#N/A</v>
      </c>
      <c r="I633" s="4" t="e">
        <f>VLOOKUP(A633,Revisión!$A$2:$L$703,7,FALSE)</f>
        <v>#N/A</v>
      </c>
      <c r="J633" s="4" t="e">
        <f>VLOOKUP(A633,Revisión!$A$2:$L$703,8,FALSE)</f>
        <v>#N/A</v>
      </c>
      <c r="K633" s="4" t="e">
        <f>VLOOKUP(A633,Revisión!$A$2:$L$703,9,FALSE)</f>
        <v>#N/A</v>
      </c>
      <c r="L633" s="4" t="e">
        <f>VLOOKUP(A633,Revisión!$A$2:$L$703,10,FALSE)</f>
        <v>#N/A</v>
      </c>
      <c r="M633" s="18" t="e">
        <f>VLOOKUP(A633,Revisión!$A$2:$L$703,11,FALSE)</f>
        <v>#N/A</v>
      </c>
      <c r="N633" s="30" t="str">
        <f>IF(E633="Coinciden",D633,IF(E633="Revisar",VLOOKUP(A633,Revisión!$A$2:$L$703,12,FALSE),""))</f>
        <v>Cucurbita pepo</v>
      </c>
    </row>
    <row r="634" spans="1:14" x14ac:dyDescent="0.3">
      <c r="A634" t="s">
        <v>1326</v>
      </c>
      <c r="B634" t="s">
        <v>1327</v>
      </c>
      <c r="C634" t="s">
        <v>1327</v>
      </c>
      <c r="D634" t="s">
        <v>1327</v>
      </c>
      <c r="E634" t="s">
        <v>18</v>
      </c>
      <c r="F634" t="s">
        <v>19</v>
      </c>
      <c r="H634" s="23" t="e">
        <f>VLOOKUP(A634,Revisión!$A$2:$L$703,6,FALSE)</f>
        <v>#N/A</v>
      </c>
      <c r="I634" s="4" t="e">
        <f>VLOOKUP(A634,Revisión!$A$2:$L$703,7,FALSE)</f>
        <v>#N/A</v>
      </c>
      <c r="J634" s="4" t="e">
        <f>VLOOKUP(A634,Revisión!$A$2:$L$703,8,FALSE)</f>
        <v>#N/A</v>
      </c>
      <c r="K634" s="4" t="e">
        <f>VLOOKUP(A634,Revisión!$A$2:$L$703,9,FALSE)</f>
        <v>#N/A</v>
      </c>
      <c r="L634" s="4" t="e">
        <f>VLOOKUP(A634,Revisión!$A$2:$L$703,10,FALSE)</f>
        <v>#N/A</v>
      </c>
      <c r="M634" s="18" t="e">
        <f>VLOOKUP(A634,Revisión!$A$2:$L$703,11,FALSE)</f>
        <v>#N/A</v>
      </c>
      <c r="N634" s="30" t="str">
        <f>IF(E634="Coinciden",D634,IF(E634="Revisar",VLOOKUP(A634,Revisión!$A$2:$L$703,12,FALSE),""))</f>
        <v>Cuphea odonellii</v>
      </c>
    </row>
    <row r="635" spans="1:14" x14ac:dyDescent="0.3">
      <c r="A635" t="s">
        <v>1328</v>
      </c>
      <c r="B635" t="s">
        <v>1329</v>
      </c>
      <c r="D635" t="s">
        <v>1330</v>
      </c>
      <c r="E635" t="s">
        <v>8</v>
      </c>
      <c r="F635" t="s">
        <v>9</v>
      </c>
      <c r="H635" s="23" t="str">
        <f>VLOOKUP(A635,Revisión!$A$2:$L$703,6,FALSE)</f>
        <v>Cuphea viscosissima </v>
      </c>
      <c r="I635" s="4" t="str">
        <f>VLOOKUP(A635,Revisión!$A$2:$L$703,7,FALSE)</f>
        <v>-</v>
      </c>
      <c r="J635" s="4" t="str">
        <f>VLOOKUP(A635,Revisión!$A$2:$L$703,8,FALSE)</f>
        <v>Cuphea viscosissima </v>
      </c>
      <c r="K635" s="4" t="str">
        <f>VLOOKUP(A635,Revisión!$A$2:$L$703,9,FALSE)</f>
        <v>Cuphea viscosissima </v>
      </c>
      <c r="L635" s="4" t="str">
        <f>VLOOKUP(A635,Revisión!$A$2:$L$703,10,FALSE)</f>
        <v>Cuphea viscosissima </v>
      </c>
      <c r="M635" s="18">
        <f>VLOOKUP(A635,Revisión!$A$2:$L$703,11,FALSE)</f>
        <v>4</v>
      </c>
      <c r="N635" s="30" t="str">
        <f>IF(E635="Coinciden",D635,IF(E635="Revisar",VLOOKUP(A635,Revisión!$A$2:$L$703,12,FALSE),""))</f>
        <v>Cuphea viscosissima </v>
      </c>
    </row>
    <row r="636" spans="1:14" x14ac:dyDescent="0.3">
      <c r="A636" t="s">
        <v>1331</v>
      </c>
      <c r="B636" t="s">
        <v>1332</v>
      </c>
      <c r="D636" t="s">
        <v>1332</v>
      </c>
      <c r="E636" t="s">
        <v>8</v>
      </c>
      <c r="F636" t="s">
        <v>34</v>
      </c>
      <c r="H636" s="23" t="str">
        <f>VLOOKUP(A636,Revisión!$A$2:$L$703,6,FALSE)</f>
        <v>Cuphea fruticosa</v>
      </c>
      <c r="I636" s="4" t="str">
        <f>VLOOKUP(A636,Revisión!$A$2:$L$703,7,FALSE)</f>
        <v>-</v>
      </c>
      <c r="J636" s="4" t="str">
        <f>VLOOKUP(A636,Revisión!$A$2:$L$703,8,FALSE)</f>
        <v>Cuphea fruticosa</v>
      </c>
      <c r="K636" s="4" t="str">
        <f>VLOOKUP(A636,Revisión!$A$2:$L$703,9,FALSE)</f>
        <v>Cuphea fruticosa</v>
      </c>
      <c r="L636" s="4" t="str">
        <f>VLOOKUP(A636,Revisión!$A$2:$L$703,10,FALSE)</f>
        <v>Cuphea fruticosa</v>
      </c>
      <c r="M636" s="18">
        <f>VLOOKUP(A636,Revisión!$A$2:$L$703,11,FALSE)</f>
        <v>4</v>
      </c>
      <c r="N636" s="30" t="str">
        <f>IF(E636="Coinciden",D636,IF(E636="Revisar",VLOOKUP(A636,Revisión!$A$2:$L$703,12,FALSE),""))</f>
        <v>Cuphea fruticosa</v>
      </c>
    </row>
    <row r="637" spans="1:14" x14ac:dyDescent="0.3">
      <c r="A637" t="s">
        <v>1333</v>
      </c>
      <c r="B637" t="s">
        <v>1334</v>
      </c>
      <c r="C637" t="s">
        <v>1334</v>
      </c>
      <c r="D637" t="s">
        <v>1334</v>
      </c>
      <c r="E637" t="s">
        <v>18</v>
      </c>
      <c r="F637" t="s">
        <v>19</v>
      </c>
      <c r="H637" s="23" t="e">
        <f>VLOOKUP(A637,Revisión!$A$2:$L$703,6,FALSE)</f>
        <v>#N/A</v>
      </c>
      <c r="I637" s="4" t="e">
        <f>VLOOKUP(A637,Revisión!$A$2:$L$703,7,FALSE)</f>
        <v>#N/A</v>
      </c>
      <c r="J637" s="4" t="e">
        <f>VLOOKUP(A637,Revisión!$A$2:$L$703,8,FALSE)</f>
        <v>#N/A</v>
      </c>
      <c r="K637" s="4" t="e">
        <f>VLOOKUP(A637,Revisión!$A$2:$L$703,9,FALSE)</f>
        <v>#N/A</v>
      </c>
      <c r="L637" s="4" t="e">
        <f>VLOOKUP(A637,Revisión!$A$2:$L$703,10,FALSE)</f>
        <v>#N/A</v>
      </c>
      <c r="M637" s="18" t="e">
        <f>VLOOKUP(A637,Revisión!$A$2:$L$703,11,FALSE)</f>
        <v>#N/A</v>
      </c>
      <c r="N637" s="30" t="str">
        <f>IF(E637="Coinciden",D637,IF(E637="Revisar",VLOOKUP(A637,Revisión!$A$2:$L$703,12,FALSE),""))</f>
        <v>Cuphea racemosa</v>
      </c>
    </row>
    <row r="638" spans="1:14" x14ac:dyDescent="0.3">
      <c r="A638" t="s">
        <v>1335</v>
      </c>
      <c r="B638" t="s">
        <v>1336</v>
      </c>
      <c r="C638" t="s">
        <v>1336</v>
      </c>
      <c r="D638" t="s">
        <v>1336</v>
      </c>
      <c r="E638" t="s">
        <v>18</v>
      </c>
      <c r="F638" t="s">
        <v>19</v>
      </c>
      <c r="H638" s="23" t="e">
        <f>VLOOKUP(A638,Revisión!$A$2:$L$703,6,FALSE)</f>
        <v>#N/A</v>
      </c>
      <c r="I638" s="4" t="e">
        <f>VLOOKUP(A638,Revisión!$A$2:$L$703,7,FALSE)</f>
        <v>#N/A</v>
      </c>
      <c r="J638" s="4" t="e">
        <f>VLOOKUP(A638,Revisión!$A$2:$L$703,8,FALSE)</f>
        <v>#N/A</v>
      </c>
      <c r="K638" s="4" t="e">
        <f>VLOOKUP(A638,Revisión!$A$2:$L$703,9,FALSE)</f>
        <v>#N/A</v>
      </c>
      <c r="L638" s="4" t="e">
        <f>VLOOKUP(A638,Revisión!$A$2:$L$703,10,FALSE)</f>
        <v>#N/A</v>
      </c>
      <c r="M638" s="18" t="e">
        <f>VLOOKUP(A638,Revisión!$A$2:$L$703,11,FALSE)</f>
        <v>#N/A</v>
      </c>
      <c r="N638" s="30" t="str">
        <f>IF(E638="Coinciden",D638,IF(E638="Revisar",VLOOKUP(A638,Revisión!$A$2:$L$703,12,FALSE),""))</f>
        <v>Cuscuta glomerata</v>
      </c>
    </row>
    <row r="639" spans="1:14" x14ac:dyDescent="0.3">
      <c r="A639" t="s">
        <v>1337</v>
      </c>
      <c r="B639" t="s">
        <v>1338</v>
      </c>
      <c r="C639" t="s">
        <v>1338</v>
      </c>
      <c r="D639" t="s">
        <v>1338</v>
      </c>
      <c r="E639" t="s">
        <v>18</v>
      </c>
      <c r="F639" t="s">
        <v>19</v>
      </c>
      <c r="H639" s="23" t="e">
        <f>VLOOKUP(A639,Revisión!$A$2:$L$703,6,FALSE)</f>
        <v>#N/A</v>
      </c>
      <c r="I639" s="4" t="e">
        <f>VLOOKUP(A639,Revisión!$A$2:$L$703,7,FALSE)</f>
        <v>#N/A</v>
      </c>
      <c r="J639" s="4" t="e">
        <f>VLOOKUP(A639,Revisión!$A$2:$L$703,8,FALSE)</f>
        <v>#N/A</v>
      </c>
      <c r="K639" s="4" t="e">
        <f>VLOOKUP(A639,Revisión!$A$2:$L$703,9,FALSE)</f>
        <v>#N/A</v>
      </c>
      <c r="L639" s="4" t="e">
        <f>VLOOKUP(A639,Revisión!$A$2:$L$703,10,FALSE)</f>
        <v>#N/A</v>
      </c>
      <c r="M639" s="18" t="e">
        <f>VLOOKUP(A639,Revisión!$A$2:$L$703,11,FALSE)</f>
        <v>#N/A</v>
      </c>
      <c r="N639" s="30" t="str">
        <f>IF(E639="Coinciden",D639,IF(E639="Revisar",VLOOKUP(A639,Revisión!$A$2:$L$703,12,FALSE),""))</f>
        <v>Cuscuta cephalanthi</v>
      </c>
    </row>
    <row r="640" spans="1:14" x14ac:dyDescent="0.3">
      <c r="A640" t="s">
        <v>1339</v>
      </c>
      <c r="B640" t="s">
        <v>1340</v>
      </c>
      <c r="C640" t="s">
        <v>1340</v>
      </c>
      <c r="D640" t="s">
        <v>1340</v>
      </c>
      <c r="E640" t="s">
        <v>18</v>
      </c>
      <c r="F640" t="s">
        <v>19</v>
      </c>
      <c r="H640" s="23" t="e">
        <f>VLOOKUP(A640,Revisión!$A$2:$L$703,6,FALSE)</f>
        <v>#N/A</v>
      </c>
      <c r="I640" s="4" t="e">
        <f>VLOOKUP(A640,Revisión!$A$2:$L$703,7,FALSE)</f>
        <v>#N/A</v>
      </c>
      <c r="J640" s="4" t="e">
        <f>VLOOKUP(A640,Revisión!$A$2:$L$703,8,FALSE)</f>
        <v>#N/A</v>
      </c>
      <c r="K640" s="4" t="e">
        <f>VLOOKUP(A640,Revisión!$A$2:$L$703,9,FALSE)</f>
        <v>#N/A</v>
      </c>
      <c r="L640" s="4" t="e">
        <f>VLOOKUP(A640,Revisión!$A$2:$L$703,10,FALSE)</f>
        <v>#N/A</v>
      </c>
      <c r="M640" s="18" t="e">
        <f>VLOOKUP(A640,Revisión!$A$2:$L$703,11,FALSE)</f>
        <v>#N/A</v>
      </c>
      <c r="N640" s="30" t="str">
        <f>IF(E640="Coinciden",D640,IF(E640="Revisar",VLOOKUP(A640,Revisión!$A$2:$L$703,12,FALSE),""))</f>
        <v>Cybianthus quelchii</v>
      </c>
    </row>
    <row r="641" spans="1:14" x14ac:dyDescent="0.3">
      <c r="A641" t="s">
        <v>1341</v>
      </c>
      <c r="B641" t="s">
        <v>1342</v>
      </c>
      <c r="C641" t="s">
        <v>1342</v>
      </c>
      <c r="D641" t="s">
        <v>1342</v>
      </c>
      <c r="E641" t="s">
        <v>18</v>
      </c>
      <c r="F641" t="s">
        <v>19</v>
      </c>
      <c r="H641" s="23" t="e">
        <f>VLOOKUP(A641,Revisión!$A$2:$L$703,6,FALSE)</f>
        <v>#N/A</v>
      </c>
      <c r="I641" s="4" t="e">
        <f>VLOOKUP(A641,Revisión!$A$2:$L$703,7,FALSE)</f>
        <v>#N/A</v>
      </c>
      <c r="J641" s="4" t="e">
        <f>VLOOKUP(A641,Revisión!$A$2:$L$703,8,FALSE)</f>
        <v>#N/A</v>
      </c>
      <c r="K641" s="4" t="e">
        <f>VLOOKUP(A641,Revisión!$A$2:$L$703,9,FALSE)</f>
        <v>#N/A</v>
      </c>
      <c r="L641" s="4" t="e">
        <f>VLOOKUP(A641,Revisión!$A$2:$L$703,10,FALSE)</f>
        <v>#N/A</v>
      </c>
      <c r="M641" s="18" t="e">
        <f>VLOOKUP(A641,Revisión!$A$2:$L$703,11,FALSE)</f>
        <v>#N/A</v>
      </c>
      <c r="N641" s="30" t="str">
        <f>IF(E641="Coinciden",D641,IF(E641="Revisar",VLOOKUP(A641,Revisión!$A$2:$L$703,12,FALSE),""))</f>
        <v>Cyclamen graecum</v>
      </c>
    </row>
    <row r="642" spans="1:14" x14ac:dyDescent="0.3">
      <c r="A642" t="s">
        <v>1343</v>
      </c>
      <c r="B642" t="s">
        <v>1344</v>
      </c>
      <c r="C642" t="s">
        <v>1344</v>
      </c>
      <c r="D642" t="s">
        <v>1344</v>
      </c>
      <c r="E642" t="s">
        <v>18</v>
      </c>
      <c r="F642" t="s">
        <v>19</v>
      </c>
      <c r="H642" s="23" t="e">
        <f>VLOOKUP(A642,Revisión!$A$2:$L$703,6,FALSE)</f>
        <v>#N/A</v>
      </c>
      <c r="I642" s="4" t="e">
        <f>VLOOKUP(A642,Revisión!$A$2:$L$703,7,FALSE)</f>
        <v>#N/A</v>
      </c>
      <c r="J642" s="4" t="e">
        <f>VLOOKUP(A642,Revisión!$A$2:$L$703,8,FALSE)</f>
        <v>#N/A</v>
      </c>
      <c r="K642" s="4" t="e">
        <f>VLOOKUP(A642,Revisión!$A$2:$L$703,9,FALSE)</f>
        <v>#N/A</v>
      </c>
      <c r="L642" s="4" t="e">
        <f>VLOOKUP(A642,Revisión!$A$2:$L$703,10,FALSE)</f>
        <v>#N/A</v>
      </c>
      <c r="M642" s="18" t="e">
        <f>VLOOKUP(A642,Revisión!$A$2:$L$703,11,FALSE)</f>
        <v>#N/A</v>
      </c>
      <c r="N642" s="30" t="str">
        <f>IF(E642="Coinciden",D642,IF(E642="Revisar",VLOOKUP(A642,Revisión!$A$2:$L$703,12,FALSE),""))</f>
        <v>Vincetoxicum ascyrifolium</v>
      </c>
    </row>
    <row r="643" spans="1:14" x14ac:dyDescent="0.3">
      <c r="A643" t="s">
        <v>1345</v>
      </c>
      <c r="B643" t="s">
        <v>1346</v>
      </c>
      <c r="C643" t="s">
        <v>1346</v>
      </c>
      <c r="D643" t="s">
        <v>1346</v>
      </c>
      <c r="E643" t="s">
        <v>18</v>
      </c>
      <c r="F643" t="s">
        <v>19</v>
      </c>
      <c r="H643" s="23" t="e">
        <f>VLOOKUP(A643,Revisión!$A$2:$L$703,6,FALSE)</f>
        <v>#N/A</v>
      </c>
      <c r="I643" s="4" t="e">
        <f>VLOOKUP(A643,Revisión!$A$2:$L$703,7,FALSE)</f>
        <v>#N/A</v>
      </c>
      <c r="J643" s="4" t="e">
        <f>VLOOKUP(A643,Revisión!$A$2:$L$703,8,FALSE)</f>
        <v>#N/A</v>
      </c>
      <c r="K643" s="4" t="e">
        <f>VLOOKUP(A643,Revisión!$A$2:$L$703,9,FALSE)</f>
        <v>#N/A</v>
      </c>
      <c r="L643" s="4" t="e">
        <f>VLOOKUP(A643,Revisión!$A$2:$L$703,10,FALSE)</f>
        <v>#N/A</v>
      </c>
      <c r="M643" s="18" t="e">
        <f>VLOOKUP(A643,Revisión!$A$2:$L$703,11,FALSE)</f>
        <v>#N/A</v>
      </c>
      <c r="N643" s="30" t="str">
        <f>IF(E643="Coinciden",D643,IF(E643="Revisar",VLOOKUP(A643,Revisión!$A$2:$L$703,12,FALSE),""))</f>
        <v>Diplolepis diemii</v>
      </c>
    </row>
    <row r="644" spans="1:14" x14ac:dyDescent="0.3">
      <c r="A644" t="s">
        <v>1347</v>
      </c>
      <c r="B644" t="s">
        <v>1348</v>
      </c>
      <c r="C644" t="s">
        <v>1348</v>
      </c>
      <c r="D644" t="s">
        <v>1348</v>
      </c>
      <c r="E644" t="s">
        <v>18</v>
      </c>
      <c r="F644" t="s">
        <v>19</v>
      </c>
      <c r="H644" s="23" t="e">
        <f>VLOOKUP(A644,Revisión!$A$2:$L$703,6,FALSE)</f>
        <v>#N/A</v>
      </c>
      <c r="I644" s="4" t="e">
        <f>VLOOKUP(A644,Revisión!$A$2:$L$703,7,FALSE)</f>
        <v>#N/A</v>
      </c>
      <c r="J644" s="4" t="e">
        <f>VLOOKUP(A644,Revisión!$A$2:$L$703,8,FALSE)</f>
        <v>#N/A</v>
      </c>
      <c r="K644" s="4" t="e">
        <f>VLOOKUP(A644,Revisión!$A$2:$L$703,9,FALSE)</f>
        <v>#N/A</v>
      </c>
      <c r="L644" s="4" t="e">
        <f>VLOOKUP(A644,Revisión!$A$2:$L$703,10,FALSE)</f>
        <v>#N/A</v>
      </c>
      <c r="M644" s="18" t="e">
        <f>VLOOKUP(A644,Revisión!$A$2:$L$703,11,FALSE)</f>
        <v>#N/A</v>
      </c>
      <c r="N644" s="30" t="str">
        <f>IF(E644="Coinciden",D644,IF(E644="Revisar",VLOOKUP(A644,Revisión!$A$2:$L$703,12,FALSE),""))</f>
        <v>Cynara cardunculus</v>
      </c>
    </row>
    <row r="645" spans="1:14" x14ac:dyDescent="0.3">
      <c r="A645" t="s">
        <v>1349</v>
      </c>
      <c r="B645" t="s">
        <v>1350</v>
      </c>
      <c r="C645" t="s">
        <v>1350</v>
      </c>
      <c r="D645" t="s">
        <v>1350</v>
      </c>
      <c r="E645" t="s">
        <v>18</v>
      </c>
      <c r="F645" t="s">
        <v>19</v>
      </c>
      <c r="H645" s="23" t="e">
        <f>VLOOKUP(A645,Revisión!$A$2:$L$703,6,FALSE)</f>
        <v>#N/A</v>
      </c>
      <c r="I645" s="4" t="e">
        <f>VLOOKUP(A645,Revisión!$A$2:$L$703,7,FALSE)</f>
        <v>#N/A</v>
      </c>
      <c r="J645" s="4" t="e">
        <f>VLOOKUP(A645,Revisión!$A$2:$L$703,8,FALSE)</f>
        <v>#N/A</v>
      </c>
      <c r="K645" s="4" t="e">
        <f>VLOOKUP(A645,Revisión!$A$2:$L$703,9,FALSE)</f>
        <v>#N/A</v>
      </c>
      <c r="L645" s="4" t="e">
        <f>VLOOKUP(A645,Revisión!$A$2:$L$703,10,FALSE)</f>
        <v>#N/A</v>
      </c>
      <c r="M645" s="18" t="e">
        <f>VLOOKUP(A645,Revisión!$A$2:$L$703,11,FALSE)</f>
        <v>#N/A</v>
      </c>
      <c r="N645" s="30" t="str">
        <f>IF(E645="Coinciden",D645,IF(E645="Revisar",VLOOKUP(A645,Revisión!$A$2:$L$703,12,FALSE),""))</f>
        <v>Cynoglossum creticum</v>
      </c>
    </row>
    <row r="646" spans="1:14" x14ac:dyDescent="0.3">
      <c r="A646" t="s">
        <v>1351</v>
      </c>
      <c r="B646" t="s">
        <v>1352</v>
      </c>
      <c r="C646" t="s">
        <v>1352</v>
      </c>
      <c r="D646" t="s">
        <v>1352</v>
      </c>
      <c r="E646" t="s">
        <v>18</v>
      </c>
      <c r="F646" t="s">
        <v>19</v>
      </c>
      <c r="H646" s="23" t="e">
        <f>VLOOKUP(A646,Revisión!$A$2:$L$703,6,FALSE)</f>
        <v>#N/A</v>
      </c>
      <c r="I646" s="4" t="e">
        <f>VLOOKUP(A646,Revisión!$A$2:$L$703,7,FALSE)</f>
        <v>#N/A</v>
      </c>
      <c r="J646" s="4" t="e">
        <f>VLOOKUP(A646,Revisión!$A$2:$L$703,8,FALSE)</f>
        <v>#N/A</v>
      </c>
      <c r="K646" s="4" t="e">
        <f>VLOOKUP(A646,Revisión!$A$2:$L$703,9,FALSE)</f>
        <v>#N/A</v>
      </c>
      <c r="L646" s="4" t="e">
        <f>VLOOKUP(A646,Revisión!$A$2:$L$703,10,FALSE)</f>
        <v>#N/A</v>
      </c>
      <c r="M646" s="18" t="e">
        <f>VLOOKUP(A646,Revisión!$A$2:$L$703,11,FALSE)</f>
        <v>#N/A</v>
      </c>
      <c r="N646" s="30" t="str">
        <f>IF(E646="Coinciden",D646,IF(E646="Revisar",VLOOKUP(A646,Revisión!$A$2:$L$703,12,FALSE),""))</f>
        <v>Cynoglossum officinale</v>
      </c>
    </row>
    <row r="647" spans="1:14" x14ac:dyDescent="0.3">
      <c r="A647" t="s">
        <v>1353</v>
      </c>
      <c r="B647" t="s">
        <v>1354</v>
      </c>
      <c r="C647" t="s">
        <v>1354</v>
      </c>
      <c r="D647" t="s">
        <v>1354</v>
      </c>
      <c r="E647" t="s">
        <v>18</v>
      </c>
      <c r="F647" t="s">
        <v>19</v>
      </c>
      <c r="H647" s="23" t="e">
        <f>VLOOKUP(A647,Revisión!$A$2:$L$703,6,FALSE)</f>
        <v>#N/A</v>
      </c>
      <c r="I647" s="4" t="e">
        <f>VLOOKUP(A647,Revisión!$A$2:$L$703,7,FALSE)</f>
        <v>#N/A</v>
      </c>
      <c r="J647" s="4" t="e">
        <f>VLOOKUP(A647,Revisión!$A$2:$L$703,8,FALSE)</f>
        <v>#N/A</v>
      </c>
      <c r="K647" s="4" t="e">
        <f>VLOOKUP(A647,Revisión!$A$2:$L$703,9,FALSE)</f>
        <v>#N/A</v>
      </c>
      <c r="L647" s="4" t="e">
        <f>VLOOKUP(A647,Revisión!$A$2:$L$703,10,FALSE)</f>
        <v>#N/A</v>
      </c>
      <c r="M647" s="18" t="e">
        <f>VLOOKUP(A647,Revisión!$A$2:$L$703,11,FALSE)</f>
        <v>#N/A</v>
      </c>
      <c r="N647" s="30" t="str">
        <f>IF(E647="Coinciden",D647,IF(E647="Revisar",VLOOKUP(A647,Revisión!$A$2:$L$703,12,FALSE),""))</f>
        <v>Cypella herbertii</v>
      </c>
    </row>
    <row r="648" spans="1:14" x14ac:dyDescent="0.3">
      <c r="A648" t="s">
        <v>1355</v>
      </c>
      <c r="B648" t="s">
        <v>1356</v>
      </c>
      <c r="C648" t="s">
        <v>1356</v>
      </c>
      <c r="D648" t="s">
        <v>1356</v>
      </c>
      <c r="E648" t="s">
        <v>18</v>
      </c>
      <c r="F648" t="s">
        <v>19</v>
      </c>
      <c r="H648" s="23" t="e">
        <f>VLOOKUP(A648,Revisión!$A$2:$L$703,6,FALSE)</f>
        <v>#N/A</v>
      </c>
      <c r="I648" s="4" t="e">
        <f>VLOOKUP(A648,Revisión!$A$2:$L$703,7,FALSE)</f>
        <v>#N/A</v>
      </c>
      <c r="J648" s="4" t="e">
        <f>VLOOKUP(A648,Revisión!$A$2:$L$703,8,FALSE)</f>
        <v>#N/A</v>
      </c>
      <c r="K648" s="4" t="e">
        <f>VLOOKUP(A648,Revisión!$A$2:$L$703,9,FALSE)</f>
        <v>#N/A</v>
      </c>
      <c r="L648" s="4" t="e">
        <f>VLOOKUP(A648,Revisión!$A$2:$L$703,10,FALSE)</f>
        <v>#N/A</v>
      </c>
      <c r="M648" s="18" t="e">
        <f>VLOOKUP(A648,Revisión!$A$2:$L$703,11,FALSE)</f>
        <v>#N/A</v>
      </c>
      <c r="N648" s="30" t="str">
        <f>IF(E648="Coinciden",D648,IF(E648="Revisar",VLOOKUP(A648,Revisión!$A$2:$L$703,12,FALSE),""))</f>
        <v>Cypripedium guttatum</v>
      </c>
    </row>
    <row r="649" spans="1:14" x14ac:dyDescent="0.3">
      <c r="A649" t="s">
        <v>1357</v>
      </c>
      <c r="B649" t="s">
        <v>1358</v>
      </c>
      <c r="C649" t="s">
        <v>1358</v>
      </c>
      <c r="D649" t="s">
        <v>1359</v>
      </c>
      <c r="E649" t="s">
        <v>8</v>
      </c>
      <c r="F649" t="s">
        <v>15</v>
      </c>
      <c r="H649" s="23" t="str">
        <f>VLOOKUP(A649,Revisión!$A$2:$L$703,6,FALSE)</f>
        <v>Cypripedium parviflorum var. pubescens</v>
      </c>
      <c r="I649" s="4" t="str">
        <f>VLOOKUP(A649,Revisión!$A$2:$L$703,7,FALSE)</f>
        <v>-</v>
      </c>
      <c r="J649" s="4" t="str">
        <f>VLOOKUP(A649,Revisión!$A$2:$L$703,8,FALSE)</f>
        <v>Cypripedium parviflorum var. pubescens</v>
      </c>
      <c r="K649" s="4" t="str">
        <f>VLOOKUP(A649,Revisión!$A$2:$L$703,9,FALSE)</f>
        <v>Cypripedium parviflorum var. pubescens</v>
      </c>
      <c r="L649" s="4" t="str">
        <f>VLOOKUP(A649,Revisión!$A$2:$L$703,10,FALSE)</f>
        <v>Cypripedium parviflorum var. pubescens</v>
      </c>
      <c r="M649" s="18">
        <f>VLOOKUP(A649,Revisión!$A$2:$L$703,11,FALSE)</f>
        <v>4</v>
      </c>
      <c r="N649" s="30" t="str">
        <f>IF(E649="Coinciden",D649,IF(E649="Revisar",VLOOKUP(A649,Revisión!$A$2:$L$703,12,FALSE),""))</f>
        <v>Cypripedium parviflorum var. pubescens</v>
      </c>
    </row>
    <row r="650" spans="1:14" x14ac:dyDescent="0.3">
      <c r="A650" t="s">
        <v>1360</v>
      </c>
      <c r="B650" t="s">
        <v>1361</v>
      </c>
      <c r="C650" t="s">
        <v>1361</v>
      </c>
      <c r="D650" t="s">
        <v>1361</v>
      </c>
      <c r="E650" t="s">
        <v>18</v>
      </c>
      <c r="F650" t="s">
        <v>19</v>
      </c>
      <c r="H650" s="23" t="e">
        <f>VLOOKUP(A650,Revisión!$A$2:$L$703,6,FALSE)</f>
        <v>#N/A</v>
      </c>
      <c r="I650" s="4" t="e">
        <f>VLOOKUP(A650,Revisión!$A$2:$L$703,7,FALSE)</f>
        <v>#N/A</v>
      </c>
      <c r="J650" s="4" t="e">
        <f>VLOOKUP(A650,Revisión!$A$2:$L$703,8,FALSE)</f>
        <v>#N/A</v>
      </c>
      <c r="K650" s="4" t="e">
        <f>VLOOKUP(A650,Revisión!$A$2:$L$703,9,FALSE)</f>
        <v>#N/A</v>
      </c>
      <c r="L650" s="4" t="e">
        <f>VLOOKUP(A650,Revisión!$A$2:$L$703,10,FALSE)</f>
        <v>#N/A</v>
      </c>
      <c r="M650" s="18" t="e">
        <f>VLOOKUP(A650,Revisión!$A$2:$L$703,11,FALSE)</f>
        <v>#N/A</v>
      </c>
      <c r="N650" s="30" t="str">
        <f>IF(E650="Coinciden",D650,IF(E650="Revisar",VLOOKUP(A650,Revisión!$A$2:$L$703,12,FALSE),""))</f>
        <v>Cypripedium acaule</v>
      </c>
    </row>
    <row r="651" spans="1:14" x14ac:dyDescent="0.3">
      <c r="A651" t="s">
        <v>1362</v>
      </c>
      <c r="B651" t="s">
        <v>1363</v>
      </c>
      <c r="C651" t="s">
        <v>1363</v>
      </c>
      <c r="D651" t="s">
        <v>1363</v>
      </c>
      <c r="E651" t="s">
        <v>18</v>
      </c>
      <c r="F651" t="s">
        <v>19</v>
      </c>
      <c r="H651" s="23" t="e">
        <f>VLOOKUP(A651,Revisión!$A$2:$L$703,6,FALSE)</f>
        <v>#N/A</v>
      </c>
      <c r="I651" s="4" t="e">
        <f>VLOOKUP(A651,Revisión!$A$2:$L$703,7,FALSE)</f>
        <v>#N/A</v>
      </c>
      <c r="J651" s="4" t="e">
        <f>VLOOKUP(A651,Revisión!$A$2:$L$703,8,FALSE)</f>
        <v>#N/A</v>
      </c>
      <c r="K651" s="4" t="e">
        <f>VLOOKUP(A651,Revisión!$A$2:$L$703,9,FALSE)</f>
        <v>#N/A</v>
      </c>
      <c r="L651" s="4" t="e">
        <f>VLOOKUP(A651,Revisión!$A$2:$L$703,10,FALSE)</f>
        <v>#N/A</v>
      </c>
      <c r="M651" s="18" t="e">
        <f>VLOOKUP(A651,Revisión!$A$2:$L$703,11,FALSE)</f>
        <v>#N/A</v>
      </c>
      <c r="N651" s="30" t="str">
        <f>IF(E651="Coinciden",D651,IF(E651="Revisar",VLOOKUP(A651,Revisión!$A$2:$L$703,12,FALSE),""))</f>
        <v>Cyrilla racemiflora</v>
      </c>
    </row>
    <row r="652" spans="1:14" x14ac:dyDescent="0.3">
      <c r="A652" t="s">
        <v>1364</v>
      </c>
      <c r="B652" t="s">
        <v>1365</v>
      </c>
      <c r="C652" t="s">
        <v>1365</v>
      </c>
      <c r="D652" t="s">
        <v>1365</v>
      </c>
      <c r="E652" t="s">
        <v>18</v>
      </c>
      <c r="F652" t="s">
        <v>19</v>
      </c>
      <c r="H652" s="23" t="e">
        <f>VLOOKUP(A652,Revisión!$A$2:$L$703,6,FALSE)</f>
        <v>#N/A</v>
      </c>
      <c r="I652" s="4" t="e">
        <f>VLOOKUP(A652,Revisión!$A$2:$L$703,7,FALSE)</f>
        <v>#N/A</v>
      </c>
      <c r="J652" s="4" t="e">
        <f>VLOOKUP(A652,Revisión!$A$2:$L$703,8,FALSE)</f>
        <v>#N/A</v>
      </c>
      <c r="K652" s="4" t="e">
        <f>VLOOKUP(A652,Revisión!$A$2:$L$703,9,FALSE)</f>
        <v>#N/A</v>
      </c>
      <c r="L652" s="4" t="e">
        <f>VLOOKUP(A652,Revisión!$A$2:$L$703,10,FALSE)</f>
        <v>#N/A</v>
      </c>
      <c r="M652" s="18" t="e">
        <f>VLOOKUP(A652,Revisión!$A$2:$L$703,11,FALSE)</f>
        <v>#N/A</v>
      </c>
      <c r="N652" s="30" t="str">
        <f>IF(E652="Coinciden",D652,IF(E652="Revisar",VLOOKUP(A652,Revisión!$A$2:$L$703,12,FALSE),""))</f>
        <v>Genista monspessulana</v>
      </c>
    </row>
    <row r="653" spans="1:14" x14ac:dyDescent="0.3">
      <c r="A653" t="s">
        <v>1366</v>
      </c>
      <c r="B653" t="s">
        <v>1367</v>
      </c>
      <c r="C653" t="s">
        <v>1367</v>
      </c>
      <c r="D653" t="s">
        <v>1367</v>
      </c>
      <c r="E653" t="s">
        <v>18</v>
      </c>
      <c r="F653" t="s">
        <v>19</v>
      </c>
      <c r="H653" s="23" t="e">
        <f>VLOOKUP(A653,Revisión!$A$2:$L$703,6,FALSE)</f>
        <v>#N/A</v>
      </c>
      <c r="I653" s="4" t="e">
        <f>VLOOKUP(A653,Revisión!$A$2:$L$703,7,FALSE)</f>
        <v>#N/A</v>
      </c>
      <c r="J653" s="4" t="e">
        <f>VLOOKUP(A653,Revisión!$A$2:$L$703,8,FALSE)</f>
        <v>#N/A</v>
      </c>
      <c r="K653" s="4" t="e">
        <f>VLOOKUP(A653,Revisión!$A$2:$L$703,9,FALSE)</f>
        <v>#N/A</v>
      </c>
      <c r="L653" s="4" t="e">
        <f>VLOOKUP(A653,Revisión!$A$2:$L$703,10,FALSE)</f>
        <v>#N/A</v>
      </c>
      <c r="M653" s="18" t="e">
        <f>VLOOKUP(A653,Revisión!$A$2:$L$703,11,FALSE)</f>
        <v>#N/A</v>
      </c>
      <c r="N653" s="30" t="str">
        <f>IF(E653="Coinciden",D653,IF(E653="Revisar",VLOOKUP(A653,Revisión!$A$2:$L$703,12,FALSE),""))</f>
        <v>Cytisus grandiflorus</v>
      </c>
    </row>
    <row r="654" spans="1:14" x14ac:dyDescent="0.3">
      <c r="A654" t="s">
        <v>1368</v>
      </c>
      <c r="B654" t="s">
        <v>1369</v>
      </c>
      <c r="C654" t="s">
        <v>1369</v>
      </c>
      <c r="D654" t="s">
        <v>1369</v>
      </c>
      <c r="E654" t="s">
        <v>18</v>
      </c>
      <c r="F654" t="s">
        <v>19</v>
      </c>
      <c r="H654" s="23" t="e">
        <f>VLOOKUP(A654,Revisión!$A$2:$L$703,6,FALSE)</f>
        <v>#N/A</v>
      </c>
      <c r="I654" s="4" t="e">
        <f>VLOOKUP(A654,Revisión!$A$2:$L$703,7,FALSE)</f>
        <v>#N/A</v>
      </c>
      <c r="J654" s="4" t="e">
        <f>VLOOKUP(A654,Revisión!$A$2:$L$703,8,FALSE)</f>
        <v>#N/A</v>
      </c>
      <c r="K654" s="4" t="e">
        <f>VLOOKUP(A654,Revisión!$A$2:$L$703,9,FALSE)</f>
        <v>#N/A</v>
      </c>
      <c r="L654" s="4" t="e">
        <f>VLOOKUP(A654,Revisión!$A$2:$L$703,10,FALSE)</f>
        <v>#N/A</v>
      </c>
      <c r="M654" s="18" t="e">
        <f>VLOOKUP(A654,Revisión!$A$2:$L$703,11,FALSE)</f>
        <v>#N/A</v>
      </c>
      <c r="N654" s="30" t="str">
        <f>IF(E654="Coinciden",D654,IF(E654="Revisar",VLOOKUP(A654,Revisión!$A$2:$L$703,12,FALSE),""))</f>
        <v>Cytisus scoparius</v>
      </c>
    </row>
    <row r="655" spans="1:14" x14ac:dyDescent="0.3">
      <c r="A655" t="s">
        <v>1370</v>
      </c>
      <c r="B655" t="s">
        <v>1371</v>
      </c>
      <c r="C655" t="s">
        <v>1371</v>
      </c>
      <c r="D655" t="s">
        <v>1371</v>
      </c>
      <c r="E655" t="s">
        <v>18</v>
      </c>
      <c r="F655" t="s">
        <v>19</v>
      </c>
      <c r="H655" s="23" t="e">
        <f>VLOOKUP(A655,Revisión!$A$2:$L$703,6,FALSE)</f>
        <v>#N/A</v>
      </c>
      <c r="I655" s="4" t="e">
        <f>VLOOKUP(A655,Revisión!$A$2:$L$703,7,FALSE)</f>
        <v>#N/A</v>
      </c>
      <c r="J655" s="4" t="e">
        <f>VLOOKUP(A655,Revisión!$A$2:$L$703,8,FALSE)</f>
        <v>#N/A</v>
      </c>
      <c r="K655" s="4" t="e">
        <f>VLOOKUP(A655,Revisión!$A$2:$L$703,9,FALSE)</f>
        <v>#N/A</v>
      </c>
      <c r="L655" s="4" t="e">
        <f>VLOOKUP(A655,Revisión!$A$2:$L$703,10,FALSE)</f>
        <v>#N/A</v>
      </c>
      <c r="M655" s="18" t="e">
        <f>VLOOKUP(A655,Revisión!$A$2:$L$703,11,FALSE)</f>
        <v>#N/A</v>
      </c>
      <c r="N655" s="30" t="str">
        <f>IF(E655="Coinciden",D655,IF(E655="Revisar",VLOOKUP(A655,Revisión!$A$2:$L$703,12,FALSE),""))</f>
        <v>Daphne gnidium</v>
      </c>
    </row>
    <row r="656" spans="1:14" x14ac:dyDescent="0.3">
      <c r="A656" t="s">
        <v>1372</v>
      </c>
      <c r="B656" t="s">
        <v>1373</v>
      </c>
      <c r="C656" t="s">
        <v>1373</v>
      </c>
      <c r="D656" t="s">
        <v>1373</v>
      </c>
      <c r="E656" t="s">
        <v>18</v>
      </c>
      <c r="F656" t="s">
        <v>19</v>
      </c>
      <c r="H656" s="23" t="e">
        <f>VLOOKUP(A656,Revisión!$A$2:$L$703,6,FALSE)</f>
        <v>#N/A</v>
      </c>
      <c r="I656" s="4" t="e">
        <f>VLOOKUP(A656,Revisión!$A$2:$L$703,7,FALSE)</f>
        <v>#N/A</v>
      </c>
      <c r="J656" s="4" t="e">
        <f>VLOOKUP(A656,Revisión!$A$2:$L$703,8,FALSE)</f>
        <v>#N/A</v>
      </c>
      <c r="K656" s="4" t="e">
        <f>VLOOKUP(A656,Revisión!$A$2:$L$703,9,FALSE)</f>
        <v>#N/A</v>
      </c>
      <c r="L656" s="4" t="e">
        <f>VLOOKUP(A656,Revisión!$A$2:$L$703,10,FALSE)</f>
        <v>#N/A</v>
      </c>
      <c r="M656" s="18" t="e">
        <f>VLOOKUP(A656,Revisión!$A$2:$L$703,11,FALSE)</f>
        <v>#N/A</v>
      </c>
      <c r="N656" s="30" t="str">
        <f>IF(E656="Coinciden",D656,IF(E656="Revisar",VLOOKUP(A656,Revisión!$A$2:$L$703,12,FALSE),""))</f>
        <v>Daphnopsis americana</v>
      </c>
    </row>
    <row r="657" spans="1:14" x14ac:dyDescent="0.3">
      <c r="A657" t="s">
        <v>1374</v>
      </c>
      <c r="B657" t="s">
        <v>1375</v>
      </c>
      <c r="C657" t="s">
        <v>1376</v>
      </c>
      <c r="D657" t="s">
        <v>1375</v>
      </c>
      <c r="E657" t="s">
        <v>8</v>
      </c>
      <c r="F657" t="s">
        <v>493</v>
      </c>
      <c r="H657" s="23" t="str">
        <f>VLOOKUP(A657,Revisión!$A$2:$L$703,6,FALSE)</f>
        <v>Erigeron darwinii</v>
      </c>
      <c r="I657" s="4" t="str">
        <f>VLOOKUP(A657,Revisión!$A$2:$L$703,7,FALSE)</f>
        <v>-</v>
      </c>
      <c r="J657" s="4" t="str">
        <f>VLOOKUP(A657,Revisión!$A$2:$L$703,8,FALSE)</f>
        <v>Erigeron darwinii</v>
      </c>
      <c r="K657" s="4" t="str">
        <f>VLOOKUP(A657,Revisión!$A$2:$L$703,9,FALSE)</f>
        <v>Erigeron darwinii</v>
      </c>
      <c r="L657" s="4" t="str">
        <f>VLOOKUP(A657,Revisión!$A$2:$L$703,10,FALSE)</f>
        <v>Erigeron darwinii</v>
      </c>
      <c r="M657" s="18">
        <f>VLOOKUP(A657,Revisión!$A$2:$L$703,11,FALSE)</f>
        <v>4</v>
      </c>
      <c r="N657" s="30" t="str">
        <f>IF(E657="Coinciden",D657,IF(E657="Revisar",VLOOKUP(A657,Revisión!$A$2:$L$703,12,FALSE),""))</f>
        <v>Erigeron darwinii</v>
      </c>
    </row>
    <row r="658" spans="1:14" x14ac:dyDescent="0.3">
      <c r="A658" t="s">
        <v>1377</v>
      </c>
      <c r="C658" t="s">
        <v>1378</v>
      </c>
      <c r="D658" t="s">
        <v>1378</v>
      </c>
      <c r="E658" t="s">
        <v>8</v>
      </c>
      <c r="F658" t="s">
        <v>49</v>
      </c>
      <c r="H658" s="23" t="str">
        <f>VLOOKUP(A658,Revisión!$A$2:$L$703,6,FALSE)</f>
        <v>Dasiphora fruticosa</v>
      </c>
      <c r="I658" s="4" t="str">
        <f>VLOOKUP(A658,Revisión!$A$2:$L$703,7,FALSE)</f>
        <v>-</v>
      </c>
      <c r="J658" s="4" t="str">
        <f>VLOOKUP(A658,Revisión!$A$2:$L$703,8,FALSE)</f>
        <v>Dasiphora fruticosa</v>
      </c>
      <c r="K658" s="4" t="str">
        <f>VLOOKUP(A658,Revisión!$A$2:$L$703,9,FALSE)</f>
        <v>Dasiphora fruticosa</v>
      </c>
      <c r="L658" s="4" t="str">
        <f>VLOOKUP(A658,Revisión!$A$2:$L$703,10,FALSE)</f>
        <v>Dasiphora fruticosa</v>
      </c>
      <c r="M658" s="18">
        <f>VLOOKUP(A658,Revisión!$A$2:$L$703,11,FALSE)</f>
        <v>4</v>
      </c>
      <c r="N658" s="30" t="str">
        <f>IF(E658="Coinciden",D658,IF(E658="Revisar",VLOOKUP(A658,Revisión!$A$2:$L$703,12,FALSE),""))</f>
        <v>Dasiphora fruticosa</v>
      </c>
    </row>
    <row r="659" spans="1:14" x14ac:dyDescent="0.3">
      <c r="A659" t="s">
        <v>1379</v>
      </c>
      <c r="B659" t="s">
        <v>1380</v>
      </c>
      <c r="C659" t="s">
        <v>1380</v>
      </c>
      <c r="D659" t="s">
        <v>1380</v>
      </c>
      <c r="E659" t="s">
        <v>18</v>
      </c>
      <c r="F659" t="s">
        <v>19</v>
      </c>
      <c r="H659" s="23" t="e">
        <f>VLOOKUP(A659,Revisión!$A$2:$L$703,6,FALSE)</f>
        <v>#N/A</v>
      </c>
      <c r="I659" s="4" t="e">
        <f>VLOOKUP(A659,Revisión!$A$2:$L$703,7,FALSE)</f>
        <v>#N/A</v>
      </c>
      <c r="J659" s="4" t="e">
        <f>VLOOKUP(A659,Revisión!$A$2:$L$703,8,FALSE)</f>
        <v>#N/A</v>
      </c>
      <c r="K659" s="4" t="e">
        <f>VLOOKUP(A659,Revisión!$A$2:$L$703,9,FALSE)</f>
        <v>#N/A</v>
      </c>
      <c r="L659" s="4" t="e">
        <f>VLOOKUP(A659,Revisión!$A$2:$L$703,10,FALSE)</f>
        <v>#N/A</v>
      </c>
      <c r="M659" s="18" t="e">
        <f>VLOOKUP(A659,Revisión!$A$2:$L$703,11,FALSE)</f>
        <v>#N/A</v>
      </c>
      <c r="N659" s="30" t="str">
        <f>IF(E659="Coinciden",D659,IF(E659="Revisar",VLOOKUP(A659,Revisión!$A$2:$L$703,12,FALSE),""))</f>
        <v>Datura stramonium</v>
      </c>
    </row>
    <row r="660" spans="1:14" x14ac:dyDescent="0.3">
      <c r="A660" t="s">
        <v>1381</v>
      </c>
      <c r="B660" t="s">
        <v>1382</v>
      </c>
      <c r="C660" t="s">
        <v>1380</v>
      </c>
      <c r="D660" t="s">
        <v>1380</v>
      </c>
      <c r="E660" t="s">
        <v>8</v>
      </c>
      <c r="F660" t="s">
        <v>23</v>
      </c>
      <c r="H660" s="23" t="str">
        <f>VLOOKUP(A660,Revisión!$A$2:$L$703,6,FALSE)</f>
        <v>Datura stramonium</v>
      </c>
      <c r="I660" s="4" t="str">
        <f>VLOOKUP(A660,Revisión!$A$2:$L$703,7,FALSE)</f>
        <v>-</v>
      </c>
      <c r="J660" s="4" t="str">
        <f>VLOOKUP(A660,Revisión!$A$2:$L$703,8,FALSE)</f>
        <v>Datura stramonium</v>
      </c>
      <c r="K660" s="4" t="str">
        <f>VLOOKUP(A660,Revisión!$A$2:$L$703,9,FALSE)</f>
        <v>Datura stramonium</v>
      </c>
      <c r="L660" s="4" t="str">
        <f>VLOOKUP(A660,Revisión!$A$2:$L$703,10,FALSE)</f>
        <v>Datura stramonium</v>
      </c>
      <c r="M660" s="18">
        <f>VLOOKUP(A660,Revisión!$A$2:$L$703,11,FALSE)</f>
        <v>4</v>
      </c>
      <c r="N660" s="30" t="str">
        <f>IF(E660="Coinciden",D660,IF(E660="Revisar",VLOOKUP(A660,Revisión!$A$2:$L$703,12,FALSE),""))</f>
        <v>Datura stramonium</v>
      </c>
    </row>
    <row r="661" spans="1:14" x14ac:dyDescent="0.3">
      <c r="A661" t="s">
        <v>1383</v>
      </c>
      <c r="B661" t="s">
        <v>1384</v>
      </c>
      <c r="D661" t="s">
        <v>1385</v>
      </c>
      <c r="E661" t="s">
        <v>8</v>
      </c>
      <c r="F661" t="s">
        <v>9</v>
      </c>
      <c r="H661" s="23" t="str">
        <f>VLOOKUP(A661,Revisión!$A$2:$L$703,6,FALSE)</f>
        <v>Daucus carota subsp. carota</v>
      </c>
      <c r="I661" s="4" t="str">
        <f>VLOOKUP(A661,Revisión!$A$2:$L$703,7,FALSE)</f>
        <v>-</v>
      </c>
      <c r="J661" s="4" t="str">
        <f>VLOOKUP(A661,Revisión!$A$2:$L$703,8,FALSE)</f>
        <v>Daucus carota subsp. carota</v>
      </c>
      <c r="K661" s="4" t="str">
        <f>VLOOKUP(A661,Revisión!$A$2:$L$703,9,FALSE)</f>
        <v>Daucus carota subsp. carota</v>
      </c>
      <c r="L661" s="4" t="str">
        <f>VLOOKUP(A661,Revisión!$A$2:$L$703,10,FALSE)</f>
        <v>Daucus carota subsp. carota</v>
      </c>
      <c r="M661" s="18">
        <f>VLOOKUP(A661,Revisión!$A$2:$L$703,11,FALSE)</f>
        <v>4</v>
      </c>
      <c r="N661" s="30" t="str">
        <f>IF(E661="Coinciden",D661,IF(E661="Revisar",VLOOKUP(A661,Revisión!$A$2:$L$703,12,FALSE),""))</f>
        <v>Daucus carota subsp. carota</v>
      </c>
    </row>
    <row r="662" spans="1:14" x14ac:dyDescent="0.3">
      <c r="A662" t="s">
        <v>1386</v>
      </c>
      <c r="B662" t="s">
        <v>1387</v>
      </c>
      <c r="C662" t="s">
        <v>1387</v>
      </c>
      <c r="D662" t="s">
        <v>1387</v>
      </c>
      <c r="E662" t="s">
        <v>18</v>
      </c>
      <c r="F662" t="s">
        <v>19</v>
      </c>
      <c r="H662" s="23" t="e">
        <f>VLOOKUP(A662,Revisión!$A$2:$L$703,6,FALSE)</f>
        <v>#N/A</v>
      </c>
      <c r="I662" s="4" t="e">
        <f>VLOOKUP(A662,Revisión!$A$2:$L$703,7,FALSE)</f>
        <v>#N/A</v>
      </c>
      <c r="J662" s="4" t="e">
        <f>VLOOKUP(A662,Revisión!$A$2:$L$703,8,FALSE)</f>
        <v>#N/A</v>
      </c>
      <c r="K662" s="4" t="e">
        <f>VLOOKUP(A662,Revisión!$A$2:$L$703,9,FALSE)</f>
        <v>#N/A</v>
      </c>
      <c r="L662" s="4" t="e">
        <f>VLOOKUP(A662,Revisión!$A$2:$L$703,10,FALSE)</f>
        <v>#N/A</v>
      </c>
      <c r="M662" s="18" t="e">
        <f>VLOOKUP(A662,Revisión!$A$2:$L$703,11,FALSE)</f>
        <v>#N/A</v>
      </c>
      <c r="N662" s="30" t="str">
        <f>IF(E662="Coinciden",D662,IF(E662="Revisar",VLOOKUP(A662,Revisión!$A$2:$L$703,12,FALSE),""))</f>
        <v>Daucus guttatus</v>
      </c>
    </row>
    <row r="663" spans="1:14" x14ac:dyDescent="0.3">
      <c r="A663" t="s">
        <v>1388</v>
      </c>
      <c r="B663" t="s">
        <v>1385</v>
      </c>
      <c r="C663" t="s">
        <v>1385</v>
      </c>
      <c r="D663" t="s">
        <v>1385</v>
      </c>
      <c r="E663" t="s">
        <v>18</v>
      </c>
      <c r="F663" t="s">
        <v>19</v>
      </c>
      <c r="H663" s="23" t="e">
        <f>VLOOKUP(A663,Revisión!$A$2:$L$703,6,FALSE)</f>
        <v>#N/A</v>
      </c>
      <c r="I663" s="4" t="e">
        <f>VLOOKUP(A663,Revisión!$A$2:$L$703,7,FALSE)</f>
        <v>#N/A</v>
      </c>
      <c r="J663" s="4" t="e">
        <f>VLOOKUP(A663,Revisión!$A$2:$L$703,8,FALSE)</f>
        <v>#N/A</v>
      </c>
      <c r="K663" s="4" t="e">
        <f>VLOOKUP(A663,Revisión!$A$2:$L$703,9,FALSE)</f>
        <v>#N/A</v>
      </c>
      <c r="L663" s="4" t="e">
        <f>VLOOKUP(A663,Revisión!$A$2:$L$703,10,FALSE)</f>
        <v>#N/A</v>
      </c>
      <c r="M663" s="18" t="e">
        <f>VLOOKUP(A663,Revisión!$A$2:$L$703,11,FALSE)</f>
        <v>#N/A</v>
      </c>
      <c r="N663" s="30" t="str">
        <f>IF(E663="Coinciden",D663,IF(E663="Revisar",VLOOKUP(A663,Revisión!$A$2:$L$703,12,FALSE),""))</f>
        <v>Daucus carota</v>
      </c>
    </row>
    <row r="664" spans="1:14" x14ac:dyDescent="0.3">
      <c r="A664" t="s">
        <v>1389</v>
      </c>
      <c r="B664" t="s">
        <v>1390</v>
      </c>
      <c r="C664" t="s">
        <v>1390</v>
      </c>
      <c r="D664" t="s">
        <v>1390</v>
      </c>
      <c r="E664" t="s">
        <v>18</v>
      </c>
      <c r="F664" t="s">
        <v>19</v>
      </c>
      <c r="H664" s="23" t="e">
        <f>VLOOKUP(A664,Revisión!$A$2:$L$703,6,FALSE)</f>
        <v>#N/A</v>
      </c>
      <c r="I664" s="4" t="e">
        <f>VLOOKUP(A664,Revisión!$A$2:$L$703,7,FALSE)</f>
        <v>#N/A</v>
      </c>
      <c r="J664" s="4" t="e">
        <f>VLOOKUP(A664,Revisión!$A$2:$L$703,8,FALSE)</f>
        <v>#N/A</v>
      </c>
      <c r="K664" s="4" t="e">
        <f>VLOOKUP(A664,Revisión!$A$2:$L$703,9,FALSE)</f>
        <v>#N/A</v>
      </c>
      <c r="L664" s="4" t="e">
        <f>VLOOKUP(A664,Revisión!$A$2:$L$703,10,FALSE)</f>
        <v>#N/A</v>
      </c>
      <c r="M664" s="18" t="e">
        <f>VLOOKUP(A664,Revisión!$A$2:$L$703,11,FALSE)</f>
        <v>#N/A</v>
      </c>
      <c r="N664" s="30" t="str">
        <f>IF(E664="Coinciden",D664,IF(E664="Revisar",VLOOKUP(A664,Revisión!$A$2:$L$703,12,FALSE),""))</f>
        <v>Deckenia nobilis</v>
      </c>
    </row>
    <row r="665" spans="1:14" x14ac:dyDescent="0.3">
      <c r="A665" t="s">
        <v>1391</v>
      </c>
      <c r="B665" t="s">
        <v>1392</v>
      </c>
      <c r="C665" t="s">
        <v>1392</v>
      </c>
      <c r="D665" t="s">
        <v>1392</v>
      </c>
      <c r="E665" t="s">
        <v>18</v>
      </c>
      <c r="F665" t="s">
        <v>19</v>
      </c>
      <c r="H665" s="23" t="e">
        <f>VLOOKUP(A665,Revisión!$A$2:$L$703,6,FALSE)</f>
        <v>#N/A</v>
      </c>
      <c r="I665" s="4" t="e">
        <f>VLOOKUP(A665,Revisión!$A$2:$L$703,7,FALSE)</f>
        <v>#N/A</v>
      </c>
      <c r="J665" s="4" t="e">
        <f>VLOOKUP(A665,Revisión!$A$2:$L$703,8,FALSE)</f>
        <v>#N/A</v>
      </c>
      <c r="K665" s="4" t="e">
        <f>VLOOKUP(A665,Revisión!$A$2:$L$703,9,FALSE)</f>
        <v>#N/A</v>
      </c>
      <c r="L665" s="4" t="e">
        <f>VLOOKUP(A665,Revisión!$A$2:$L$703,10,FALSE)</f>
        <v>#N/A</v>
      </c>
      <c r="M665" s="18" t="e">
        <f>VLOOKUP(A665,Revisión!$A$2:$L$703,11,FALSE)</f>
        <v>#N/A</v>
      </c>
      <c r="N665" s="30" t="str">
        <f>IF(E665="Coinciden",D665,IF(E665="Revisar",VLOOKUP(A665,Revisión!$A$2:$L$703,12,FALSE),""))</f>
        <v>Declieuxia fruticosa</v>
      </c>
    </row>
    <row r="666" spans="1:14" x14ac:dyDescent="0.3">
      <c r="A666" t="s">
        <v>1393</v>
      </c>
      <c r="B666" t="s">
        <v>1394</v>
      </c>
      <c r="C666" t="s">
        <v>1394</v>
      </c>
      <c r="D666" t="s">
        <v>1394</v>
      </c>
      <c r="E666" t="s">
        <v>18</v>
      </c>
      <c r="F666" t="s">
        <v>19</v>
      </c>
      <c r="H666" s="23" t="e">
        <f>VLOOKUP(A666,Revisión!$A$2:$L$703,6,FALSE)</f>
        <v>#N/A</v>
      </c>
      <c r="I666" s="4" t="e">
        <f>VLOOKUP(A666,Revisión!$A$2:$L$703,7,FALSE)</f>
        <v>#N/A</v>
      </c>
      <c r="J666" s="4" t="e">
        <f>VLOOKUP(A666,Revisión!$A$2:$L$703,8,FALSE)</f>
        <v>#N/A</v>
      </c>
      <c r="K666" s="4" t="e">
        <f>VLOOKUP(A666,Revisión!$A$2:$L$703,9,FALSE)</f>
        <v>#N/A</v>
      </c>
      <c r="L666" s="4" t="e">
        <f>VLOOKUP(A666,Revisión!$A$2:$L$703,10,FALSE)</f>
        <v>#N/A</v>
      </c>
      <c r="M666" s="18" t="e">
        <f>VLOOKUP(A666,Revisión!$A$2:$L$703,11,FALSE)</f>
        <v>#N/A</v>
      </c>
      <c r="N666" s="30" t="str">
        <f>IF(E666="Coinciden",D666,IF(E666="Revisar",VLOOKUP(A666,Revisión!$A$2:$L$703,12,FALSE),""))</f>
        <v>Delphinium peregrinum</v>
      </c>
    </row>
    <row r="667" spans="1:14" x14ac:dyDescent="0.3">
      <c r="A667" t="s">
        <v>1395</v>
      </c>
      <c r="B667" t="s">
        <v>1396</v>
      </c>
      <c r="C667" t="s">
        <v>1396</v>
      </c>
      <c r="D667" t="s">
        <v>1396</v>
      </c>
      <c r="E667" t="s">
        <v>18</v>
      </c>
      <c r="F667" t="s">
        <v>19</v>
      </c>
      <c r="H667" s="23" t="e">
        <f>VLOOKUP(A667,Revisión!$A$2:$L$703,6,FALSE)</f>
        <v>#N/A</v>
      </c>
      <c r="I667" s="4" t="e">
        <f>VLOOKUP(A667,Revisión!$A$2:$L$703,7,FALSE)</f>
        <v>#N/A</v>
      </c>
      <c r="J667" s="4" t="e">
        <f>VLOOKUP(A667,Revisión!$A$2:$L$703,8,FALSE)</f>
        <v>#N/A</v>
      </c>
      <c r="K667" s="4" t="e">
        <f>VLOOKUP(A667,Revisión!$A$2:$L$703,9,FALSE)</f>
        <v>#N/A</v>
      </c>
      <c r="L667" s="4" t="e">
        <f>VLOOKUP(A667,Revisión!$A$2:$L$703,10,FALSE)</f>
        <v>#N/A</v>
      </c>
      <c r="M667" s="18" t="e">
        <f>VLOOKUP(A667,Revisión!$A$2:$L$703,11,FALSE)</f>
        <v>#N/A</v>
      </c>
      <c r="N667" s="30" t="str">
        <f>IF(E667="Coinciden",D667,IF(E667="Revisar",VLOOKUP(A667,Revisión!$A$2:$L$703,12,FALSE),""))</f>
        <v>Delphinium tricorne</v>
      </c>
    </row>
    <row r="668" spans="1:14" x14ac:dyDescent="0.3">
      <c r="A668" t="s">
        <v>1397</v>
      </c>
      <c r="B668" t="s">
        <v>1398</v>
      </c>
      <c r="C668" t="s">
        <v>1398</v>
      </c>
      <c r="D668" t="s">
        <v>1398</v>
      </c>
      <c r="E668" t="s">
        <v>18</v>
      </c>
      <c r="F668" t="s">
        <v>19</v>
      </c>
      <c r="H668" s="23" t="e">
        <f>VLOOKUP(A668,Revisión!$A$2:$L$703,6,FALSE)</f>
        <v>#N/A</v>
      </c>
      <c r="I668" s="4" t="e">
        <f>VLOOKUP(A668,Revisión!$A$2:$L$703,7,FALSE)</f>
        <v>#N/A</v>
      </c>
      <c r="J668" s="4" t="e">
        <f>VLOOKUP(A668,Revisión!$A$2:$L$703,8,FALSE)</f>
        <v>#N/A</v>
      </c>
      <c r="K668" s="4" t="e">
        <f>VLOOKUP(A668,Revisión!$A$2:$L$703,9,FALSE)</f>
        <v>#N/A</v>
      </c>
      <c r="L668" s="4" t="e">
        <f>VLOOKUP(A668,Revisión!$A$2:$L$703,10,FALSE)</f>
        <v>#N/A</v>
      </c>
      <c r="M668" s="18" t="e">
        <f>VLOOKUP(A668,Revisión!$A$2:$L$703,11,FALSE)</f>
        <v>#N/A</v>
      </c>
      <c r="N668" s="30" t="str">
        <f>IF(E668="Coinciden",D668,IF(E668="Revisar",VLOOKUP(A668,Revisión!$A$2:$L$703,12,FALSE),""))</f>
        <v>Delphinium scopulorum</v>
      </c>
    </row>
    <row r="669" spans="1:14" x14ac:dyDescent="0.3">
      <c r="A669" t="s">
        <v>1399</v>
      </c>
      <c r="B669" t="s">
        <v>1400</v>
      </c>
      <c r="C669" t="s">
        <v>1400</v>
      </c>
      <c r="D669" t="s">
        <v>1400</v>
      </c>
      <c r="E669" t="s">
        <v>18</v>
      </c>
      <c r="F669" t="s">
        <v>19</v>
      </c>
      <c r="H669" s="23" t="e">
        <f>VLOOKUP(A669,Revisión!$A$2:$L$703,6,FALSE)</f>
        <v>#N/A</v>
      </c>
      <c r="I669" s="4" t="e">
        <f>VLOOKUP(A669,Revisión!$A$2:$L$703,7,FALSE)</f>
        <v>#N/A</v>
      </c>
      <c r="J669" s="4" t="e">
        <f>VLOOKUP(A669,Revisión!$A$2:$L$703,8,FALSE)</f>
        <v>#N/A</v>
      </c>
      <c r="K669" s="4" t="e">
        <f>VLOOKUP(A669,Revisión!$A$2:$L$703,9,FALSE)</f>
        <v>#N/A</v>
      </c>
      <c r="L669" s="4" t="e">
        <f>VLOOKUP(A669,Revisión!$A$2:$L$703,10,FALSE)</f>
        <v>#N/A</v>
      </c>
      <c r="M669" s="18" t="e">
        <f>VLOOKUP(A669,Revisión!$A$2:$L$703,11,FALSE)</f>
        <v>#N/A</v>
      </c>
      <c r="N669" s="30" t="str">
        <f>IF(E669="Coinciden",D669,IF(E669="Revisar",VLOOKUP(A669,Revisión!$A$2:$L$703,12,FALSE),""))</f>
        <v>Dendropanax trifidus</v>
      </c>
    </row>
    <row r="670" spans="1:14" x14ac:dyDescent="0.3">
      <c r="A670" t="s">
        <v>1401</v>
      </c>
      <c r="B670" t="s">
        <v>1402</v>
      </c>
      <c r="C670" t="s">
        <v>1402</v>
      </c>
      <c r="D670" t="s">
        <v>1402</v>
      </c>
      <c r="E670" t="s">
        <v>18</v>
      </c>
      <c r="F670" t="s">
        <v>19</v>
      </c>
      <c r="H670" s="23" t="e">
        <f>VLOOKUP(A670,Revisión!$A$2:$L$703,6,FALSE)</f>
        <v>#N/A</v>
      </c>
      <c r="I670" s="4" t="e">
        <f>VLOOKUP(A670,Revisión!$A$2:$L$703,7,FALSE)</f>
        <v>#N/A</v>
      </c>
      <c r="J670" s="4" t="e">
        <f>VLOOKUP(A670,Revisión!$A$2:$L$703,8,FALSE)</f>
        <v>#N/A</v>
      </c>
      <c r="K670" s="4" t="e">
        <f>VLOOKUP(A670,Revisión!$A$2:$L$703,9,FALSE)</f>
        <v>#N/A</v>
      </c>
      <c r="L670" s="4" t="e">
        <f>VLOOKUP(A670,Revisión!$A$2:$L$703,10,FALSE)</f>
        <v>#N/A</v>
      </c>
      <c r="M670" s="18" t="e">
        <f>VLOOKUP(A670,Revisión!$A$2:$L$703,11,FALSE)</f>
        <v>#N/A</v>
      </c>
      <c r="N670" s="30" t="str">
        <f>IF(E670="Coinciden",D670,IF(E670="Revisar",VLOOKUP(A670,Revisión!$A$2:$L$703,12,FALSE),""))</f>
        <v>Dendropanax arboreus</v>
      </c>
    </row>
    <row r="671" spans="1:14" x14ac:dyDescent="0.3">
      <c r="A671" t="s">
        <v>1403</v>
      </c>
      <c r="E671" t="s">
        <v>8</v>
      </c>
      <c r="F671" t="s">
        <v>11</v>
      </c>
      <c r="H671" s="23" t="e">
        <f>VLOOKUP(A671,Revisión!$A$2:$L$703,6,FALSE)</f>
        <v>#N/A</v>
      </c>
      <c r="I671" s="4" t="e">
        <f>VLOOKUP(A671,Revisión!$A$2:$L$703,7,FALSE)</f>
        <v>#N/A</v>
      </c>
      <c r="J671" s="4" t="e">
        <f>VLOOKUP(A671,Revisión!$A$2:$L$703,8,FALSE)</f>
        <v>#N/A</v>
      </c>
      <c r="K671" s="4" t="e">
        <f>VLOOKUP(A671,Revisión!$A$2:$L$703,9,FALSE)</f>
        <v>#N/A</v>
      </c>
      <c r="L671" s="4" t="e">
        <f>VLOOKUP(A671,Revisión!$A$2:$L$703,10,FALSE)</f>
        <v>#N/A</v>
      </c>
      <c r="M671" s="18" t="e">
        <f>VLOOKUP(A671,Revisión!$A$2:$L$703,11,FALSE)</f>
        <v>#N/A</v>
      </c>
      <c r="N671" s="30" t="e">
        <f>IF(E671="Coinciden",D671,IF(E671="Revisar",VLOOKUP(A671,Revisión!$A$2:$L$703,12,FALSE),""))</f>
        <v>#N/A</v>
      </c>
    </row>
    <row r="672" spans="1:14" x14ac:dyDescent="0.3">
      <c r="A672" t="s">
        <v>1404</v>
      </c>
      <c r="B672" t="s">
        <v>1405</v>
      </c>
      <c r="C672" t="s">
        <v>1405</v>
      </c>
      <c r="D672" t="s">
        <v>1405</v>
      </c>
      <c r="E672" t="s">
        <v>18</v>
      </c>
      <c r="F672" t="s">
        <v>19</v>
      </c>
      <c r="H672" s="23" t="e">
        <f>VLOOKUP(A672,Revisión!$A$2:$L$703,6,FALSE)</f>
        <v>#N/A</v>
      </c>
      <c r="I672" s="4" t="e">
        <f>VLOOKUP(A672,Revisión!$A$2:$L$703,7,FALSE)</f>
        <v>#N/A</v>
      </c>
      <c r="J672" s="4" t="e">
        <f>VLOOKUP(A672,Revisión!$A$2:$L$703,8,FALSE)</f>
        <v>#N/A</v>
      </c>
      <c r="K672" s="4" t="e">
        <f>VLOOKUP(A672,Revisión!$A$2:$L$703,9,FALSE)</f>
        <v>#N/A</v>
      </c>
      <c r="L672" s="4" t="e">
        <f>VLOOKUP(A672,Revisión!$A$2:$L$703,10,FALSE)</f>
        <v>#N/A</v>
      </c>
      <c r="M672" s="18" t="e">
        <f>VLOOKUP(A672,Revisión!$A$2:$L$703,11,FALSE)</f>
        <v>#N/A</v>
      </c>
      <c r="N672" s="30" t="str">
        <f>IF(E672="Coinciden",D672,IF(E672="Revisar",VLOOKUP(A672,Revisión!$A$2:$L$703,12,FALSE),""))</f>
        <v>Cardamine concatenata</v>
      </c>
    </row>
    <row r="673" spans="1:14" x14ac:dyDescent="0.3">
      <c r="A673" t="s">
        <v>1406</v>
      </c>
      <c r="B673" t="s">
        <v>1407</v>
      </c>
      <c r="C673" t="s">
        <v>1407</v>
      </c>
      <c r="D673" t="s">
        <v>1407</v>
      </c>
      <c r="E673" t="s">
        <v>18</v>
      </c>
      <c r="F673" t="s">
        <v>19</v>
      </c>
      <c r="H673" s="23" t="e">
        <f>VLOOKUP(A673,Revisión!$A$2:$L$703,6,FALSE)</f>
        <v>#N/A</v>
      </c>
      <c r="I673" s="4" t="e">
        <f>VLOOKUP(A673,Revisión!$A$2:$L$703,7,FALSE)</f>
        <v>#N/A</v>
      </c>
      <c r="J673" s="4" t="e">
        <f>VLOOKUP(A673,Revisión!$A$2:$L$703,8,FALSE)</f>
        <v>#N/A</v>
      </c>
      <c r="K673" s="4" t="e">
        <f>VLOOKUP(A673,Revisión!$A$2:$L$703,9,FALSE)</f>
        <v>#N/A</v>
      </c>
      <c r="L673" s="4" t="e">
        <f>VLOOKUP(A673,Revisión!$A$2:$L$703,10,FALSE)</f>
        <v>#N/A</v>
      </c>
      <c r="M673" s="18" t="e">
        <f>VLOOKUP(A673,Revisión!$A$2:$L$703,11,FALSE)</f>
        <v>#N/A</v>
      </c>
      <c r="N673" s="30" t="str">
        <f>IF(E673="Coinciden",D673,IF(E673="Revisar",VLOOKUP(A673,Revisión!$A$2:$L$703,12,FALSE),""))</f>
        <v>Grona adscendens</v>
      </c>
    </row>
    <row r="674" spans="1:14" x14ac:dyDescent="0.3">
      <c r="A674" t="s">
        <v>1408</v>
      </c>
      <c r="B674" t="s">
        <v>1409</v>
      </c>
      <c r="C674" t="s">
        <v>1409</v>
      </c>
      <c r="D674" t="s">
        <v>1409</v>
      </c>
      <c r="E674" t="s">
        <v>18</v>
      </c>
      <c r="F674" t="s">
        <v>19</v>
      </c>
      <c r="H674" s="23" t="e">
        <f>VLOOKUP(A674,Revisión!$A$2:$L$703,6,FALSE)</f>
        <v>#N/A</v>
      </c>
      <c r="I674" s="4" t="e">
        <f>VLOOKUP(A674,Revisión!$A$2:$L$703,7,FALSE)</f>
        <v>#N/A</v>
      </c>
      <c r="J674" s="4" t="e">
        <f>VLOOKUP(A674,Revisión!$A$2:$L$703,8,FALSE)</f>
        <v>#N/A</v>
      </c>
      <c r="K674" s="4" t="e">
        <f>VLOOKUP(A674,Revisión!$A$2:$L$703,9,FALSE)</f>
        <v>#N/A</v>
      </c>
      <c r="L674" s="4" t="e">
        <f>VLOOKUP(A674,Revisión!$A$2:$L$703,10,FALSE)</f>
        <v>#N/A</v>
      </c>
      <c r="M674" s="18" t="e">
        <f>VLOOKUP(A674,Revisión!$A$2:$L$703,11,FALSE)</f>
        <v>#N/A</v>
      </c>
      <c r="N674" s="30" t="str">
        <f>IF(E674="Coinciden",D674,IF(E674="Revisar",VLOOKUP(A674,Revisión!$A$2:$L$703,12,FALSE),""))</f>
        <v>Desmodium canescens</v>
      </c>
    </row>
    <row r="675" spans="1:14" x14ac:dyDescent="0.3">
      <c r="A675" t="s">
        <v>1410</v>
      </c>
      <c r="B675" t="s">
        <v>1411</v>
      </c>
      <c r="C675" t="s">
        <v>1411</v>
      </c>
      <c r="D675" t="s">
        <v>1411</v>
      </c>
      <c r="E675" t="s">
        <v>18</v>
      </c>
      <c r="F675" t="s">
        <v>19</v>
      </c>
      <c r="H675" s="23" t="e">
        <f>VLOOKUP(A675,Revisión!$A$2:$L$703,6,FALSE)</f>
        <v>#N/A</v>
      </c>
      <c r="I675" s="4" t="e">
        <f>VLOOKUP(A675,Revisión!$A$2:$L$703,7,FALSE)</f>
        <v>#N/A</v>
      </c>
      <c r="J675" s="4" t="e">
        <f>VLOOKUP(A675,Revisión!$A$2:$L$703,8,FALSE)</f>
        <v>#N/A</v>
      </c>
      <c r="K675" s="4" t="e">
        <f>VLOOKUP(A675,Revisión!$A$2:$L$703,9,FALSE)</f>
        <v>#N/A</v>
      </c>
      <c r="L675" s="4" t="e">
        <f>VLOOKUP(A675,Revisión!$A$2:$L$703,10,FALSE)</f>
        <v>#N/A</v>
      </c>
      <c r="M675" s="18" t="e">
        <f>VLOOKUP(A675,Revisión!$A$2:$L$703,11,FALSE)</f>
        <v>#N/A</v>
      </c>
      <c r="N675" s="30" t="str">
        <f>IF(E675="Coinciden",D675,IF(E675="Revisar",VLOOKUP(A675,Revisión!$A$2:$L$703,12,FALSE),""))</f>
        <v>Desmodium paniculatum</v>
      </c>
    </row>
    <row r="676" spans="1:14" x14ac:dyDescent="0.3">
      <c r="A676" t="s">
        <v>1412</v>
      </c>
      <c r="B676" t="s">
        <v>1413</v>
      </c>
      <c r="C676" t="s">
        <v>1413</v>
      </c>
      <c r="D676" t="s">
        <v>1413</v>
      </c>
      <c r="E676" t="s">
        <v>18</v>
      </c>
      <c r="F676" t="s">
        <v>19</v>
      </c>
      <c r="H676" s="23" t="e">
        <f>VLOOKUP(A676,Revisión!$A$2:$L$703,6,FALSE)</f>
        <v>#N/A</v>
      </c>
      <c r="I676" s="4" t="e">
        <f>VLOOKUP(A676,Revisión!$A$2:$L$703,7,FALSE)</f>
        <v>#N/A</v>
      </c>
      <c r="J676" s="4" t="e">
        <f>VLOOKUP(A676,Revisión!$A$2:$L$703,8,FALSE)</f>
        <v>#N/A</v>
      </c>
      <c r="K676" s="4" t="e">
        <f>VLOOKUP(A676,Revisión!$A$2:$L$703,9,FALSE)</f>
        <v>#N/A</v>
      </c>
      <c r="L676" s="4" t="e">
        <f>VLOOKUP(A676,Revisión!$A$2:$L$703,10,FALSE)</f>
        <v>#N/A</v>
      </c>
      <c r="M676" s="18" t="e">
        <f>VLOOKUP(A676,Revisión!$A$2:$L$703,11,FALSE)</f>
        <v>#N/A</v>
      </c>
      <c r="N676" s="30" t="str">
        <f>IF(E676="Coinciden",D676,IF(E676="Revisar",VLOOKUP(A676,Revisión!$A$2:$L$703,12,FALSE),""))</f>
        <v>Desmodium cuspidatum</v>
      </c>
    </row>
    <row r="677" spans="1:14" x14ac:dyDescent="0.3">
      <c r="A677" t="s">
        <v>1414</v>
      </c>
      <c r="B677" t="s">
        <v>1415</v>
      </c>
      <c r="C677" t="s">
        <v>1415</v>
      </c>
      <c r="D677" t="s">
        <v>1415</v>
      </c>
      <c r="E677" t="s">
        <v>18</v>
      </c>
      <c r="F677" t="s">
        <v>19</v>
      </c>
      <c r="H677" s="23" t="e">
        <f>VLOOKUP(A677,Revisión!$A$2:$L$703,6,FALSE)</f>
        <v>#N/A</v>
      </c>
      <c r="I677" s="4" t="e">
        <f>VLOOKUP(A677,Revisión!$A$2:$L$703,7,FALSE)</f>
        <v>#N/A</v>
      </c>
      <c r="J677" s="4" t="e">
        <f>VLOOKUP(A677,Revisión!$A$2:$L$703,8,FALSE)</f>
        <v>#N/A</v>
      </c>
      <c r="K677" s="4" t="e">
        <f>VLOOKUP(A677,Revisión!$A$2:$L$703,9,FALSE)</f>
        <v>#N/A</v>
      </c>
      <c r="L677" s="4" t="e">
        <f>VLOOKUP(A677,Revisión!$A$2:$L$703,10,FALSE)</f>
        <v>#N/A</v>
      </c>
      <c r="M677" s="18" t="e">
        <f>VLOOKUP(A677,Revisión!$A$2:$L$703,11,FALSE)</f>
        <v>#N/A</v>
      </c>
      <c r="N677" s="30" t="str">
        <f>IF(E677="Coinciden",D677,IF(E677="Revisar",VLOOKUP(A677,Revisión!$A$2:$L$703,12,FALSE),""))</f>
        <v>Desmodium sessilifolium</v>
      </c>
    </row>
    <row r="678" spans="1:14" x14ac:dyDescent="0.3">
      <c r="A678" t="s">
        <v>1416</v>
      </c>
      <c r="B678" t="s">
        <v>1417</v>
      </c>
      <c r="C678" t="s">
        <v>1417</v>
      </c>
      <c r="D678" t="s">
        <v>1417</v>
      </c>
      <c r="E678" t="s">
        <v>18</v>
      </c>
      <c r="F678" t="s">
        <v>19</v>
      </c>
      <c r="H678" s="23" t="e">
        <f>VLOOKUP(A678,Revisión!$A$2:$L$703,6,FALSE)</f>
        <v>#N/A</v>
      </c>
      <c r="I678" s="4" t="e">
        <f>VLOOKUP(A678,Revisión!$A$2:$L$703,7,FALSE)</f>
        <v>#N/A</v>
      </c>
      <c r="J678" s="4" t="e">
        <f>VLOOKUP(A678,Revisión!$A$2:$L$703,8,FALSE)</f>
        <v>#N/A</v>
      </c>
      <c r="K678" s="4" t="e">
        <f>VLOOKUP(A678,Revisión!$A$2:$L$703,9,FALSE)</f>
        <v>#N/A</v>
      </c>
      <c r="L678" s="4" t="e">
        <f>VLOOKUP(A678,Revisión!$A$2:$L$703,10,FALSE)</f>
        <v>#N/A</v>
      </c>
      <c r="M678" s="18" t="e">
        <f>VLOOKUP(A678,Revisión!$A$2:$L$703,11,FALSE)</f>
        <v>#N/A</v>
      </c>
      <c r="N678" s="30" t="str">
        <f>IF(E678="Coinciden",D678,IF(E678="Revisar",VLOOKUP(A678,Revisión!$A$2:$L$703,12,FALSE),""))</f>
        <v>Hylodesmum glutinosum</v>
      </c>
    </row>
    <row r="679" spans="1:14" x14ac:dyDescent="0.3">
      <c r="A679" t="s">
        <v>1418</v>
      </c>
      <c r="B679" t="s">
        <v>1419</v>
      </c>
      <c r="C679" t="s">
        <v>1419</v>
      </c>
      <c r="D679" t="s">
        <v>1419</v>
      </c>
      <c r="E679" t="s">
        <v>18</v>
      </c>
      <c r="F679" t="s">
        <v>19</v>
      </c>
      <c r="H679" s="23" t="e">
        <f>VLOOKUP(A679,Revisión!$A$2:$L$703,6,FALSE)</f>
        <v>#N/A</v>
      </c>
      <c r="I679" s="4" t="e">
        <f>VLOOKUP(A679,Revisión!$A$2:$L$703,7,FALSE)</f>
        <v>#N/A</v>
      </c>
      <c r="J679" s="4" t="e">
        <f>VLOOKUP(A679,Revisión!$A$2:$L$703,8,FALSE)</f>
        <v>#N/A</v>
      </c>
      <c r="K679" s="4" t="e">
        <f>VLOOKUP(A679,Revisión!$A$2:$L$703,9,FALSE)</f>
        <v>#N/A</v>
      </c>
      <c r="L679" s="4" t="e">
        <f>VLOOKUP(A679,Revisión!$A$2:$L$703,10,FALSE)</f>
        <v>#N/A</v>
      </c>
      <c r="M679" s="18" t="e">
        <f>VLOOKUP(A679,Revisión!$A$2:$L$703,11,FALSE)</f>
        <v>#N/A</v>
      </c>
      <c r="N679" s="30" t="str">
        <f>IF(E679="Coinciden",D679,IF(E679="Revisar",VLOOKUP(A679,Revisión!$A$2:$L$703,12,FALSE),""))</f>
        <v>Desmodium marilandicum</v>
      </c>
    </row>
    <row r="680" spans="1:14" x14ac:dyDescent="0.3">
      <c r="A680" t="s">
        <v>1420</v>
      </c>
      <c r="B680" t="s">
        <v>1421</v>
      </c>
      <c r="C680" t="s">
        <v>1421</v>
      </c>
      <c r="D680" t="s">
        <v>1421</v>
      </c>
      <c r="E680" t="s">
        <v>18</v>
      </c>
      <c r="F680" t="s">
        <v>19</v>
      </c>
      <c r="H680" s="23" t="e">
        <f>VLOOKUP(A680,Revisión!$A$2:$L$703,6,FALSE)</f>
        <v>#N/A</v>
      </c>
      <c r="I680" s="4" t="e">
        <f>VLOOKUP(A680,Revisión!$A$2:$L$703,7,FALSE)</f>
        <v>#N/A</v>
      </c>
      <c r="J680" s="4" t="e">
        <f>VLOOKUP(A680,Revisión!$A$2:$L$703,8,FALSE)</f>
        <v>#N/A</v>
      </c>
      <c r="K680" s="4" t="e">
        <f>VLOOKUP(A680,Revisión!$A$2:$L$703,9,FALSE)</f>
        <v>#N/A</v>
      </c>
      <c r="L680" s="4" t="e">
        <f>VLOOKUP(A680,Revisión!$A$2:$L$703,10,FALSE)</f>
        <v>#N/A</v>
      </c>
      <c r="M680" s="18" t="e">
        <f>VLOOKUP(A680,Revisión!$A$2:$L$703,11,FALSE)</f>
        <v>#N/A</v>
      </c>
      <c r="N680" s="30" t="str">
        <f>IF(E680="Coinciden",D680,IF(E680="Revisar",VLOOKUP(A680,Revisión!$A$2:$L$703,12,FALSE),""))</f>
        <v>Desmodium canadense</v>
      </c>
    </row>
    <row r="681" spans="1:14" x14ac:dyDescent="0.3">
      <c r="A681" t="s">
        <v>1422</v>
      </c>
      <c r="B681" t="s">
        <v>1423</v>
      </c>
      <c r="C681" t="s">
        <v>1424</v>
      </c>
      <c r="D681" t="s">
        <v>1424</v>
      </c>
      <c r="E681" t="s">
        <v>8</v>
      </c>
      <c r="F681" t="s">
        <v>23</v>
      </c>
      <c r="H681" s="23" t="str">
        <f>VLOOKUP(A681,Revisión!$A$2:$L$703,6,FALSE)</f>
        <v>Desmodium glabellum</v>
      </c>
      <c r="I681" s="4" t="str">
        <f>VLOOKUP(A681,Revisión!$A$2:$L$703,7,FALSE)</f>
        <v>-</v>
      </c>
      <c r="J681" s="4" t="str">
        <f>VLOOKUP(A681,Revisión!$A$2:$L$703,8,FALSE)</f>
        <v>Desmodium glabellum</v>
      </c>
      <c r="K681" s="4" t="str">
        <f>VLOOKUP(A681,Revisión!$A$2:$L$703,9,FALSE)</f>
        <v>Desmodium glabellum</v>
      </c>
      <c r="L681" s="4" t="str">
        <f>VLOOKUP(A681,Revisión!$A$2:$L$703,10,FALSE)</f>
        <v>Desmodium paniculatum</v>
      </c>
      <c r="M681" s="18">
        <f>VLOOKUP(A681,Revisión!$A$2:$L$703,11,FALSE)</f>
        <v>3</v>
      </c>
      <c r="N681" s="30" t="str">
        <f>IF(E681="Coinciden",D681,IF(E681="Revisar",VLOOKUP(A681,Revisión!$A$2:$L$703,12,FALSE),""))</f>
        <v>Desmodium glabellum</v>
      </c>
    </row>
    <row r="682" spans="1:14" x14ac:dyDescent="0.3">
      <c r="A682" t="s">
        <v>1425</v>
      </c>
      <c r="B682" t="s">
        <v>1426</v>
      </c>
      <c r="C682" t="s">
        <v>1426</v>
      </c>
      <c r="D682" t="s">
        <v>1426</v>
      </c>
      <c r="E682" t="s">
        <v>18</v>
      </c>
      <c r="F682" t="s">
        <v>19</v>
      </c>
      <c r="H682" s="23" t="e">
        <f>VLOOKUP(A682,Revisión!$A$2:$L$703,6,FALSE)</f>
        <v>#N/A</v>
      </c>
      <c r="I682" s="4" t="e">
        <f>VLOOKUP(A682,Revisión!$A$2:$L$703,7,FALSE)</f>
        <v>#N/A</v>
      </c>
      <c r="J682" s="4" t="e">
        <f>VLOOKUP(A682,Revisión!$A$2:$L$703,8,FALSE)</f>
        <v>#N/A</v>
      </c>
      <c r="K682" s="4" t="e">
        <f>VLOOKUP(A682,Revisión!$A$2:$L$703,9,FALSE)</f>
        <v>#N/A</v>
      </c>
      <c r="L682" s="4" t="e">
        <f>VLOOKUP(A682,Revisión!$A$2:$L$703,10,FALSE)</f>
        <v>#N/A</v>
      </c>
      <c r="M682" s="18" t="e">
        <f>VLOOKUP(A682,Revisión!$A$2:$L$703,11,FALSE)</f>
        <v>#N/A</v>
      </c>
      <c r="N682" s="30" t="str">
        <f>IF(E682="Coinciden",D682,IF(E682="Revisar",VLOOKUP(A682,Revisión!$A$2:$L$703,12,FALSE),""))</f>
        <v>Desmodium illinoense</v>
      </c>
    </row>
    <row r="683" spans="1:14" x14ac:dyDescent="0.3">
      <c r="A683" t="s">
        <v>1427</v>
      </c>
      <c r="B683" t="s">
        <v>1428</v>
      </c>
      <c r="D683" t="s">
        <v>1429</v>
      </c>
      <c r="E683" t="s">
        <v>8</v>
      </c>
      <c r="F683" t="s">
        <v>9</v>
      </c>
      <c r="H683" s="23" t="str">
        <f>VLOOKUP(A683,Revisión!$A$2:$L$703,6,FALSE)</f>
        <v>Hylodesmum laxum</v>
      </c>
      <c r="I683" s="4" t="str">
        <f>VLOOKUP(A683,Revisión!$A$2:$L$703,7,FALSE)</f>
        <v>-</v>
      </c>
      <c r="J683" s="4" t="str">
        <f>VLOOKUP(A683,Revisión!$A$2:$L$703,8,FALSE)</f>
        <v>Hylodesmum podocarpum</v>
      </c>
      <c r="K683" s="4" t="str">
        <f>VLOOKUP(A683,Revisión!$A$2:$L$703,9,FALSE)</f>
        <v>Hylodesmum podocarpum</v>
      </c>
      <c r="L683" s="4" t="str">
        <f>VLOOKUP(A683,Revisión!$A$2:$L$703,10,FALSE)</f>
        <v>Hylodesmum podocarpum</v>
      </c>
      <c r="M683" s="18">
        <f>VLOOKUP(A683,Revisión!$A$2:$L$703,11,FALSE)</f>
        <v>3</v>
      </c>
      <c r="N683" s="30" t="str">
        <f>IF(E683="Coinciden",D683,IF(E683="Revisar",VLOOKUP(A683,Revisión!$A$2:$L$703,12,FALSE),""))</f>
        <v>Hylodesmum podocarpum</v>
      </c>
    </row>
    <row r="684" spans="1:14" x14ac:dyDescent="0.3">
      <c r="A684" t="s">
        <v>1430</v>
      </c>
      <c r="B684" t="s">
        <v>1431</v>
      </c>
      <c r="C684" t="s">
        <v>1431</v>
      </c>
      <c r="D684" t="s">
        <v>1431</v>
      </c>
      <c r="E684" t="s">
        <v>18</v>
      </c>
      <c r="F684" t="s">
        <v>19</v>
      </c>
      <c r="H684" s="23" t="e">
        <f>VLOOKUP(A684,Revisión!$A$2:$L$703,6,FALSE)</f>
        <v>#N/A</v>
      </c>
      <c r="I684" s="4" t="e">
        <f>VLOOKUP(A684,Revisión!$A$2:$L$703,7,FALSE)</f>
        <v>#N/A</v>
      </c>
      <c r="J684" s="4" t="e">
        <f>VLOOKUP(A684,Revisión!$A$2:$L$703,8,FALSE)</f>
        <v>#N/A</v>
      </c>
      <c r="K684" s="4" t="e">
        <f>VLOOKUP(A684,Revisión!$A$2:$L$703,9,FALSE)</f>
        <v>#N/A</v>
      </c>
      <c r="L684" s="4" t="e">
        <f>VLOOKUP(A684,Revisión!$A$2:$L$703,10,FALSE)</f>
        <v>#N/A</v>
      </c>
      <c r="M684" s="18" t="e">
        <f>VLOOKUP(A684,Revisión!$A$2:$L$703,11,FALSE)</f>
        <v>#N/A</v>
      </c>
      <c r="N684" s="30" t="str">
        <f>IF(E684="Coinciden",D684,IF(E684="Revisar",VLOOKUP(A684,Revisión!$A$2:$L$703,12,FALSE),""))</f>
        <v>Grona barbata</v>
      </c>
    </row>
    <row r="685" spans="1:14" x14ac:dyDescent="0.3">
      <c r="A685" t="s">
        <v>1432</v>
      </c>
      <c r="B685" t="s">
        <v>1433</v>
      </c>
      <c r="C685" t="s">
        <v>1433</v>
      </c>
      <c r="D685" t="s">
        <v>1433</v>
      </c>
      <c r="E685" t="s">
        <v>18</v>
      </c>
      <c r="F685" t="s">
        <v>19</v>
      </c>
      <c r="H685" s="23" t="e">
        <f>VLOOKUP(A685,Revisión!$A$2:$L$703,6,FALSE)</f>
        <v>#N/A</v>
      </c>
      <c r="I685" s="4" t="e">
        <f>VLOOKUP(A685,Revisión!$A$2:$L$703,7,FALSE)</f>
        <v>#N/A</v>
      </c>
      <c r="J685" s="4" t="e">
        <f>VLOOKUP(A685,Revisión!$A$2:$L$703,8,FALSE)</f>
        <v>#N/A</v>
      </c>
      <c r="K685" s="4" t="e">
        <f>VLOOKUP(A685,Revisión!$A$2:$L$703,9,FALSE)</f>
        <v>#N/A</v>
      </c>
      <c r="L685" s="4" t="e">
        <f>VLOOKUP(A685,Revisión!$A$2:$L$703,10,FALSE)</f>
        <v>#N/A</v>
      </c>
      <c r="M685" s="18" t="e">
        <f>VLOOKUP(A685,Revisión!$A$2:$L$703,11,FALSE)</f>
        <v>#N/A</v>
      </c>
      <c r="N685" s="30" t="str">
        <f>IF(E685="Coinciden",D685,IF(E685="Revisar",VLOOKUP(A685,Revisión!$A$2:$L$703,12,FALSE),""))</f>
        <v>Deutzia maximowicziana</v>
      </c>
    </row>
    <row r="686" spans="1:14" x14ac:dyDescent="0.3">
      <c r="A686" t="s">
        <v>1434</v>
      </c>
      <c r="B686" t="s">
        <v>1435</v>
      </c>
      <c r="C686" t="s">
        <v>1435</v>
      </c>
      <c r="D686" t="s">
        <v>1435</v>
      </c>
      <c r="E686" t="s">
        <v>18</v>
      </c>
      <c r="F686" t="s">
        <v>19</v>
      </c>
      <c r="H686" s="23" t="e">
        <f>VLOOKUP(A686,Revisión!$A$2:$L$703,6,FALSE)</f>
        <v>#N/A</v>
      </c>
      <c r="I686" s="4" t="e">
        <f>VLOOKUP(A686,Revisión!$A$2:$L$703,7,FALSE)</f>
        <v>#N/A</v>
      </c>
      <c r="J686" s="4" t="e">
        <f>VLOOKUP(A686,Revisión!$A$2:$L$703,8,FALSE)</f>
        <v>#N/A</v>
      </c>
      <c r="K686" s="4" t="e">
        <f>VLOOKUP(A686,Revisión!$A$2:$L$703,9,FALSE)</f>
        <v>#N/A</v>
      </c>
      <c r="L686" s="4" t="e">
        <f>VLOOKUP(A686,Revisión!$A$2:$L$703,10,FALSE)</f>
        <v>#N/A</v>
      </c>
      <c r="M686" s="18" t="e">
        <f>VLOOKUP(A686,Revisión!$A$2:$L$703,11,FALSE)</f>
        <v>#N/A</v>
      </c>
      <c r="N686" s="30" t="str">
        <f>IF(E686="Coinciden",D686,IF(E686="Revisar",VLOOKUP(A686,Revisión!$A$2:$L$703,12,FALSE),""))</f>
        <v>Deutzia scabra</v>
      </c>
    </row>
    <row r="687" spans="1:14" x14ac:dyDescent="0.3">
      <c r="A687" t="s">
        <v>1436</v>
      </c>
      <c r="B687" t="s">
        <v>1437</v>
      </c>
      <c r="C687" t="s">
        <v>1437</v>
      </c>
      <c r="D687" t="s">
        <v>1437</v>
      </c>
      <c r="E687" t="s">
        <v>18</v>
      </c>
      <c r="F687" t="s">
        <v>19</v>
      </c>
      <c r="H687" s="23" t="e">
        <f>VLOOKUP(A687,Revisión!$A$2:$L$703,6,FALSE)</f>
        <v>#N/A</v>
      </c>
      <c r="I687" s="4" t="e">
        <f>VLOOKUP(A687,Revisión!$A$2:$L$703,7,FALSE)</f>
        <v>#N/A</v>
      </c>
      <c r="J687" s="4" t="e">
        <f>VLOOKUP(A687,Revisión!$A$2:$L$703,8,FALSE)</f>
        <v>#N/A</v>
      </c>
      <c r="K687" s="4" t="e">
        <f>VLOOKUP(A687,Revisión!$A$2:$L$703,9,FALSE)</f>
        <v>#N/A</v>
      </c>
      <c r="L687" s="4" t="e">
        <f>VLOOKUP(A687,Revisión!$A$2:$L$703,10,FALSE)</f>
        <v>#N/A</v>
      </c>
      <c r="M687" s="18" t="e">
        <f>VLOOKUP(A687,Revisión!$A$2:$L$703,11,FALSE)</f>
        <v>#N/A</v>
      </c>
      <c r="N687" s="30" t="str">
        <f>IF(E687="Coinciden",D687,IF(E687="Revisar",VLOOKUP(A687,Revisión!$A$2:$L$703,12,FALSE),""))</f>
        <v>Deutzia gracilis</v>
      </c>
    </row>
    <row r="688" spans="1:14" x14ac:dyDescent="0.3">
      <c r="A688" t="s">
        <v>1438</v>
      </c>
      <c r="B688" t="s">
        <v>1439</v>
      </c>
      <c r="C688" t="s">
        <v>1439</v>
      </c>
      <c r="D688" t="s">
        <v>1439</v>
      </c>
      <c r="E688" t="s">
        <v>18</v>
      </c>
      <c r="F688" t="s">
        <v>19</v>
      </c>
      <c r="H688" s="23" t="e">
        <f>VLOOKUP(A688,Revisión!$A$2:$L$703,6,FALSE)</f>
        <v>#N/A</v>
      </c>
      <c r="I688" s="4" t="e">
        <f>VLOOKUP(A688,Revisión!$A$2:$L$703,7,FALSE)</f>
        <v>#N/A</v>
      </c>
      <c r="J688" s="4" t="e">
        <f>VLOOKUP(A688,Revisión!$A$2:$L$703,8,FALSE)</f>
        <v>#N/A</v>
      </c>
      <c r="K688" s="4" t="e">
        <f>VLOOKUP(A688,Revisión!$A$2:$L$703,9,FALSE)</f>
        <v>#N/A</v>
      </c>
      <c r="L688" s="4" t="e">
        <f>VLOOKUP(A688,Revisión!$A$2:$L$703,10,FALSE)</f>
        <v>#N/A</v>
      </c>
      <c r="M688" s="18" t="e">
        <f>VLOOKUP(A688,Revisión!$A$2:$L$703,11,FALSE)</f>
        <v>#N/A</v>
      </c>
      <c r="N688" s="30" t="str">
        <f>IF(E688="Coinciden",D688,IF(E688="Revisar",VLOOKUP(A688,Revisión!$A$2:$L$703,12,FALSE),""))</f>
        <v>Deutzia naseana</v>
      </c>
    </row>
    <row r="689" spans="1:14" x14ac:dyDescent="0.3">
      <c r="A689" t="s">
        <v>1440</v>
      </c>
      <c r="B689" t="s">
        <v>1441</v>
      </c>
      <c r="C689" t="s">
        <v>1441</v>
      </c>
      <c r="D689" t="s">
        <v>1441</v>
      </c>
      <c r="E689" t="s">
        <v>18</v>
      </c>
      <c r="F689" t="s">
        <v>19</v>
      </c>
      <c r="H689" s="23" t="e">
        <f>VLOOKUP(A689,Revisión!$A$2:$L$703,6,FALSE)</f>
        <v>#N/A</v>
      </c>
      <c r="I689" s="4" t="e">
        <f>VLOOKUP(A689,Revisión!$A$2:$L$703,7,FALSE)</f>
        <v>#N/A</v>
      </c>
      <c r="J689" s="4" t="e">
        <f>VLOOKUP(A689,Revisión!$A$2:$L$703,8,FALSE)</f>
        <v>#N/A</v>
      </c>
      <c r="K689" s="4" t="e">
        <f>VLOOKUP(A689,Revisión!$A$2:$L$703,9,FALSE)</f>
        <v>#N/A</v>
      </c>
      <c r="L689" s="4" t="e">
        <f>VLOOKUP(A689,Revisión!$A$2:$L$703,10,FALSE)</f>
        <v>#N/A</v>
      </c>
      <c r="M689" s="18" t="e">
        <f>VLOOKUP(A689,Revisión!$A$2:$L$703,11,FALSE)</f>
        <v>#N/A</v>
      </c>
      <c r="N689" s="30" t="str">
        <f>IF(E689="Coinciden",D689,IF(E689="Revisar",VLOOKUP(A689,Revisión!$A$2:$L$703,12,FALSE),""))</f>
        <v>Deutzia crenata</v>
      </c>
    </row>
    <row r="690" spans="1:14" x14ac:dyDescent="0.3">
      <c r="A690" t="s">
        <v>1442</v>
      </c>
      <c r="B690" t="s">
        <v>1443</v>
      </c>
      <c r="D690" t="s">
        <v>1443</v>
      </c>
      <c r="E690" t="s">
        <v>8</v>
      </c>
      <c r="F690" t="s">
        <v>34</v>
      </c>
      <c r="H690" s="23" t="str">
        <f>VLOOKUP(A690,Revisión!$A$2:$L$703,6,FALSE)</f>
        <v>Dianthera americana</v>
      </c>
      <c r="I690" s="4" t="str">
        <f>VLOOKUP(A690,Revisión!$A$2:$L$703,7,FALSE)</f>
        <v>-</v>
      </c>
      <c r="J690" s="4" t="str">
        <f>VLOOKUP(A690,Revisión!$A$2:$L$703,8,FALSE)</f>
        <v>Dianthera americana</v>
      </c>
      <c r="K690" s="4" t="str">
        <f>VLOOKUP(A690,Revisión!$A$2:$L$703,9,FALSE)</f>
        <v>Dianthera americana</v>
      </c>
      <c r="L690" s="4" t="str">
        <f>VLOOKUP(A690,Revisión!$A$2:$L$703,10,FALSE)</f>
        <v>Dianthera americana</v>
      </c>
      <c r="M690" s="18">
        <f>VLOOKUP(A690,Revisión!$A$2:$L$703,11,FALSE)</f>
        <v>4</v>
      </c>
      <c r="N690" s="30" t="str">
        <f>IF(E690="Coinciden",D690,IF(E690="Revisar",VLOOKUP(A690,Revisión!$A$2:$L$703,12,FALSE),""))</f>
        <v>Dianthera americana</v>
      </c>
    </row>
    <row r="691" spans="1:14" x14ac:dyDescent="0.3">
      <c r="A691" t="s">
        <v>1444</v>
      </c>
      <c r="B691" t="s">
        <v>1445</v>
      </c>
      <c r="C691" t="s">
        <v>1445</v>
      </c>
      <c r="D691" t="s">
        <v>1445</v>
      </c>
      <c r="E691" t="s">
        <v>18</v>
      </c>
      <c r="F691" t="s">
        <v>19</v>
      </c>
      <c r="H691" s="23" t="e">
        <f>VLOOKUP(A691,Revisión!$A$2:$L$703,6,FALSE)</f>
        <v>#N/A</v>
      </c>
      <c r="I691" s="4" t="e">
        <f>VLOOKUP(A691,Revisión!$A$2:$L$703,7,FALSE)</f>
        <v>#N/A</v>
      </c>
      <c r="J691" s="4" t="e">
        <f>VLOOKUP(A691,Revisión!$A$2:$L$703,8,FALSE)</f>
        <v>#N/A</v>
      </c>
      <c r="K691" s="4" t="e">
        <f>VLOOKUP(A691,Revisión!$A$2:$L$703,9,FALSE)</f>
        <v>#N/A</v>
      </c>
      <c r="L691" s="4" t="e">
        <f>VLOOKUP(A691,Revisión!$A$2:$L$703,10,FALSE)</f>
        <v>#N/A</v>
      </c>
      <c r="M691" s="18" t="e">
        <f>VLOOKUP(A691,Revisión!$A$2:$L$703,11,FALSE)</f>
        <v>#N/A</v>
      </c>
      <c r="N691" s="30" t="str">
        <f>IF(E691="Coinciden",D691,IF(E691="Revisar",VLOOKUP(A691,Revisión!$A$2:$L$703,12,FALSE),""))</f>
        <v>Dianthus superbus</v>
      </c>
    </row>
    <row r="692" spans="1:14" x14ac:dyDescent="0.3">
      <c r="A692" t="s">
        <v>1446</v>
      </c>
      <c r="B692" t="s">
        <v>1447</v>
      </c>
      <c r="C692" t="s">
        <v>1447</v>
      </c>
      <c r="D692" t="s">
        <v>1447</v>
      </c>
      <c r="E692" t="s">
        <v>18</v>
      </c>
      <c r="F692" t="s">
        <v>19</v>
      </c>
      <c r="H692" s="23" t="e">
        <f>VLOOKUP(A692,Revisión!$A$2:$L$703,6,FALSE)</f>
        <v>#N/A</v>
      </c>
      <c r="I692" s="4" t="e">
        <f>VLOOKUP(A692,Revisión!$A$2:$L$703,7,FALSE)</f>
        <v>#N/A</v>
      </c>
      <c r="J692" s="4" t="e">
        <f>VLOOKUP(A692,Revisión!$A$2:$L$703,8,FALSE)</f>
        <v>#N/A</v>
      </c>
      <c r="K692" s="4" t="e">
        <f>VLOOKUP(A692,Revisión!$A$2:$L$703,9,FALSE)</f>
        <v>#N/A</v>
      </c>
      <c r="L692" s="4" t="e">
        <f>VLOOKUP(A692,Revisión!$A$2:$L$703,10,FALSE)</f>
        <v>#N/A</v>
      </c>
      <c r="M692" s="18" t="e">
        <f>VLOOKUP(A692,Revisión!$A$2:$L$703,11,FALSE)</f>
        <v>#N/A</v>
      </c>
      <c r="N692" s="30" t="str">
        <f>IF(E692="Coinciden",D692,IF(E692="Revisar",VLOOKUP(A692,Revisión!$A$2:$L$703,12,FALSE),""))</f>
        <v>Dianthus longicalyx</v>
      </c>
    </row>
    <row r="693" spans="1:14" x14ac:dyDescent="0.3">
      <c r="A693" t="s">
        <v>1448</v>
      </c>
      <c r="B693" t="s">
        <v>1449</v>
      </c>
      <c r="C693" t="s">
        <v>1449</v>
      </c>
      <c r="D693" t="s">
        <v>1449</v>
      </c>
      <c r="E693" t="s">
        <v>18</v>
      </c>
      <c r="F693" t="s">
        <v>19</v>
      </c>
      <c r="H693" s="23" t="e">
        <f>VLOOKUP(A693,Revisión!$A$2:$L$703,6,FALSE)</f>
        <v>#N/A</v>
      </c>
      <c r="I693" s="4" t="e">
        <f>VLOOKUP(A693,Revisión!$A$2:$L$703,7,FALSE)</f>
        <v>#N/A</v>
      </c>
      <c r="J693" s="4" t="e">
        <f>VLOOKUP(A693,Revisión!$A$2:$L$703,8,FALSE)</f>
        <v>#N/A</v>
      </c>
      <c r="K693" s="4" t="e">
        <f>VLOOKUP(A693,Revisión!$A$2:$L$703,9,FALSE)</f>
        <v>#N/A</v>
      </c>
      <c r="L693" s="4" t="e">
        <f>VLOOKUP(A693,Revisión!$A$2:$L$703,10,FALSE)</f>
        <v>#N/A</v>
      </c>
      <c r="M693" s="18" t="e">
        <f>VLOOKUP(A693,Revisión!$A$2:$L$703,11,FALSE)</f>
        <v>#N/A</v>
      </c>
      <c r="N693" s="30" t="str">
        <f>IF(E693="Coinciden",D693,IF(E693="Revisar",VLOOKUP(A693,Revisión!$A$2:$L$703,12,FALSE),""))</f>
        <v>Dianthus caryophyllus</v>
      </c>
    </row>
    <row r="694" spans="1:14" x14ac:dyDescent="0.3">
      <c r="A694" t="s">
        <v>1450</v>
      </c>
      <c r="B694" t="s">
        <v>1451</v>
      </c>
      <c r="C694" t="s">
        <v>1451</v>
      </c>
      <c r="D694" t="s">
        <v>1451</v>
      </c>
      <c r="E694" t="s">
        <v>18</v>
      </c>
      <c r="F694" t="s">
        <v>19</v>
      </c>
      <c r="H694" s="23" t="e">
        <f>VLOOKUP(A694,Revisión!$A$2:$L$703,6,FALSE)</f>
        <v>#N/A</v>
      </c>
      <c r="I694" s="4" t="e">
        <f>VLOOKUP(A694,Revisión!$A$2:$L$703,7,FALSE)</f>
        <v>#N/A</v>
      </c>
      <c r="J694" s="4" t="e">
        <f>VLOOKUP(A694,Revisión!$A$2:$L$703,8,FALSE)</f>
        <v>#N/A</v>
      </c>
      <c r="K694" s="4" t="e">
        <f>VLOOKUP(A694,Revisión!$A$2:$L$703,9,FALSE)</f>
        <v>#N/A</v>
      </c>
      <c r="L694" s="4" t="e">
        <f>VLOOKUP(A694,Revisión!$A$2:$L$703,10,FALSE)</f>
        <v>#N/A</v>
      </c>
      <c r="M694" s="18" t="e">
        <f>VLOOKUP(A694,Revisión!$A$2:$L$703,11,FALSE)</f>
        <v>#N/A</v>
      </c>
      <c r="N694" s="30" t="str">
        <f>IF(E694="Coinciden",D694,IF(E694="Revisar",VLOOKUP(A694,Revisión!$A$2:$L$703,12,FALSE),""))</f>
        <v>Diapensia lapponica</v>
      </c>
    </row>
    <row r="695" spans="1:14" x14ac:dyDescent="0.3">
      <c r="A695" t="s">
        <v>1452</v>
      </c>
      <c r="B695" t="s">
        <v>1453</v>
      </c>
      <c r="C695" t="s">
        <v>1453</v>
      </c>
      <c r="D695" t="s">
        <v>1453</v>
      </c>
      <c r="E695" t="s">
        <v>18</v>
      </c>
      <c r="F695" t="s">
        <v>19</v>
      </c>
      <c r="H695" s="23" t="e">
        <f>VLOOKUP(A695,Revisión!$A$2:$L$703,6,FALSE)</f>
        <v>#N/A</v>
      </c>
      <c r="I695" s="4" t="e">
        <f>VLOOKUP(A695,Revisión!$A$2:$L$703,7,FALSE)</f>
        <v>#N/A</v>
      </c>
      <c r="J695" s="4" t="e">
        <f>VLOOKUP(A695,Revisión!$A$2:$L$703,8,FALSE)</f>
        <v>#N/A</v>
      </c>
      <c r="K695" s="4" t="e">
        <f>VLOOKUP(A695,Revisión!$A$2:$L$703,9,FALSE)</f>
        <v>#N/A</v>
      </c>
      <c r="L695" s="4" t="e">
        <f>VLOOKUP(A695,Revisión!$A$2:$L$703,10,FALSE)</f>
        <v>#N/A</v>
      </c>
      <c r="M695" s="18" t="e">
        <f>VLOOKUP(A695,Revisión!$A$2:$L$703,11,FALSE)</f>
        <v>#N/A</v>
      </c>
      <c r="N695" s="30" t="str">
        <f>IF(E695="Coinciden",D695,IF(E695="Revisar",VLOOKUP(A695,Revisión!$A$2:$L$703,12,FALSE),""))</f>
        <v>Dicella bracteosa</v>
      </c>
    </row>
    <row r="696" spans="1:14" x14ac:dyDescent="0.3">
      <c r="A696" t="s">
        <v>1454</v>
      </c>
      <c r="B696" t="s">
        <v>1455</v>
      </c>
      <c r="C696" t="s">
        <v>1455</v>
      </c>
      <c r="D696" t="s">
        <v>1455</v>
      </c>
      <c r="E696" t="s">
        <v>18</v>
      </c>
      <c r="F696" t="s">
        <v>19</v>
      </c>
      <c r="H696" s="23" t="e">
        <f>VLOOKUP(A696,Revisión!$A$2:$L$703,6,FALSE)</f>
        <v>#N/A</v>
      </c>
      <c r="I696" s="4" t="e">
        <f>VLOOKUP(A696,Revisión!$A$2:$L$703,7,FALSE)</f>
        <v>#N/A</v>
      </c>
      <c r="J696" s="4" t="e">
        <f>VLOOKUP(A696,Revisión!$A$2:$L$703,8,FALSE)</f>
        <v>#N/A</v>
      </c>
      <c r="K696" s="4" t="e">
        <f>VLOOKUP(A696,Revisión!$A$2:$L$703,9,FALSE)</f>
        <v>#N/A</v>
      </c>
      <c r="L696" s="4" t="e">
        <f>VLOOKUP(A696,Revisión!$A$2:$L$703,10,FALSE)</f>
        <v>#N/A</v>
      </c>
      <c r="M696" s="18" t="e">
        <f>VLOOKUP(A696,Revisión!$A$2:$L$703,11,FALSE)</f>
        <v>#N/A</v>
      </c>
      <c r="N696" s="30" t="str">
        <f>IF(E696="Coinciden",D696,IF(E696="Revisar",VLOOKUP(A696,Revisión!$A$2:$L$703,12,FALSE),""))</f>
        <v>Dicentra canadensis</v>
      </c>
    </row>
    <row r="697" spans="1:14" x14ac:dyDescent="0.3">
      <c r="A697" t="s">
        <v>1456</v>
      </c>
      <c r="B697" t="s">
        <v>1457</v>
      </c>
      <c r="C697" t="s">
        <v>1457</v>
      </c>
      <c r="D697" t="s">
        <v>1457</v>
      </c>
      <c r="E697" t="s">
        <v>18</v>
      </c>
      <c r="F697" t="s">
        <v>19</v>
      </c>
      <c r="H697" s="23" t="e">
        <f>VLOOKUP(A697,Revisión!$A$2:$L$703,6,FALSE)</f>
        <v>#N/A</v>
      </c>
      <c r="I697" s="4" t="e">
        <f>VLOOKUP(A697,Revisión!$A$2:$L$703,7,FALSE)</f>
        <v>#N/A</v>
      </c>
      <c r="J697" s="4" t="e">
        <f>VLOOKUP(A697,Revisión!$A$2:$L$703,8,FALSE)</f>
        <v>#N/A</v>
      </c>
      <c r="K697" s="4" t="e">
        <f>VLOOKUP(A697,Revisión!$A$2:$L$703,9,FALSE)</f>
        <v>#N/A</v>
      </c>
      <c r="L697" s="4" t="e">
        <f>VLOOKUP(A697,Revisión!$A$2:$L$703,10,FALSE)</f>
        <v>#N/A</v>
      </c>
      <c r="M697" s="18" t="e">
        <f>VLOOKUP(A697,Revisión!$A$2:$L$703,11,FALSE)</f>
        <v>#N/A</v>
      </c>
      <c r="N697" s="30" t="str">
        <f>IF(E697="Coinciden",D697,IF(E697="Revisar",VLOOKUP(A697,Revisión!$A$2:$L$703,12,FALSE),""))</f>
        <v>Dicentra cucullaria</v>
      </c>
    </row>
    <row r="698" spans="1:14" x14ac:dyDescent="0.3">
      <c r="A698" t="s">
        <v>1458</v>
      </c>
      <c r="B698" t="s">
        <v>1459</v>
      </c>
      <c r="C698" t="s">
        <v>1459</v>
      </c>
      <c r="D698" t="s">
        <v>1459</v>
      </c>
      <c r="E698" t="s">
        <v>18</v>
      </c>
      <c r="F698" t="s">
        <v>19</v>
      </c>
      <c r="H698" s="23" t="e">
        <f>VLOOKUP(A698,Revisión!$A$2:$L$703,6,FALSE)</f>
        <v>#N/A</v>
      </c>
      <c r="I698" s="4" t="e">
        <f>VLOOKUP(A698,Revisión!$A$2:$L$703,7,FALSE)</f>
        <v>#N/A</v>
      </c>
      <c r="J698" s="4" t="e">
        <f>VLOOKUP(A698,Revisión!$A$2:$L$703,8,FALSE)</f>
        <v>#N/A</v>
      </c>
      <c r="K698" s="4" t="e">
        <f>VLOOKUP(A698,Revisión!$A$2:$L$703,9,FALSE)</f>
        <v>#N/A</v>
      </c>
      <c r="L698" s="4" t="e">
        <f>VLOOKUP(A698,Revisión!$A$2:$L$703,10,FALSE)</f>
        <v>#N/A</v>
      </c>
      <c r="M698" s="18" t="e">
        <f>VLOOKUP(A698,Revisión!$A$2:$L$703,11,FALSE)</f>
        <v>#N/A</v>
      </c>
      <c r="N698" s="30" t="str">
        <f>IF(E698="Coinciden",D698,IF(E698="Revisar",VLOOKUP(A698,Revisión!$A$2:$L$703,12,FALSE),""))</f>
        <v>Digitalis purpurea</v>
      </c>
    </row>
    <row r="699" spans="1:14" x14ac:dyDescent="0.3">
      <c r="A699" t="s">
        <v>1460</v>
      </c>
      <c r="B699" t="s">
        <v>1461</v>
      </c>
      <c r="D699" t="s">
        <v>1461</v>
      </c>
      <c r="E699" t="s">
        <v>8</v>
      </c>
      <c r="F699" t="s">
        <v>34</v>
      </c>
      <c r="H699" s="23" t="str">
        <f>VLOOKUP(A699,Revisión!$A$2:$L$703,6,FALSE)</f>
        <v>Digitaria ciliaris</v>
      </c>
      <c r="I699" s="4" t="str">
        <f>VLOOKUP(A699,Revisión!$A$2:$L$703,7,FALSE)</f>
        <v>-</v>
      </c>
      <c r="J699" s="4" t="str">
        <f>VLOOKUP(A699,Revisión!$A$2:$L$703,8,FALSE)</f>
        <v>Digitaria ciliaris</v>
      </c>
      <c r="K699" s="4" t="str">
        <f>VLOOKUP(A699,Revisión!$A$2:$L$703,9,FALSE)</f>
        <v>Digitaria ciliaris</v>
      </c>
      <c r="L699" s="4" t="str">
        <f>VLOOKUP(A699,Revisión!$A$2:$L$703,10,FALSE)</f>
        <v>Digitaria ciliaris</v>
      </c>
      <c r="M699" s="18">
        <f>VLOOKUP(A699,Revisión!$A$2:$L$703,11,FALSE)</f>
        <v>4</v>
      </c>
      <c r="N699" s="30" t="str">
        <f>IF(E699="Coinciden",D699,IF(E699="Revisar",VLOOKUP(A699,Revisión!$A$2:$L$703,12,FALSE),""))</f>
        <v>Digitaria ciliaris</v>
      </c>
    </row>
    <row r="700" spans="1:14" x14ac:dyDescent="0.3">
      <c r="A700" t="s">
        <v>1462</v>
      </c>
      <c r="B700" t="s">
        <v>1463</v>
      </c>
      <c r="E700" t="s">
        <v>8</v>
      </c>
      <c r="F700" t="s">
        <v>9</v>
      </c>
      <c r="H700" s="23" t="str">
        <f>VLOOKUP(A700,Revisión!$A$2:$L$703,6,FALSE)</f>
        <v>Jacaranda laurifolia</v>
      </c>
      <c r="I700" s="4" t="str">
        <f>VLOOKUP(A700,Revisión!$A$2:$L$703,7,FALSE)</f>
        <v>-</v>
      </c>
      <c r="J700" s="4" t="str">
        <f>VLOOKUP(A700,Revisión!$A$2:$L$703,8,FALSE)</f>
        <v>Jacaranda laurifolia</v>
      </c>
      <c r="K700" s="4" t="str">
        <f>VLOOKUP(A700,Revisión!$A$2:$L$703,9,FALSE)</f>
        <v>Jacaranda laurifolia</v>
      </c>
      <c r="L700" s="4" t="str">
        <f>VLOOKUP(A700,Revisión!$A$2:$L$703,10,FALSE)</f>
        <v>Jacaranda laurifolia</v>
      </c>
      <c r="M700" s="18">
        <f>VLOOKUP(A700,Revisión!$A$2:$L$703,11,FALSE)</f>
        <v>3</v>
      </c>
      <c r="N700" s="30" t="str">
        <f>IF(E700="Coinciden",D700,IF(E700="Revisar",VLOOKUP(A700,Revisión!$A$2:$L$703,12,FALSE),""))</f>
        <v>Jacaranda laurifolia</v>
      </c>
    </row>
    <row r="701" spans="1:14" x14ac:dyDescent="0.3">
      <c r="A701" t="s">
        <v>1464</v>
      </c>
      <c r="B701" t="s">
        <v>1465</v>
      </c>
      <c r="C701" t="s">
        <v>1465</v>
      </c>
      <c r="D701" t="s">
        <v>1465</v>
      </c>
      <c r="E701" t="s">
        <v>18</v>
      </c>
      <c r="F701" t="s">
        <v>19</v>
      </c>
      <c r="H701" s="23" t="e">
        <f>VLOOKUP(A701,Revisión!$A$2:$L$703,6,FALSE)</f>
        <v>#N/A</v>
      </c>
      <c r="I701" s="4" t="e">
        <f>VLOOKUP(A701,Revisión!$A$2:$L$703,7,FALSE)</f>
        <v>#N/A</v>
      </c>
      <c r="J701" s="4" t="e">
        <f>VLOOKUP(A701,Revisión!$A$2:$L$703,8,FALSE)</f>
        <v>#N/A</v>
      </c>
      <c r="K701" s="4" t="e">
        <f>VLOOKUP(A701,Revisión!$A$2:$L$703,9,FALSE)</f>
        <v>#N/A</v>
      </c>
      <c r="L701" s="4" t="e">
        <f>VLOOKUP(A701,Revisión!$A$2:$L$703,10,FALSE)</f>
        <v>#N/A</v>
      </c>
      <c r="M701" s="18" t="e">
        <f>VLOOKUP(A701,Revisión!$A$2:$L$703,11,FALSE)</f>
        <v>#N/A</v>
      </c>
      <c r="N701" s="30" t="str">
        <f>IF(E701="Coinciden",D701,IF(E701="Revisar",VLOOKUP(A701,Revisión!$A$2:$L$703,12,FALSE),""))</f>
        <v>Dillenia suffruticosa</v>
      </c>
    </row>
    <row r="702" spans="1:14" x14ac:dyDescent="0.3">
      <c r="A702" t="s">
        <v>1466</v>
      </c>
      <c r="B702" t="s">
        <v>1467</v>
      </c>
      <c r="C702" t="s">
        <v>1467</v>
      </c>
      <c r="D702" t="s">
        <v>1467</v>
      </c>
      <c r="E702" t="s">
        <v>18</v>
      </c>
      <c r="F702" t="s">
        <v>19</v>
      </c>
      <c r="H702" s="23" t="e">
        <f>VLOOKUP(A702,Revisión!$A$2:$L$703,6,FALSE)</f>
        <v>#N/A</v>
      </c>
      <c r="I702" s="4" t="e">
        <f>VLOOKUP(A702,Revisión!$A$2:$L$703,7,FALSE)</f>
        <v>#N/A</v>
      </c>
      <c r="J702" s="4" t="e">
        <f>VLOOKUP(A702,Revisión!$A$2:$L$703,8,FALSE)</f>
        <v>#N/A</v>
      </c>
      <c r="K702" s="4" t="e">
        <f>VLOOKUP(A702,Revisión!$A$2:$L$703,9,FALSE)</f>
        <v>#N/A</v>
      </c>
      <c r="L702" s="4" t="e">
        <f>VLOOKUP(A702,Revisión!$A$2:$L$703,10,FALSE)</f>
        <v>#N/A</v>
      </c>
      <c r="M702" s="18" t="e">
        <f>VLOOKUP(A702,Revisión!$A$2:$L$703,11,FALSE)</f>
        <v>#N/A</v>
      </c>
      <c r="N702" s="30" t="str">
        <f>IF(E702="Coinciden",D702,IF(E702="Revisar",VLOOKUP(A702,Revisión!$A$2:$L$703,12,FALSE),""))</f>
        <v>Dillenia ferruginea</v>
      </c>
    </row>
    <row r="703" spans="1:14" x14ac:dyDescent="0.3">
      <c r="A703" t="s">
        <v>1468</v>
      </c>
      <c r="B703" t="s">
        <v>1469</v>
      </c>
      <c r="C703" t="s">
        <v>1469</v>
      </c>
      <c r="D703" t="s">
        <v>1469</v>
      </c>
      <c r="E703" t="s">
        <v>18</v>
      </c>
      <c r="F703" t="s">
        <v>19</v>
      </c>
      <c r="H703" s="23" t="e">
        <f>VLOOKUP(A703,Revisión!$A$2:$L$703,6,FALSE)</f>
        <v>#N/A</v>
      </c>
      <c r="I703" s="4" t="e">
        <f>VLOOKUP(A703,Revisión!$A$2:$L$703,7,FALSE)</f>
        <v>#N/A</v>
      </c>
      <c r="J703" s="4" t="e">
        <f>VLOOKUP(A703,Revisión!$A$2:$L$703,8,FALSE)</f>
        <v>#N/A</v>
      </c>
      <c r="K703" s="4" t="e">
        <f>VLOOKUP(A703,Revisión!$A$2:$L$703,9,FALSE)</f>
        <v>#N/A</v>
      </c>
      <c r="L703" s="4" t="e">
        <f>VLOOKUP(A703,Revisión!$A$2:$L$703,10,FALSE)</f>
        <v>#N/A</v>
      </c>
      <c r="M703" s="18" t="e">
        <f>VLOOKUP(A703,Revisión!$A$2:$L$703,11,FALSE)</f>
        <v>#N/A</v>
      </c>
      <c r="N703" s="30" t="str">
        <f>IF(E703="Coinciden",D703,IF(E703="Revisar",VLOOKUP(A703,Revisión!$A$2:$L$703,12,FALSE),""))</f>
        <v>Spermacoce multiflora</v>
      </c>
    </row>
    <row r="704" spans="1:14" x14ac:dyDescent="0.3">
      <c r="A704" t="s">
        <v>1470</v>
      </c>
      <c r="B704" t="s">
        <v>1471</v>
      </c>
      <c r="C704" t="s">
        <v>1471</v>
      </c>
      <c r="D704" t="s">
        <v>1471</v>
      </c>
      <c r="E704" t="s">
        <v>18</v>
      </c>
      <c r="F704" t="s">
        <v>19</v>
      </c>
      <c r="H704" s="23" t="e">
        <f>VLOOKUP(A704,Revisión!$A$2:$L$703,6,FALSE)</f>
        <v>#N/A</v>
      </c>
      <c r="I704" s="4" t="e">
        <f>VLOOKUP(A704,Revisión!$A$2:$L$703,7,FALSE)</f>
        <v>#N/A</v>
      </c>
      <c r="J704" s="4" t="e">
        <f>VLOOKUP(A704,Revisión!$A$2:$L$703,8,FALSE)</f>
        <v>#N/A</v>
      </c>
      <c r="K704" s="4" t="e">
        <f>VLOOKUP(A704,Revisión!$A$2:$L$703,9,FALSE)</f>
        <v>#N/A</v>
      </c>
      <c r="L704" s="4" t="e">
        <f>VLOOKUP(A704,Revisión!$A$2:$L$703,10,FALSE)</f>
        <v>#N/A</v>
      </c>
      <c r="M704" s="18" t="e">
        <f>VLOOKUP(A704,Revisión!$A$2:$L$703,11,FALSE)</f>
        <v>#N/A</v>
      </c>
      <c r="N704" s="30" t="str">
        <f>IF(E704="Coinciden",D704,IF(E704="Revisar",VLOOKUP(A704,Revisión!$A$2:$L$703,12,FALSE),""))</f>
        <v>Hexasepalum radulum</v>
      </c>
    </row>
    <row r="705" spans="1:14" x14ac:dyDescent="0.3">
      <c r="A705" t="s">
        <v>1472</v>
      </c>
      <c r="B705" t="s">
        <v>1473</v>
      </c>
      <c r="C705" t="s">
        <v>1473</v>
      </c>
      <c r="D705" t="s">
        <v>1473</v>
      </c>
      <c r="E705" t="s">
        <v>18</v>
      </c>
      <c r="F705" t="s">
        <v>19</v>
      </c>
      <c r="H705" s="23" t="e">
        <f>VLOOKUP(A705,Revisión!$A$2:$L$703,6,FALSE)</f>
        <v>#N/A</v>
      </c>
      <c r="I705" s="4" t="e">
        <f>VLOOKUP(A705,Revisión!$A$2:$L$703,7,FALSE)</f>
        <v>#N/A</v>
      </c>
      <c r="J705" s="4" t="e">
        <f>VLOOKUP(A705,Revisión!$A$2:$L$703,8,FALSE)</f>
        <v>#N/A</v>
      </c>
      <c r="K705" s="4" t="e">
        <f>VLOOKUP(A705,Revisión!$A$2:$L$703,9,FALSE)</f>
        <v>#N/A</v>
      </c>
      <c r="L705" s="4" t="e">
        <f>VLOOKUP(A705,Revisión!$A$2:$L$703,10,FALSE)</f>
        <v>#N/A</v>
      </c>
      <c r="M705" s="18" t="e">
        <f>VLOOKUP(A705,Revisión!$A$2:$L$703,11,FALSE)</f>
        <v>#N/A</v>
      </c>
      <c r="N705" s="30" t="str">
        <f>IF(E705="Coinciden",D705,IF(E705="Revisar",VLOOKUP(A705,Revisión!$A$2:$L$703,12,FALSE),""))</f>
        <v>Dioscorea asclepiadea</v>
      </c>
    </row>
    <row r="706" spans="1:14" x14ac:dyDescent="0.3">
      <c r="A706" t="s">
        <v>1474</v>
      </c>
      <c r="B706" t="s">
        <v>1475</v>
      </c>
      <c r="C706" t="s">
        <v>1475</v>
      </c>
      <c r="D706" t="s">
        <v>1475</v>
      </c>
      <c r="E706" t="s">
        <v>18</v>
      </c>
      <c r="F706" t="s">
        <v>19</v>
      </c>
      <c r="H706" s="23" t="e">
        <f>VLOOKUP(A706,Revisión!$A$2:$L$703,6,FALSE)</f>
        <v>#N/A</v>
      </c>
      <c r="I706" s="4" t="e">
        <f>VLOOKUP(A706,Revisión!$A$2:$L$703,7,FALSE)</f>
        <v>#N/A</v>
      </c>
      <c r="J706" s="4" t="e">
        <f>VLOOKUP(A706,Revisión!$A$2:$L$703,8,FALSE)</f>
        <v>#N/A</v>
      </c>
      <c r="K706" s="4" t="e">
        <f>VLOOKUP(A706,Revisión!$A$2:$L$703,9,FALSE)</f>
        <v>#N/A</v>
      </c>
      <c r="L706" s="4" t="e">
        <f>VLOOKUP(A706,Revisión!$A$2:$L$703,10,FALSE)</f>
        <v>#N/A</v>
      </c>
      <c r="M706" s="18" t="e">
        <f>VLOOKUP(A706,Revisión!$A$2:$L$703,11,FALSE)</f>
        <v>#N/A</v>
      </c>
      <c r="N706" s="30" t="str">
        <f>IF(E706="Coinciden",D706,IF(E706="Revisar",VLOOKUP(A706,Revisión!$A$2:$L$703,12,FALSE),""))</f>
        <v>Diospyros revaughanii</v>
      </c>
    </row>
    <row r="707" spans="1:14" x14ac:dyDescent="0.3">
      <c r="A707" t="s">
        <v>1476</v>
      </c>
      <c r="B707" t="s">
        <v>1477</v>
      </c>
      <c r="C707" t="s">
        <v>1477</v>
      </c>
      <c r="D707" t="s">
        <v>1477</v>
      </c>
      <c r="E707" t="s">
        <v>18</v>
      </c>
      <c r="F707" t="s">
        <v>19</v>
      </c>
      <c r="H707" s="23" t="e">
        <f>VLOOKUP(A707,Revisión!$A$2:$L$703,6,FALSE)</f>
        <v>#N/A</v>
      </c>
      <c r="I707" s="4" t="e">
        <f>VLOOKUP(A707,Revisión!$A$2:$L$703,7,FALSE)</f>
        <v>#N/A</v>
      </c>
      <c r="J707" s="4" t="e">
        <f>VLOOKUP(A707,Revisión!$A$2:$L$703,8,FALSE)</f>
        <v>#N/A</v>
      </c>
      <c r="K707" s="4" t="e">
        <f>VLOOKUP(A707,Revisión!$A$2:$L$703,9,FALSE)</f>
        <v>#N/A</v>
      </c>
      <c r="L707" s="4" t="e">
        <f>VLOOKUP(A707,Revisión!$A$2:$L$703,10,FALSE)</f>
        <v>#N/A</v>
      </c>
      <c r="M707" s="18" t="e">
        <f>VLOOKUP(A707,Revisión!$A$2:$L$703,11,FALSE)</f>
        <v>#N/A</v>
      </c>
      <c r="N707" s="30" t="str">
        <f>IF(E707="Coinciden",D707,IF(E707="Revisar",VLOOKUP(A707,Revisión!$A$2:$L$703,12,FALSE),""))</f>
        <v>Diospyros virginiana</v>
      </c>
    </row>
    <row r="708" spans="1:14" x14ac:dyDescent="0.3">
      <c r="A708" t="s">
        <v>1478</v>
      </c>
      <c r="B708" t="s">
        <v>1479</v>
      </c>
      <c r="C708" t="s">
        <v>1479</v>
      </c>
      <c r="D708" t="s">
        <v>1479</v>
      </c>
      <c r="E708" t="s">
        <v>18</v>
      </c>
      <c r="F708" t="s">
        <v>19</v>
      </c>
      <c r="H708" s="23" t="e">
        <f>VLOOKUP(A708,Revisión!$A$2:$L$703,6,FALSE)</f>
        <v>#N/A</v>
      </c>
      <c r="I708" s="4" t="e">
        <f>VLOOKUP(A708,Revisión!$A$2:$L$703,7,FALSE)</f>
        <v>#N/A</v>
      </c>
      <c r="J708" s="4" t="e">
        <f>VLOOKUP(A708,Revisión!$A$2:$L$703,8,FALSE)</f>
        <v>#N/A</v>
      </c>
      <c r="K708" s="4" t="e">
        <f>VLOOKUP(A708,Revisión!$A$2:$L$703,9,FALSE)</f>
        <v>#N/A</v>
      </c>
      <c r="L708" s="4" t="e">
        <f>VLOOKUP(A708,Revisión!$A$2:$L$703,10,FALSE)</f>
        <v>#N/A</v>
      </c>
      <c r="M708" s="18" t="e">
        <f>VLOOKUP(A708,Revisión!$A$2:$L$703,11,FALSE)</f>
        <v>#N/A</v>
      </c>
      <c r="N708" s="30" t="str">
        <f>IF(E708="Coinciden",D708,IF(E708="Revisar",VLOOKUP(A708,Revisión!$A$2:$L$703,12,FALSE),""))</f>
        <v>Diospyros boiviniana</v>
      </c>
    </row>
    <row r="709" spans="1:14" x14ac:dyDescent="0.3">
      <c r="A709" t="s">
        <v>1480</v>
      </c>
      <c r="C709" t="s">
        <v>1481</v>
      </c>
      <c r="D709" t="s">
        <v>1481</v>
      </c>
      <c r="E709" t="s">
        <v>8</v>
      </c>
      <c r="F709" t="s">
        <v>49</v>
      </c>
      <c r="H709" s="23" t="str">
        <f>VLOOKUP(A709,Revisión!$A$2:$L$703,6,FALSE)</f>
        <v>Diospyros japonica</v>
      </c>
      <c r="I709" s="4" t="str">
        <f>VLOOKUP(A709,Revisión!$A$2:$L$703,7,FALSE)</f>
        <v>-</v>
      </c>
      <c r="J709" s="4" t="str">
        <f>VLOOKUP(A709,Revisión!$A$2:$L$703,8,FALSE)</f>
        <v>Diospyros japonica</v>
      </c>
      <c r="K709" s="4" t="str">
        <f>VLOOKUP(A709,Revisión!$A$2:$L$703,9,FALSE)</f>
        <v>Diospyros japonica</v>
      </c>
      <c r="L709" s="4" t="str">
        <f>VLOOKUP(A709,Revisión!$A$2:$L$703,10,FALSE)</f>
        <v>Diospyros japonica</v>
      </c>
      <c r="M709" s="18">
        <f>VLOOKUP(A709,Revisión!$A$2:$L$703,11,FALSE)</f>
        <v>4</v>
      </c>
      <c r="N709" s="30" t="str">
        <f>IF(E709="Coinciden",D709,IF(E709="Revisar",VLOOKUP(A709,Revisión!$A$2:$L$703,12,FALSE),""))</f>
        <v>Diospyros japonica</v>
      </c>
    </row>
    <row r="710" spans="1:14" x14ac:dyDescent="0.3">
      <c r="A710" t="s">
        <v>1482</v>
      </c>
      <c r="B710" t="s">
        <v>1483</v>
      </c>
      <c r="C710" t="s">
        <v>1483</v>
      </c>
      <c r="D710" t="s">
        <v>1483</v>
      </c>
      <c r="E710" t="s">
        <v>18</v>
      </c>
      <c r="F710" t="s">
        <v>19</v>
      </c>
      <c r="H710" s="23" t="e">
        <f>VLOOKUP(A710,Revisión!$A$2:$L$703,6,FALSE)</f>
        <v>#N/A</v>
      </c>
      <c r="I710" s="4" t="e">
        <f>VLOOKUP(A710,Revisión!$A$2:$L$703,7,FALSE)</f>
        <v>#N/A</v>
      </c>
      <c r="J710" s="4" t="e">
        <f>VLOOKUP(A710,Revisión!$A$2:$L$703,8,FALSE)</f>
        <v>#N/A</v>
      </c>
      <c r="K710" s="4" t="e">
        <f>VLOOKUP(A710,Revisión!$A$2:$L$703,9,FALSE)</f>
        <v>#N/A</v>
      </c>
      <c r="L710" s="4" t="e">
        <f>VLOOKUP(A710,Revisión!$A$2:$L$703,10,FALSE)</f>
        <v>#N/A</v>
      </c>
      <c r="M710" s="18" t="e">
        <f>VLOOKUP(A710,Revisión!$A$2:$L$703,11,FALSE)</f>
        <v>#N/A</v>
      </c>
      <c r="N710" s="30" t="str">
        <f>IF(E710="Coinciden",D710,IF(E710="Revisar",VLOOKUP(A710,Revisión!$A$2:$L$703,12,FALSE),""))</f>
        <v>Diplopterys pubipetala</v>
      </c>
    </row>
    <row r="711" spans="1:14" x14ac:dyDescent="0.3">
      <c r="A711" t="s">
        <v>1484</v>
      </c>
      <c r="B711" t="s">
        <v>1485</v>
      </c>
      <c r="C711" t="s">
        <v>1485</v>
      </c>
      <c r="D711" t="s">
        <v>1485</v>
      </c>
      <c r="E711" t="s">
        <v>18</v>
      </c>
      <c r="F711" t="s">
        <v>19</v>
      </c>
      <c r="H711" s="23" t="e">
        <f>VLOOKUP(A711,Revisión!$A$2:$L$703,6,FALSE)</f>
        <v>#N/A</v>
      </c>
      <c r="I711" s="4" t="e">
        <f>VLOOKUP(A711,Revisión!$A$2:$L$703,7,FALSE)</f>
        <v>#N/A</v>
      </c>
      <c r="J711" s="4" t="e">
        <f>VLOOKUP(A711,Revisión!$A$2:$L$703,8,FALSE)</f>
        <v>#N/A</v>
      </c>
      <c r="K711" s="4" t="e">
        <f>VLOOKUP(A711,Revisión!$A$2:$L$703,9,FALSE)</f>
        <v>#N/A</v>
      </c>
      <c r="L711" s="4" t="e">
        <f>VLOOKUP(A711,Revisión!$A$2:$L$703,10,FALSE)</f>
        <v>#N/A</v>
      </c>
      <c r="M711" s="18" t="e">
        <f>VLOOKUP(A711,Revisión!$A$2:$L$703,11,FALSE)</f>
        <v>#N/A</v>
      </c>
      <c r="N711" s="30" t="str">
        <f>IF(E711="Coinciden",D711,IF(E711="Revisar",VLOOKUP(A711,Revisión!$A$2:$L$703,12,FALSE),""))</f>
        <v>Dipsacus japonicus</v>
      </c>
    </row>
    <row r="712" spans="1:14" x14ac:dyDescent="0.3">
      <c r="A712" t="s">
        <v>1486</v>
      </c>
      <c r="B712" t="s">
        <v>1487</v>
      </c>
      <c r="C712" t="s">
        <v>1488</v>
      </c>
      <c r="D712" t="s">
        <v>1488</v>
      </c>
      <c r="E712" t="s">
        <v>8</v>
      </c>
      <c r="F712" t="s">
        <v>23</v>
      </c>
      <c r="H712" s="23" t="str">
        <f>VLOOKUP(A712,Revisión!$A$2:$L$703,6,FALSE)</f>
        <v>Dipsacus fullonum</v>
      </c>
      <c r="I712" s="4" t="str">
        <f>VLOOKUP(A712,Revisión!$A$2:$L$703,7,FALSE)</f>
        <v>-</v>
      </c>
      <c r="J712" s="4" t="str">
        <f>VLOOKUP(A712,Revisión!$A$2:$L$703,8,FALSE)</f>
        <v>Dipsacus fullonum</v>
      </c>
      <c r="K712" s="4" t="str">
        <f>VLOOKUP(A712,Revisión!$A$2:$L$703,9,FALSE)</f>
        <v>Dipsacus fullonum</v>
      </c>
      <c r="L712" s="4" t="str">
        <f>VLOOKUP(A712,Revisión!$A$2:$L$703,10,FALSE)</f>
        <v>Dipsacus fullonum</v>
      </c>
      <c r="M712" s="18">
        <f>VLOOKUP(A712,Revisión!$A$2:$L$703,11,FALSE)</f>
        <v>4</v>
      </c>
      <c r="N712" s="30" t="str">
        <f>IF(E712="Coinciden",D712,IF(E712="Revisar",VLOOKUP(A712,Revisión!$A$2:$L$703,12,FALSE),""))</f>
        <v>Dipsacus fullonum</v>
      </c>
    </row>
    <row r="713" spans="1:14" x14ac:dyDescent="0.3">
      <c r="A713" t="s">
        <v>1489</v>
      </c>
      <c r="B713" t="s">
        <v>1490</v>
      </c>
      <c r="C713" t="s">
        <v>1490</v>
      </c>
      <c r="D713" t="s">
        <v>1490</v>
      </c>
      <c r="E713" t="s">
        <v>18</v>
      </c>
      <c r="F713" t="s">
        <v>19</v>
      </c>
      <c r="H713" s="23" t="e">
        <f>VLOOKUP(A713,Revisión!$A$2:$L$703,6,FALSE)</f>
        <v>#N/A</v>
      </c>
      <c r="I713" s="4" t="e">
        <f>VLOOKUP(A713,Revisión!$A$2:$L$703,7,FALSE)</f>
        <v>#N/A</v>
      </c>
      <c r="J713" s="4" t="e">
        <f>VLOOKUP(A713,Revisión!$A$2:$L$703,8,FALSE)</f>
        <v>#N/A</v>
      </c>
      <c r="K713" s="4" t="e">
        <f>VLOOKUP(A713,Revisión!$A$2:$L$703,9,FALSE)</f>
        <v>#N/A</v>
      </c>
      <c r="L713" s="4" t="e">
        <f>VLOOKUP(A713,Revisión!$A$2:$L$703,10,FALSE)</f>
        <v>#N/A</v>
      </c>
      <c r="M713" s="18" t="e">
        <f>VLOOKUP(A713,Revisión!$A$2:$L$703,11,FALSE)</f>
        <v>#N/A</v>
      </c>
      <c r="N713" s="30" t="str">
        <f>IF(E713="Coinciden",D713,IF(E713="Revisar",VLOOKUP(A713,Revisión!$A$2:$L$703,12,FALSE),""))</f>
        <v>Dirca palustris</v>
      </c>
    </row>
    <row r="714" spans="1:14" x14ac:dyDescent="0.3">
      <c r="A714" t="s">
        <v>1491</v>
      </c>
      <c r="B714" t="s">
        <v>1492</v>
      </c>
      <c r="C714" t="s">
        <v>1493</v>
      </c>
      <c r="D714" t="s">
        <v>1493</v>
      </c>
      <c r="E714" t="s">
        <v>8</v>
      </c>
      <c r="F714" t="s">
        <v>23</v>
      </c>
      <c r="H714" s="23" t="str">
        <f>VLOOKUP(A714,Revisión!$A$2:$L$703,6,FALSE)</f>
        <v>Discaria nana</v>
      </c>
      <c r="I714" s="4" t="str">
        <f>VLOOKUP(A714,Revisión!$A$2:$L$703,7,FALSE)</f>
        <v>-</v>
      </c>
      <c r="J714" s="4" t="str">
        <f>VLOOKUP(A714,Revisión!$A$2:$L$703,8,FALSE)</f>
        <v>Ochetophila nana</v>
      </c>
      <c r="K714" s="4" t="str">
        <f>VLOOKUP(A714,Revisión!$A$2:$L$703,9,FALSE)</f>
        <v>Discaria nana</v>
      </c>
      <c r="L714" s="4" t="str">
        <f>VLOOKUP(A714,Revisión!$A$2:$L$703,10,FALSE)</f>
        <v>Discaria nana</v>
      </c>
      <c r="M714" s="18">
        <f>VLOOKUP(A714,Revisión!$A$2:$L$703,11,FALSE)</f>
        <v>3</v>
      </c>
      <c r="N714" s="30" t="str">
        <f>IF(E714="Coinciden",D714,IF(E714="Revisar",VLOOKUP(A714,Revisión!$A$2:$L$703,12,FALSE),""))</f>
        <v>Discaria nana</v>
      </c>
    </row>
    <row r="715" spans="1:14" x14ac:dyDescent="0.3">
      <c r="A715" t="s">
        <v>1494</v>
      </c>
      <c r="B715" t="s">
        <v>1495</v>
      </c>
      <c r="C715" t="s">
        <v>1496</v>
      </c>
      <c r="D715" t="s">
        <v>1496</v>
      </c>
      <c r="E715" t="s">
        <v>8</v>
      </c>
      <c r="F715" t="s">
        <v>23</v>
      </c>
      <c r="H715" s="23" t="str">
        <f>VLOOKUP(A715,Revisión!$A$2:$L$703,6,FALSE)</f>
        <v>Ochetophila trinervis</v>
      </c>
      <c r="I715" s="4" t="str">
        <f>VLOOKUP(A715,Revisión!$A$2:$L$703,7,FALSE)</f>
        <v>-</v>
      </c>
      <c r="J715" s="4" t="str">
        <f>VLOOKUP(A715,Revisión!$A$2:$L$703,8,FALSE)</f>
        <v>Ochetophila trinervis</v>
      </c>
      <c r="K715" s="4" t="str">
        <f>VLOOKUP(A715,Revisión!$A$2:$L$703,9,FALSE)</f>
        <v>Ochetophila trinervis</v>
      </c>
      <c r="L715" s="4" t="str">
        <f>VLOOKUP(A715,Revisión!$A$2:$L$703,10,FALSE)</f>
        <v>Ochetophila trinervis</v>
      </c>
      <c r="M715" s="18">
        <f>VLOOKUP(A715,Revisión!$A$2:$L$703,11,FALSE)</f>
        <v>4</v>
      </c>
      <c r="N715" s="30" t="str">
        <f>IF(E715="Coinciden",D715,IF(E715="Revisar",VLOOKUP(A715,Revisión!$A$2:$L$703,12,FALSE),""))</f>
        <v>Ochetophila trinervis</v>
      </c>
    </row>
    <row r="716" spans="1:14" x14ac:dyDescent="0.3">
      <c r="A716" t="s">
        <v>1497</v>
      </c>
      <c r="B716" t="s">
        <v>1498</v>
      </c>
      <c r="C716" t="s">
        <v>1498</v>
      </c>
      <c r="D716" t="s">
        <v>1498</v>
      </c>
      <c r="E716" t="s">
        <v>18</v>
      </c>
      <c r="F716" t="s">
        <v>19</v>
      </c>
      <c r="H716" s="23" t="e">
        <f>VLOOKUP(A716,Revisión!$A$2:$L$703,6,FALSE)</f>
        <v>#N/A</v>
      </c>
      <c r="I716" s="4" t="e">
        <f>VLOOKUP(A716,Revisión!$A$2:$L$703,7,FALSE)</f>
        <v>#N/A</v>
      </c>
      <c r="J716" s="4" t="e">
        <f>VLOOKUP(A716,Revisión!$A$2:$L$703,8,FALSE)</f>
        <v>#N/A</v>
      </c>
      <c r="K716" s="4" t="e">
        <f>VLOOKUP(A716,Revisión!$A$2:$L$703,9,FALSE)</f>
        <v>#N/A</v>
      </c>
      <c r="L716" s="4" t="e">
        <f>VLOOKUP(A716,Revisión!$A$2:$L$703,10,FALSE)</f>
        <v>#N/A</v>
      </c>
      <c r="M716" s="18" t="e">
        <f>VLOOKUP(A716,Revisión!$A$2:$L$703,11,FALSE)</f>
        <v>#N/A</v>
      </c>
      <c r="N716" s="30" t="str">
        <f>IF(E716="Coinciden",D716,IF(E716="Revisar",VLOOKUP(A716,Revisión!$A$2:$L$703,12,FALSE),""))</f>
        <v>Discaria toumatou</v>
      </c>
    </row>
    <row r="717" spans="1:14" x14ac:dyDescent="0.3">
      <c r="A717" t="s">
        <v>1499</v>
      </c>
      <c r="B717" t="s">
        <v>1500</v>
      </c>
      <c r="C717" t="s">
        <v>1500</v>
      </c>
      <c r="D717" t="s">
        <v>1500</v>
      </c>
      <c r="E717" t="s">
        <v>18</v>
      </c>
      <c r="F717" t="s">
        <v>19</v>
      </c>
      <c r="H717" s="23" t="e">
        <f>VLOOKUP(A717,Revisión!$A$2:$L$703,6,FALSE)</f>
        <v>#N/A</v>
      </c>
      <c r="I717" s="4" t="e">
        <f>VLOOKUP(A717,Revisión!$A$2:$L$703,7,FALSE)</f>
        <v>#N/A</v>
      </c>
      <c r="J717" s="4" t="e">
        <f>VLOOKUP(A717,Revisión!$A$2:$L$703,8,FALSE)</f>
        <v>#N/A</v>
      </c>
      <c r="K717" s="4" t="e">
        <f>VLOOKUP(A717,Revisión!$A$2:$L$703,9,FALSE)</f>
        <v>#N/A</v>
      </c>
      <c r="L717" s="4" t="e">
        <f>VLOOKUP(A717,Revisión!$A$2:$L$703,10,FALSE)</f>
        <v>#N/A</v>
      </c>
      <c r="M717" s="18" t="e">
        <f>VLOOKUP(A717,Revisión!$A$2:$L$703,11,FALSE)</f>
        <v>#N/A</v>
      </c>
      <c r="N717" s="30" t="str">
        <f>IF(E717="Coinciden",D717,IF(E717="Revisar",VLOOKUP(A717,Revisión!$A$2:$L$703,12,FALSE),""))</f>
        <v>Discaria americana</v>
      </c>
    </row>
    <row r="718" spans="1:14" x14ac:dyDescent="0.3">
      <c r="A718" t="s">
        <v>1501</v>
      </c>
      <c r="B718" t="s">
        <v>1502</v>
      </c>
      <c r="C718" t="s">
        <v>1502</v>
      </c>
      <c r="D718" t="s">
        <v>1502</v>
      </c>
      <c r="E718" t="s">
        <v>18</v>
      </c>
      <c r="F718" t="s">
        <v>19</v>
      </c>
      <c r="H718" s="23" t="e">
        <f>VLOOKUP(A718,Revisión!$A$2:$L$703,6,FALSE)</f>
        <v>#N/A</v>
      </c>
      <c r="I718" s="4" t="e">
        <f>VLOOKUP(A718,Revisión!$A$2:$L$703,7,FALSE)</f>
        <v>#N/A</v>
      </c>
      <c r="J718" s="4" t="e">
        <f>VLOOKUP(A718,Revisión!$A$2:$L$703,8,FALSE)</f>
        <v>#N/A</v>
      </c>
      <c r="K718" s="4" t="e">
        <f>VLOOKUP(A718,Revisión!$A$2:$L$703,9,FALSE)</f>
        <v>#N/A</v>
      </c>
      <c r="L718" s="4" t="e">
        <f>VLOOKUP(A718,Revisión!$A$2:$L$703,10,FALSE)</f>
        <v>#N/A</v>
      </c>
      <c r="M718" s="18" t="e">
        <f>VLOOKUP(A718,Revisión!$A$2:$L$703,11,FALSE)</f>
        <v>#N/A</v>
      </c>
      <c r="N718" s="30" t="str">
        <f>IF(E718="Coinciden",D718,IF(E718="Revisar",VLOOKUP(A718,Revisión!$A$2:$L$703,12,FALSE),""))</f>
        <v>Disporum sessile</v>
      </c>
    </row>
    <row r="719" spans="1:14" x14ac:dyDescent="0.3">
      <c r="A719" t="s">
        <v>1503</v>
      </c>
      <c r="B719" t="s">
        <v>1504</v>
      </c>
      <c r="C719" t="s">
        <v>1504</v>
      </c>
      <c r="D719" t="s">
        <v>1504</v>
      </c>
      <c r="E719" t="s">
        <v>18</v>
      </c>
      <c r="F719" t="s">
        <v>19</v>
      </c>
      <c r="H719" s="23" t="e">
        <f>VLOOKUP(A719,Revisión!$A$2:$L$703,6,FALSE)</f>
        <v>#N/A</v>
      </c>
      <c r="I719" s="4" t="e">
        <f>VLOOKUP(A719,Revisión!$A$2:$L$703,7,FALSE)</f>
        <v>#N/A</v>
      </c>
      <c r="J719" s="4" t="e">
        <f>VLOOKUP(A719,Revisión!$A$2:$L$703,8,FALSE)</f>
        <v>#N/A</v>
      </c>
      <c r="K719" s="4" t="e">
        <f>VLOOKUP(A719,Revisión!$A$2:$L$703,9,FALSE)</f>
        <v>#N/A</v>
      </c>
      <c r="L719" s="4" t="e">
        <f>VLOOKUP(A719,Revisión!$A$2:$L$703,10,FALSE)</f>
        <v>#N/A</v>
      </c>
      <c r="M719" s="18" t="e">
        <f>VLOOKUP(A719,Revisión!$A$2:$L$703,11,FALSE)</f>
        <v>#N/A</v>
      </c>
      <c r="N719" s="30" t="str">
        <f>IF(E719="Coinciden",D719,IF(E719="Revisar",VLOOKUP(A719,Revisión!$A$2:$L$703,12,FALSE),""))</f>
        <v>Dittrichia graveolens</v>
      </c>
    </row>
    <row r="720" spans="1:14" x14ac:dyDescent="0.3">
      <c r="A720" t="s">
        <v>1505</v>
      </c>
      <c r="B720" t="s">
        <v>1506</v>
      </c>
      <c r="C720" t="s">
        <v>1507</v>
      </c>
      <c r="D720" t="s">
        <v>1507</v>
      </c>
      <c r="E720" t="s">
        <v>8</v>
      </c>
      <c r="F720" t="s">
        <v>23</v>
      </c>
      <c r="H720" s="23" t="str">
        <f>VLOOKUP(A720,Revisión!$A$2:$L$703,6,FALSE)</f>
        <v>Dodecatheon meadia</v>
      </c>
      <c r="I720" s="4" t="str">
        <f>VLOOKUP(A720,Revisión!$A$2:$L$703,7,FALSE)</f>
        <v>-</v>
      </c>
      <c r="J720" s="4" t="str">
        <f>VLOOKUP(A720,Revisión!$A$2:$L$703,8,FALSE)</f>
        <v>Primula meadia</v>
      </c>
      <c r="K720" s="4" t="str">
        <f>VLOOKUP(A720,Revisión!$A$2:$L$703,9,FALSE)</f>
        <v>Dodecatheon meadia</v>
      </c>
      <c r="L720" s="4" t="str">
        <f>VLOOKUP(A720,Revisión!$A$2:$L$703,10,FALSE)</f>
        <v>Dodecatheon meadia</v>
      </c>
      <c r="M720" s="18">
        <f>VLOOKUP(A720,Revisión!$A$2:$L$703,11,FALSE)</f>
        <v>3</v>
      </c>
      <c r="N720" s="30" t="str">
        <f>IF(E720="Coinciden",D720,IF(E720="Revisar",VLOOKUP(A720,Revisión!$A$2:$L$703,12,FALSE),""))</f>
        <v>Dodecatheon meadia</v>
      </c>
    </row>
    <row r="721" spans="1:14" x14ac:dyDescent="0.3">
      <c r="A721" t="s">
        <v>1508</v>
      </c>
      <c r="B721" t="s">
        <v>1509</v>
      </c>
      <c r="C721" t="s">
        <v>1509</v>
      </c>
      <c r="D721" t="s">
        <v>1509</v>
      </c>
      <c r="E721" t="s">
        <v>18</v>
      </c>
      <c r="F721" t="s">
        <v>19</v>
      </c>
      <c r="H721" s="23" t="e">
        <f>VLOOKUP(A721,Revisión!$A$2:$L$703,6,FALSE)</f>
        <v>#N/A</v>
      </c>
      <c r="I721" s="4" t="e">
        <f>VLOOKUP(A721,Revisión!$A$2:$L$703,7,FALSE)</f>
        <v>#N/A</v>
      </c>
      <c r="J721" s="4" t="e">
        <f>VLOOKUP(A721,Revisión!$A$2:$L$703,8,FALSE)</f>
        <v>#N/A</v>
      </c>
      <c r="K721" s="4" t="e">
        <f>VLOOKUP(A721,Revisión!$A$2:$L$703,9,FALSE)</f>
        <v>#N/A</v>
      </c>
      <c r="L721" s="4" t="e">
        <f>VLOOKUP(A721,Revisión!$A$2:$L$703,10,FALSE)</f>
        <v>#N/A</v>
      </c>
      <c r="M721" s="18" t="e">
        <f>VLOOKUP(A721,Revisión!$A$2:$L$703,11,FALSE)</f>
        <v>#N/A</v>
      </c>
      <c r="N721" s="30" t="str">
        <f>IF(E721="Coinciden",D721,IF(E721="Revisar",VLOOKUP(A721,Revisión!$A$2:$L$703,12,FALSE),""))</f>
        <v>Dodonaea viscosa</v>
      </c>
    </row>
    <row r="722" spans="1:14" x14ac:dyDescent="0.3">
      <c r="A722" t="s">
        <v>1510</v>
      </c>
      <c r="B722" t="s">
        <v>1511</v>
      </c>
      <c r="C722" t="s">
        <v>1511</v>
      </c>
      <c r="D722" t="s">
        <v>1511</v>
      </c>
      <c r="E722" t="s">
        <v>18</v>
      </c>
      <c r="F722" t="s">
        <v>19</v>
      </c>
      <c r="H722" s="23" t="e">
        <f>VLOOKUP(A722,Revisión!$A$2:$L$703,6,FALSE)</f>
        <v>#N/A</v>
      </c>
      <c r="I722" s="4" t="e">
        <f>VLOOKUP(A722,Revisión!$A$2:$L$703,7,FALSE)</f>
        <v>#N/A</v>
      </c>
      <c r="J722" s="4" t="e">
        <f>VLOOKUP(A722,Revisión!$A$2:$L$703,8,FALSE)</f>
        <v>#N/A</v>
      </c>
      <c r="K722" s="4" t="e">
        <f>VLOOKUP(A722,Revisión!$A$2:$L$703,9,FALSE)</f>
        <v>#N/A</v>
      </c>
      <c r="L722" s="4" t="e">
        <f>VLOOKUP(A722,Revisión!$A$2:$L$703,10,FALSE)</f>
        <v>#N/A</v>
      </c>
      <c r="M722" s="18" t="e">
        <f>VLOOKUP(A722,Revisión!$A$2:$L$703,11,FALSE)</f>
        <v>#N/A</v>
      </c>
      <c r="N722" s="30" t="str">
        <f>IF(E722="Coinciden",D722,IF(E722="Revisar",VLOOKUP(A722,Revisión!$A$2:$L$703,12,FALSE),""))</f>
        <v>Donatia novae-zelandiae</v>
      </c>
    </row>
    <row r="723" spans="1:14" x14ac:dyDescent="0.3">
      <c r="A723" t="s">
        <v>1512</v>
      </c>
      <c r="B723" t="s">
        <v>1513</v>
      </c>
      <c r="C723" t="s">
        <v>1513</v>
      </c>
      <c r="D723" t="s">
        <v>1513</v>
      </c>
      <c r="E723" t="s">
        <v>18</v>
      </c>
      <c r="F723" t="s">
        <v>19</v>
      </c>
      <c r="H723" s="23" t="e">
        <f>VLOOKUP(A723,Revisión!$A$2:$L$703,6,FALSE)</f>
        <v>#N/A</v>
      </c>
      <c r="I723" s="4" t="e">
        <f>VLOOKUP(A723,Revisión!$A$2:$L$703,7,FALSE)</f>
        <v>#N/A</v>
      </c>
      <c r="J723" s="4" t="e">
        <f>VLOOKUP(A723,Revisión!$A$2:$L$703,8,FALSE)</f>
        <v>#N/A</v>
      </c>
      <c r="K723" s="4" t="e">
        <f>VLOOKUP(A723,Revisión!$A$2:$L$703,9,FALSE)</f>
        <v>#N/A</v>
      </c>
      <c r="L723" s="4" t="e">
        <f>VLOOKUP(A723,Revisión!$A$2:$L$703,10,FALSE)</f>
        <v>#N/A</v>
      </c>
      <c r="M723" s="18" t="e">
        <f>VLOOKUP(A723,Revisión!$A$2:$L$703,11,FALSE)</f>
        <v>#N/A</v>
      </c>
      <c r="N723" s="30" t="str">
        <f>IF(E723="Coinciden",D723,IF(E723="Revisar",VLOOKUP(A723,Revisión!$A$2:$L$703,12,FALSE),""))</f>
        <v>Doratoxylon apetalum</v>
      </c>
    </row>
    <row r="724" spans="1:14" x14ac:dyDescent="0.3">
      <c r="A724" t="s">
        <v>1514</v>
      </c>
      <c r="B724" t="s">
        <v>1515</v>
      </c>
      <c r="C724" t="s">
        <v>1513</v>
      </c>
      <c r="E724" t="s">
        <v>8</v>
      </c>
      <c r="F724" t="s">
        <v>9</v>
      </c>
      <c r="H724" s="23" t="str">
        <f>VLOOKUP(A724,Revisión!$A$2:$L$703,6,FALSE)</f>
        <v>Doratoxylon apetalum var. Diphyllum</v>
      </c>
      <c r="I724" s="4" t="str">
        <f>VLOOKUP(A724,Revisión!$A$2:$L$703,7,FALSE)</f>
        <v>-</v>
      </c>
      <c r="J724" s="4" t="str">
        <f>VLOOKUP(A724,Revisión!$A$2:$L$703,8,FALSE)</f>
        <v>Doratoxylon apetalum</v>
      </c>
      <c r="K724" s="4" t="str">
        <f>VLOOKUP(A724,Revisión!$A$2:$L$703,9,FALSE)</f>
        <v>Doratoxylon apetalum var. diphyllum</v>
      </c>
      <c r="L724" s="4" t="str">
        <f>VLOOKUP(A724,Revisión!$A$2:$L$703,10,FALSE)</f>
        <v>Doratoxylon apetalum var. diphyllum</v>
      </c>
      <c r="M724" s="18">
        <f>VLOOKUP(A724,Revisión!$A$2:$L$703,11,FALSE)</f>
        <v>3</v>
      </c>
      <c r="N724" s="30" t="str">
        <f>IF(E724="Coinciden",D724,IF(E724="Revisar",VLOOKUP(A724,Revisión!$A$2:$L$703,12,FALSE),""))</f>
        <v>Doratoxylon apetalum var. diphyllum</v>
      </c>
    </row>
    <row r="725" spans="1:14" x14ac:dyDescent="0.3">
      <c r="A725" t="s">
        <v>1516</v>
      </c>
      <c r="C725" t="s">
        <v>1517</v>
      </c>
      <c r="D725" t="s">
        <v>1517</v>
      </c>
      <c r="E725" t="s">
        <v>8</v>
      </c>
      <c r="F725" t="s">
        <v>49</v>
      </c>
      <c r="H725" s="23" t="str">
        <f>VLOOKUP(A725,Revisión!$A$2:$L$703,6,FALSE)</f>
        <v>Lotus dorycnium </v>
      </c>
      <c r="I725" s="4" t="str">
        <f>VLOOKUP(A725,Revisión!$A$2:$L$703,7,FALSE)</f>
        <v>-</v>
      </c>
      <c r="J725" s="4" t="str">
        <f>VLOOKUP(A725,Revisión!$A$2:$L$703,8,FALSE)</f>
        <v>Lotus dorycnium</v>
      </c>
      <c r="K725" s="4" t="str">
        <f>VLOOKUP(A725,Revisión!$A$2:$L$703,9,FALSE)</f>
        <v>Lothus sessilifolius var. penthaphyllus</v>
      </c>
      <c r="L725" s="4" t="str">
        <f>VLOOKUP(A725,Revisión!$A$2:$L$703,10,FALSE)</f>
        <v>Lotus dorycnium subsp. dorycnium</v>
      </c>
      <c r="M725" s="18">
        <f>VLOOKUP(A725,Revisión!$A$2:$L$703,11,FALSE)</f>
        <v>3</v>
      </c>
      <c r="N725" s="30" t="str">
        <f>IF(E725="Coinciden",D725,IF(E725="Revisar",VLOOKUP(A725,Revisión!$A$2:$L$703,12,FALSE),""))</f>
        <v>Lotus dorycnium</v>
      </c>
    </row>
    <row r="726" spans="1:14" x14ac:dyDescent="0.3">
      <c r="A726" t="s">
        <v>1518</v>
      </c>
      <c r="E726" t="s">
        <v>8</v>
      </c>
      <c r="F726" t="s">
        <v>11</v>
      </c>
      <c r="H726" s="23" t="e">
        <f>VLOOKUP(A726,Revisión!$A$2:$L$703,6,FALSE)</f>
        <v>#N/A</v>
      </c>
      <c r="I726" s="4" t="e">
        <f>VLOOKUP(A726,Revisión!$A$2:$L$703,7,FALSE)</f>
        <v>#N/A</v>
      </c>
      <c r="J726" s="4" t="e">
        <f>VLOOKUP(A726,Revisión!$A$2:$L$703,8,FALSE)</f>
        <v>#N/A</v>
      </c>
      <c r="K726" s="4" t="e">
        <f>VLOOKUP(A726,Revisión!$A$2:$L$703,9,FALSE)</f>
        <v>#N/A</v>
      </c>
      <c r="L726" s="4" t="e">
        <f>VLOOKUP(A726,Revisión!$A$2:$L$703,10,FALSE)</f>
        <v>#N/A</v>
      </c>
      <c r="M726" s="18" t="e">
        <f>VLOOKUP(A726,Revisión!$A$2:$L$703,11,FALSE)</f>
        <v>#N/A</v>
      </c>
      <c r="N726" s="30" t="e">
        <f>IF(E726="Coinciden",D726,IF(E726="Revisar",VLOOKUP(A726,Revisión!$A$2:$L$703,12,FALSE),""))</f>
        <v>#N/A</v>
      </c>
    </row>
    <row r="727" spans="1:14" x14ac:dyDescent="0.3">
      <c r="A727" t="s">
        <v>1519</v>
      </c>
      <c r="B727" t="s">
        <v>1520</v>
      </c>
      <c r="C727" t="s">
        <v>1520</v>
      </c>
      <c r="D727" t="s">
        <v>1520</v>
      </c>
      <c r="E727" t="s">
        <v>18</v>
      </c>
      <c r="F727" t="s">
        <v>19</v>
      </c>
      <c r="H727" s="23" t="e">
        <f>VLOOKUP(A727,Revisión!$A$2:$L$703,6,FALSE)</f>
        <v>#N/A</v>
      </c>
      <c r="I727" s="4" t="e">
        <f>VLOOKUP(A727,Revisión!$A$2:$L$703,7,FALSE)</f>
        <v>#N/A</v>
      </c>
      <c r="J727" s="4" t="e">
        <f>VLOOKUP(A727,Revisión!$A$2:$L$703,8,FALSE)</f>
        <v>#N/A</v>
      </c>
      <c r="K727" s="4" t="e">
        <f>VLOOKUP(A727,Revisión!$A$2:$L$703,9,FALSE)</f>
        <v>#N/A</v>
      </c>
      <c r="L727" s="4" t="e">
        <f>VLOOKUP(A727,Revisión!$A$2:$L$703,10,FALSE)</f>
        <v>#N/A</v>
      </c>
      <c r="M727" s="18" t="e">
        <f>VLOOKUP(A727,Revisión!$A$2:$L$703,11,FALSE)</f>
        <v>#N/A</v>
      </c>
      <c r="N727" s="30" t="str">
        <f>IF(E727="Coinciden",D727,IF(E727="Revisar",VLOOKUP(A727,Revisión!$A$2:$L$703,12,FALSE),""))</f>
        <v>Draba lactea</v>
      </c>
    </row>
    <row r="728" spans="1:14" x14ac:dyDescent="0.3">
      <c r="A728" t="s">
        <v>1521</v>
      </c>
      <c r="B728" t="s">
        <v>1522</v>
      </c>
      <c r="C728" t="s">
        <v>1522</v>
      </c>
      <c r="D728" t="s">
        <v>1522</v>
      </c>
      <c r="E728" t="s">
        <v>18</v>
      </c>
      <c r="F728" t="s">
        <v>19</v>
      </c>
      <c r="H728" s="23" t="e">
        <f>VLOOKUP(A728,Revisión!$A$2:$L$703,6,FALSE)</f>
        <v>#N/A</v>
      </c>
      <c r="I728" s="4" t="e">
        <f>VLOOKUP(A728,Revisión!$A$2:$L$703,7,FALSE)</f>
        <v>#N/A</v>
      </c>
      <c r="J728" s="4" t="e">
        <f>VLOOKUP(A728,Revisión!$A$2:$L$703,8,FALSE)</f>
        <v>#N/A</v>
      </c>
      <c r="K728" s="4" t="e">
        <f>VLOOKUP(A728,Revisión!$A$2:$L$703,9,FALSE)</f>
        <v>#N/A</v>
      </c>
      <c r="L728" s="4" t="e">
        <f>VLOOKUP(A728,Revisión!$A$2:$L$703,10,FALSE)</f>
        <v>#N/A</v>
      </c>
      <c r="M728" s="18" t="e">
        <f>VLOOKUP(A728,Revisión!$A$2:$L$703,11,FALSE)</f>
        <v>#N/A</v>
      </c>
      <c r="N728" s="30" t="str">
        <f>IF(E728="Coinciden",D728,IF(E728="Revisar",VLOOKUP(A728,Revisión!$A$2:$L$703,12,FALSE),""))</f>
        <v>Draba cinerea</v>
      </c>
    </row>
    <row r="729" spans="1:14" x14ac:dyDescent="0.3">
      <c r="A729" t="s">
        <v>1523</v>
      </c>
      <c r="B729" t="s">
        <v>1524</v>
      </c>
      <c r="D729" t="s">
        <v>1524</v>
      </c>
      <c r="E729" t="s">
        <v>8</v>
      </c>
      <c r="F729" t="s">
        <v>34</v>
      </c>
      <c r="H729" s="23" t="str">
        <f>VLOOKUP(A729,Revisión!$A$2:$L$703,6,FALSE)</f>
        <v>Draba oblongata</v>
      </c>
      <c r="I729" s="4" t="str">
        <f>VLOOKUP(A729,Revisión!$A$2:$L$703,7,FALSE)</f>
        <v>-</v>
      </c>
      <c r="J729" s="4" t="str">
        <f>VLOOKUP(A729,Revisión!$A$2:$L$703,8,FALSE)</f>
        <v>Draba oblongata</v>
      </c>
      <c r="K729" s="4" t="str">
        <f>VLOOKUP(A729,Revisión!$A$2:$L$703,9,FALSE)</f>
        <v>Draba oblongata</v>
      </c>
      <c r="L729" s="4" t="str">
        <f>VLOOKUP(A729,Revisión!$A$2:$L$703,10,FALSE)</f>
        <v>Draba oblongata</v>
      </c>
      <c r="M729" s="18">
        <f>VLOOKUP(A729,Revisión!$A$2:$L$703,11,FALSE)</f>
        <v>4</v>
      </c>
      <c r="N729" s="30" t="str">
        <f>IF(E729="Coinciden",D729,IF(E729="Revisar",VLOOKUP(A729,Revisión!$A$2:$L$703,12,FALSE),""))</f>
        <v>Draba oblongata</v>
      </c>
    </row>
    <row r="730" spans="1:14" x14ac:dyDescent="0.3">
      <c r="A730" t="s">
        <v>1525</v>
      </c>
      <c r="B730" t="s">
        <v>1526</v>
      </c>
      <c r="C730" t="s">
        <v>1526</v>
      </c>
      <c r="D730" t="s">
        <v>1526</v>
      </c>
      <c r="E730" t="s">
        <v>18</v>
      </c>
      <c r="F730" t="s">
        <v>19</v>
      </c>
      <c r="H730" s="23" t="e">
        <f>VLOOKUP(A730,Revisión!$A$2:$L$703,6,FALSE)</f>
        <v>#N/A</v>
      </c>
      <c r="I730" s="4" t="e">
        <f>VLOOKUP(A730,Revisión!$A$2:$L$703,7,FALSE)</f>
        <v>#N/A</v>
      </c>
      <c r="J730" s="4" t="e">
        <f>VLOOKUP(A730,Revisión!$A$2:$L$703,8,FALSE)</f>
        <v>#N/A</v>
      </c>
      <c r="K730" s="4" t="e">
        <f>VLOOKUP(A730,Revisión!$A$2:$L$703,9,FALSE)</f>
        <v>#N/A</v>
      </c>
      <c r="L730" s="4" t="e">
        <f>VLOOKUP(A730,Revisión!$A$2:$L$703,10,FALSE)</f>
        <v>#N/A</v>
      </c>
      <c r="M730" s="18" t="e">
        <f>VLOOKUP(A730,Revisión!$A$2:$L$703,11,FALSE)</f>
        <v>#N/A</v>
      </c>
      <c r="N730" s="30" t="str">
        <f>IF(E730="Coinciden",D730,IF(E730="Revisar",VLOOKUP(A730,Revisión!$A$2:$L$703,12,FALSE),""))</f>
        <v>Draba corymbosa</v>
      </c>
    </row>
    <row r="731" spans="1:14" x14ac:dyDescent="0.3">
      <c r="A731" t="s">
        <v>1527</v>
      </c>
      <c r="B731" t="s">
        <v>1528</v>
      </c>
      <c r="D731" t="s">
        <v>1528</v>
      </c>
      <c r="E731" t="s">
        <v>8</v>
      </c>
      <c r="F731" t="s">
        <v>34</v>
      </c>
      <c r="H731" s="23" t="str">
        <f>VLOOKUP(A731,Revisión!$A$2:$L$703,6,FALSE)</f>
        <v>Draba aurea</v>
      </c>
      <c r="I731" s="4" t="str">
        <f>VLOOKUP(A731,Revisión!$A$2:$L$703,7,FALSE)</f>
        <v>-</v>
      </c>
      <c r="J731" s="4" t="str">
        <f>VLOOKUP(A731,Revisión!$A$2:$L$703,8,FALSE)</f>
        <v>Draba aurea</v>
      </c>
      <c r="K731" s="4" t="str">
        <f>VLOOKUP(A731,Revisión!$A$2:$L$703,9,FALSE)</f>
        <v>Draba aurea</v>
      </c>
      <c r="L731" s="4" t="str">
        <f>VLOOKUP(A731,Revisión!$A$2:$L$703,10,FALSE)</f>
        <v>Draba aurea</v>
      </c>
      <c r="M731" s="18">
        <f>VLOOKUP(A731,Revisión!$A$2:$L$703,11,FALSE)</f>
        <v>4</v>
      </c>
      <c r="N731" s="30" t="str">
        <f>IF(E731="Coinciden",D731,IF(E731="Revisar",VLOOKUP(A731,Revisión!$A$2:$L$703,12,FALSE),""))</f>
        <v>Draba aurea</v>
      </c>
    </row>
    <row r="732" spans="1:14" x14ac:dyDescent="0.3">
      <c r="A732" t="s">
        <v>1529</v>
      </c>
      <c r="B732" t="s">
        <v>1530</v>
      </c>
      <c r="C732" t="s">
        <v>1530</v>
      </c>
      <c r="D732" t="s">
        <v>1530</v>
      </c>
      <c r="E732" t="s">
        <v>18</v>
      </c>
      <c r="F732" t="s">
        <v>19</v>
      </c>
      <c r="H732" s="23" t="e">
        <f>VLOOKUP(A732,Revisión!$A$2:$L$703,6,FALSE)</f>
        <v>#N/A</v>
      </c>
      <c r="I732" s="4" t="e">
        <f>VLOOKUP(A732,Revisión!$A$2:$L$703,7,FALSE)</f>
        <v>#N/A</v>
      </c>
      <c r="J732" s="4" t="e">
        <f>VLOOKUP(A732,Revisión!$A$2:$L$703,8,FALSE)</f>
        <v>#N/A</v>
      </c>
      <c r="K732" s="4" t="e">
        <f>VLOOKUP(A732,Revisión!$A$2:$L$703,9,FALSE)</f>
        <v>#N/A</v>
      </c>
      <c r="L732" s="4" t="e">
        <f>VLOOKUP(A732,Revisión!$A$2:$L$703,10,FALSE)</f>
        <v>#N/A</v>
      </c>
      <c r="M732" s="18" t="e">
        <f>VLOOKUP(A732,Revisión!$A$2:$L$703,11,FALSE)</f>
        <v>#N/A</v>
      </c>
      <c r="N732" s="30" t="str">
        <f>IF(E732="Coinciden",D732,IF(E732="Revisar",VLOOKUP(A732,Revisión!$A$2:$L$703,12,FALSE),""))</f>
        <v>Draba gilliesii</v>
      </c>
    </row>
    <row r="733" spans="1:14" x14ac:dyDescent="0.3">
      <c r="A733" t="s">
        <v>1531</v>
      </c>
      <c r="B733" t="s">
        <v>1532</v>
      </c>
      <c r="C733" t="s">
        <v>1532</v>
      </c>
      <c r="D733" t="s">
        <v>1532</v>
      </c>
      <c r="E733" t="s">
        <v>18</v>
      </c>
      <c r="F733" t="s">
        <v>19</v>
      </c>
      <c r="H733" s="23" t="e">
        <f>VLOOKUP(A733,Revisión!$A$2:$L$703,6,FALSE)</f>
        <v>#N/A</v>
      </c>
      <c r="I733" s="4" t="e">
        <f>VLOOKUP(A733,Revisión!$A$2:$L$703,7,FALSE)</f>
        <v>#N/A</v>
      </c>
      <c r="J733" s="4" t="e">
        <f>VLOOKUP(A733,Revisión!$A$2:$L$703,8,FALSE)</f>
        <v>#N/A</v>
      </c>
      <c r="K733" s="4" t="e">
        <f>VLOOKUP(A733,Revisión!$A$2:$L$703,9,FALSE)</f>
        <v>#N/A</v>
      </c>
      <c r="L733" s="4" t="e">
        <f>VLOOKUP(A733,Revisión!$A$2:$L$703,10,FALSE)</f>
        <v>#N/A</v>
      </c>
      <c r="M733" s="18" t="e">
        <f>VLOOKUP(A733,Revisión!$A$2:$L$703,11,FALSE)</f>
        <v>#N/A</v>
      </c>
      <c r="N733" s="30" t="str">
        <f>IF(E733="Coinciden",D733,IF(E733="Revisar",VLOOKUP(A733,Revisión!$A$2:$L$703,12,FALSE),""))</f>
        <v>Draba arctica</v>
      </c>
    </row>
    <row r="734" spans="1:14" x14ac:dyDescent="0.3">
      <c r="A734" t="s">
        <v>1533</v>
      </c>
      <c r="B734" t="s">
        <v>1534</v>
      </c>
      <c r="C734" t="s">
        <v>1535</v>
      </c>
      <c r="D734" t="s">
        <v>1534</v>
      </c>
      <c r="E734" t="s">
        <v>8</v>
      </c>
      <c r="F734" t="s">
        <v>493</v>
      </c>
      <c r="H734" s="23" t="str">
        <f>VLOOKUP(A734,Revisión!$A$2:$L$703,6,FALSE)</f>
        <v>Hornungia procumbens</v>
      </c>
      <c r="I734" s="4" t="str">
        <f>VLOOKUP(A734,Revisión!$A$2:$L$703,7,FALSE)</f>
        <v>-</v>
      </c>
      <c r="J734" s="4" t="str">
        <f>VLOOKUP(A734,Revisión!$A$2:$L$703,8,FALSE)</f>
        <v>Hornungia procumbens subsp. procumbens</v>
      </c>
      <c r="K734" s="4" t="str">
        <f>VLOOKUP(A734,Revisión!$A$2:$L$703,9,FALSE)</f>
        <v>Hornungia procumbens</v>
      </c>
      <c r="L734" s="4" t="str">
        <f>VLOOKUP(A734,Revisión!$A$2:$L$703,10,FALSE)</f>
        <v>Hornungia procumbens</v>
      </c>
      <c r="M734" s="18">
        <f>VLOOKUP(A734,Revisión!$A$2:$L$703,11,FALSE)</f>
        <v>3</v>
      </c>
      <c r="N734" s="30" t="str">
        <f>IF(E734="Coinciden",D734,IF(E734="Revisar",VLOOKUP(A734,Revisión!$A$2:$L$703,12,FALSE),""))</f>
        <v>Hornungia procumbens</v>
      </c>
    </row>
    <row r="735" spans="1:14" x14ac:dyDescent="0.3">
      <c r="A735" t="s">
        <v>1536</v>
      </c>
      <c r="B735" t="s">
        <v>1537</v>
      </c>
      <c r="C735" t="s">
        <v>1537</v>
      </c>
      <c r="D735" t="s">
        <v>1537</v>
      </c>
      <c r="E735" t="s">
        <v>18</v>
      </c>
      <c r="F735" t="s">
        <v>19</v>
      </c>
      <c r="H735" s="23" t="e">
        <f>VLOOKUP(A735,Revisión!$A$2:$L$703,6,FALSE)</f>
        <v>#N/A</v>
      </c>
      <c r="I735" s="4" t="e">
        <f>VLOOKUP(A735,Revisión!$A$2:$L$703,7,FALSE)</f>
        <v>#N/A</v>
      </c>
      <c r="J735" s="4" t="e">
        <f>VLOOKUP(A735,Revisión!$A$2:$L$703,8,FALSE)</f>
        <v>#N/A</v>
      </c>
      <c r="K735" s="4" t="e">
        <f>VLOOKUP(A735,Revisión!$A$2:$L$703,9,FALSE)</f>
        <v>#N/A</v>
      </c>
      <c r="L735" s="4" t="e">
        <f>VLOOKUP(A735,Revisión!$A$2:$L$703,10,FALSE)</f>
        <v>#N/A</v>
      </c>
      <c r="M735" s="18" t="e">
        <f>VLOOKUP(A735,Revisión!$A$2:$L$703,11,FALSE)</f>
        <v>#N/A</v>
      </c>
      <c r="N735" s="30" t="str">
        <f>IF(E735="Coinciden",D735,IF(E735="Revisar",VLOOKUP(A735,Revisión!$A$2:$L$703,12,FALSE),""))</f>
        <v>Dracaena reflexa var. angustifolia</v>
      </c>
    </row>
    <row r="736" spans="1:14" x14ac:dyDescent="0.3">
      <c r="A736" t="s">
        <v>1538</v>
      </c>
      <c r="B736" t="s">
        <v>1539</v>
      </c>
      <c r="D736" t="s">
        <v>1539</v>
      </c>
      <c r="E736" t="s">
        <v>8</v>
      </c>
      <c r="F736" t="s">
        <v>34</v>
      </c>
      <c r="H736" s="23" t="str">
        <f>VLOOKUP(A736,Revisión!$A$2:$L$703,6,FALSE)</f>
        <v>Dracaena concinna</v>
      </c>
      <c r="I736" s="4" t="str">
        <f>VLOOKUP(A736,Revisión!$A$2:$L$703,7,FALSE)</f>
        <v>-</v>
      </c>
      <c r="J736" s="4" t="str">
        <f>VLOOKUP(A736,Revisión!$A$2:$L$703,8,FALSE)</f>
        <v>Dracaena concinna</v>
      </c>
      <c r="K736" s="4" t="str">
        <f>VLOOKUP(A736,Revisión!$A$2:$L$703,9,FALSE)</f>
        <v>Dracaena concinna</v>
      </c>
      <c r="L736" s="4" t="str">
        <f>VLOOKUP(A736,Revisión!$A$2:$L$703,10,FALSE)</f>
        <v>Dracaena concinna</v>
      </c>
      <c r="M736" s="18">
        <f>VLOOKUP(A736,Revisión!$A$2:$L$703,11,FALSE)</f>
        <v>4</v>
      </c>
      <c r="N736" s="30" t="str">
        <f>IF(E736="Coinciden",D736,IF(E736="Revisar",VLOOKUP(A736,Revisión!$A$2:$L$703,12,FALSE),""))</f>
        <v>Dracaena concinna</v>
      </c>
    </row>
    <row r="737" spans="1:14" x14ac:dyDescent="0.3">
      <c r="A737" t="s">
        <v>1540</v>
      </c>
      <c r="B737" t="s">
        <v>1541</v>
      </c>
      <c r="C737" t="s">
        <v>1541</v>
      </c>
      <c r="D737" t="s">
        <v>1541</v>
      </c>
      <c r="E737" t="s">
        <v>18</v>
      </c>
      <c r="F737" t="s">
        <v>19</v>
      </c>
      <c r="H737" s="23" t="e">
        <f>VLOOKUP(A737,Revisión!$A$2:$L$703,6,FALSE)</f>
        <v>#N/A</v>
      </c>
      <c r="I737" s="4" t="e">
        <f>VLOOKUP(A737,Revisión!$A$2:$L$703,7,FALSE)</f>
        <v>#N/A</v>
      </c>
      <c r="J737" s="4" t="e">
        <f>VLOOKUP(A737,Revisión!$A$2:$L$703,8,FALSE)</f>
        <v>#N/A</v>
      </c>
      <c r="K737" s="4" t="e">
        <f>VLOOKUP(A737,Revisión!$A$2:$L$703,9,FALSE)</f>
        <v>#N/A</v>
      </c>
      <c r="L737" s="4" t="e">
        <f>VLOOKUP(A737,Revisión!$A$2:$L$703,10,FALSE)</f>
        <v>#N/A</v>
      </c>
      <c r="M737" s="18" t="e">
        <f>VLOOKUP(A737,Revisión!$A$2:$L$703,11,FALSE)</f>
        <v>#N/A</v>
      </c>
      <c r="N737" s="30" t="str">
        <f>IF(E737="Coinciden",D737,IF(E737="Revisar",VLOOKUP(A737,Revisión!$A$2:$L$703,12,FALSE),""))</f>
        <v>Dracaena reflexa</v>
      </c>
    </row>
    <row r="738" spans="1:14" x14ac:dyDescent="0.3">
      <c r="A738" t="s">
        <v>1542</v>
      </c>
      <c r="B738" t="s">
        <v>1543</v>
      </c>
      <c r="C738" t="s">
        <v>1543</v>
      </c>
      <c r="D738" t="s">
        <v>1543</v>
      </c>
      <c r="E738" t="s">
        <v>18</v>
      </c>
      <c r="F738" t="s">
        <v>19</v>
      </c>
      <c r="H738" s="23" t="e">
        <f>VLOOKUP(A738,Revisión!$A$2:$L$703,6,FALSE)</f>
        <v>#N/A</v>
      </c>
      <c r="I738" s="4" t="e">
        <f>VLOOKUP(A738,Revisión!$A$2:$L$703,7,FALSE)</f>
        <v>#N/A</v>
      </c>
      <c r="J738" s="4" t="e">
        <f>VLOOKUP(A738,Revisión!$A$2:$L$703,8,FALSE)</f>
        <v>#N/A</v>
      </c>
      <c r="K738" s="4" t="e">
        <f>VLOOKUP(A738,Revisión!$A$2:$L$703,9,FALSE)</f>
        <v>#N/A</v>
      </c>
      <c r="L738" s="4" t="e">
        <f>VLOOKUP(A738,Revisión!$A$2:$L$703,10,FALSE)</f>
        <v>#N/A</v>
      </c>
      <c r="M738" s="18" t="e">
        <f>VLOOKUP(A738,Revisión!$A$2:$L$703,11,FALSE)</f>
        <v>#N/A</v>
      </c>
      <c r="N738" s="30" t="str">
        <f>IF(E738="Coinciden",D738,IF(E738="Revisar",VLOOKUP(A738,Revisión!$A$2:$L$703,12,FALSE),""))</f>
        <v>Dracophyllum pronum</v>
      </c>
    </row>
    <row r="739" spans="1:14" x14ac:dyDescent="0.3">
      <c r="A739" t="s">
        <v>1544</v>
      </c>
      <c r="C739" t="s">
        <v>1545</v>
      </c>
      <c r="D739" t="s">
        <v>1545</v>
      </c>
      <c r="E739" t="s">
        <v>8</v>
      </c>
      <c r="F739" t="s">
        <v>49</v>
      </c>
      <c r="H739" s="23" t="str">
        <f>VLOOKUP(A739,Revisión!$A$2:$L$703,6,FALSE)</f>
        <v>Dracophyllum acerosum</v>
      </c>
      <c r="I739" s="4" t="str">
        <f>VLOOKUP(A739,Revisión!$A$2:$L$703,7,FALSE)</f>
        <v>-</v>
      </c>
      <c r="J739" s="4" t="str">
        <f>VLOOKUP(A739,Revisión!$A$2:$L$703,8,FALSE)</f>
        <v>Dracophyllum acerosum</v>
      </c>
      <c r="K739" s="4" t="str">
        <f>VLOOKUP(A739,Revisión!$A$2:$L$703,9,FALSE)</f>
        <v>Dracophyllum acerosum</v>
      </c>
      <c r="L739" s="4" t="str">
        <f>VLOOKUP(A739,Revisión!$A$2:$L$703,10,FALSE)</f>
        <v>Dracophyllum acerosum</v>
      </c>
      <c r="M739" s="18">
        <f>VLOOKUP(A739,Revisión!$A$2:$L$703,11,FALSE)</f>
        <v>4</v>
      </c>
      <c r="N739" s="30" t="str">
        <f>IF(E739="Coinciden",D739,IF(E739="Revisar",VLOOKUP(A739,Revisión!$A$2:$L$703,12,FALSE),""))</f>
        <v>Dracophyllum acerosum</v>
      </c>
    </row>
    <row r="740" spans="1:14" x14ac:dyDescent="0.3">
      <c r="A740" t="s">
        <v>1546</v>
      </c>
      <c r="B740" t="s">
        <v>1547</v>
      </c>
      <c r="C740" t="s">
        <v>1547</v>
      </c>
      <c r="D740" t="s">
        <v>1547</v>
      </c>
      <c r="E740" t="s">
        <v>18</v>
      </c>
      <c r="F740" t="s">
        <v>19</v>
      </c>
      <c r="H740" s="23" t="e">
        <f>VLOOKUP(A740,Revisión!$A$2:$L$703,6,FALSE)</f>
        <v>#N/A</v>
      </c>
      <c r="I740" s="4" t="e">
        <f>VLOOKUP(A740,Revisión!$A$2:$L$703,7,FALSE)</f>
        <v>#N/A</v>
      </c>
      <c r="J740" s="4" t="e">
        <f>VLOOKUP(A740,Revisión!$A$2:$L$703,8,FALSE)</f>
        <v>#N/A</v>
      </c>
      <c r="K740" s="4" t="e">
        <f>VLOOKUP(A740,Revisión!$A$2:$L$703,9,FALSE)</f>
        <v>#N/A</v>
      </c>
      <c r="L740" s="4" t="e">
        <f>VLOOKUP(A740,Revisión!$A$2:$L$703,10,FALSE)</f>
        <v>#N/A</v>
      </c>
      <c r="M740" s="18" t="e">
        <f>VLOOKUP(A740,Revisión!$A$2:$L$703,11,FALSE)</f>
        <v>#N/A</v>
      </c>
      <c r="N740" s="30" t="str">
        <f>IF(E740="Coinciden",D740,IF(E740="Revisar",VLOOKUP(A740,Revisión!$A$2:$L$703,12,FALSE),""))</f>
        <v>Kelleria dieffenbachii</v>
      </c>
    </row>
    <row r="741" spans="1:14" x14ac:dyDescent="0.3">
      <c r="A741" t="s">
        <v>1548</v>
      </c>
      <c r="B741" t="s">
        <v>1549</v>
      </c>
      <c r="C741" t="s">
        <v>1549</v>
      </c>
      <c r="D741" t="s">
        <v>1549</v>
      </c>
      <c r="E741" t="s">
        <v>18</v>
      </c>
      <c r="F741" t="s">
        <v>19</v>
      </c>
      <c r="H741" s="23" t="e">
        <f>VLOOKUP(A741,Revisión!$A$2:$L$703,6,FALSE)</f>
        <v>#N/A</v>
      </c>
      <c r="I741" s="4" t="e">
        <f>VLOOKUP(A741,Revisión!$A$2:$L$703,7,FALSE)</f>
        <v>#N/A</v>
      </c>
      <c r="J741" s="4" t="e">
        <f>VLOOKUP(A741,Revisión!$A$2:$L$703,8,FALSE)</f>
        <v>#N/A</v>
      </c>
      <c r="K741" s="4" t="e">
        <f>VLOOKUP(A741,Revisión!$A$2:$L$703,9,FALSE)</f>
        <v>#N/A</v>
      </c>
      <c r="L741" s="4" t="e">
        <f>VLOOKUP(A741,Revisión!$A$2:$L$703,10,FALSE)</f>
        <v>#N/A</v>
      </c>
      <c r="M741" s="18" t="e">
        <f>VLOOKUP(A741,Revisión!$A$2:$L$703,11,FALSE)</f>
        <v>#N/A</v>
      </c>
      <c r="N741" s="30" t="str">
        <f>IF(E741="Coinciden",D741,IF(E741="Revisar",VLOOKUP(A741,Revisión!$A$2:$L$703,12,FALSE),""))</f>
        <v>Dryas integrifolia</v>
      </c>
    </row>
    <row r="742" spans="1:14" x14ac:dyDescent="0.3">
      <c r="A742" t="s">
        <v>1550</v>
      </c>
      <c r="B742" t="s">
        <v>1551</v>
      </c>
      <c r="C742" t="s">
        <v>1551</v>
      </c>
      <c r="D742" t="s">
        <v>1551</v>
      </c>
      <c r="E742" t="s">
        <v>18</v>
      </c>
      <c r="F742" t="s">
        <v>19</v>
      </c>
      <c r="H742" s="23" t="e">
        <f>VLOOKUP(A742,Revisión!$A$2:$L$703,6,FALSE)</f>
        <v>#N/A</v>
      </c>
      <c r="I742" s="4" t="e">
        <f>VLOOKUP(A742,Revisión!$A$2:$L$703,7,FALSE)</f>
        <v>#N/A</v>
      </c>
      <c r="J742" s="4" t="e">
        <f>VLOOKUP(A742,Revisión!$A$2:$L$703,8,FALSE)</f>
        <v>#N/A</v>
      </c>
      <c r="K742" s="4" t="e">
        <f>VLOOKUP(A742,Revisión!$A$2:$L$703,9,FALSE)</f>
        <v>#N/A</v>
      </c>
      <c r="L742" s="4" t="e">
        <f>VLOOKUP(A742,Revisión!$A$2:$L$703,10,FALSE)</f>
        <v>#N/A</v>
      </c>
      <c r="M742" s="18" t="e">
        <f>VLOOKUP(A742,Revisión!$A$2:$L$703,11,FALSE)</f>
        <v>#N/A</v>
      </c>
      <c r="N742" s="30" t="str">
        <f>IF(E742="Coinciden",D742,IF(E742="Revisar",VLOOKUP(A742,Revisión!$A$2:$L$703,12,FALSE),""))</f>
        <v>Dryas octopetala</v>
      </c>
    </row>
    <row r="743" spans="1:14" x14ac:dyDescent="0.3">
      <c r="A743" t="s">
        <v>1552</v>
      </c>
      <c r="E743" t="s">
        <v>8</v>
      </c>
      <c r="F743" t="s">
        <v>11</v>
      </c>
      <c r="H743" s="23" t="e">
        <f>VLOOKUP(A743,Revisión!$A$2:$L$703,6,FALSE)</f>
        <v>#N/A</v>
      </c>
      <c r="I743" s="4" t="e">
        <f>VLOOKUP(A743,Revisión!$A$2:$L$703,7,FALSE)</f>
        <v>#N/A</v>
      </c>
      <c r="J743" s="4" t="e">
        <f>VLOOKUP(A743,Revisión!$A$2:$L$703,8,FALSE)</f>
        <v>#N/A</v>
      </c>
      <c r="K743" s="4" t="e">
        <f>VLOOKUP(A743,Revisión!$A$2:$L$703,9,FALSE)</f>
        <v>#N/A</v>
      </c>
      <c r="L743" s="4" t="e">
        <f>VLOOKUP(A743,Revisión!$A$2:$L$703,10,FALSE)</f>
        <v>#N/A</v>
      </c>
      <c r="M743" s="18" t="e">
        <f>VLOOKUP(A743,Revisión!$A$2:$L$703,11,FALSE)</f>
        <v>#N/A</v>
      </c>
      <c r="N743" s="30" t="e">
        <f>IF(E743="Coinciden",D743,IF(E743="Revisar",VLOOKUP(A743,Revisión!$A$2:$L$703,12,FALSE),""))</f>
        <v>#N/A</v>
      </c>
    </row>
    <row r="744" spans="1:14" x14ac:dyDescent="0.3">
      <c r="A744" t="s">
        <v>1553</v>
      </c>
      <c r="B744" t="s">
        <v>1554</v>
      </c>
      <c r="C744" t="s">
        <v>1554</v>
      </c>
      <c r="D744" t="s">
        <v>1554</v>
      </c>
      <c r="E744" t="s">
        <v>18</v>
      </c>
      <c r="F744" t="s">
        <v>19</v>
      </c>
      <c r="H744" s="23" t="e">
        <f>VLOOKUP(A744,Revisión!$A$2:$L$703,6,FALSE)</f>
        <v>#N/A</v>
      </c>
      <c r="I744" s="4" t="e">
        <f>VLOOKUP(A744,Revisión!$A$2:$L$703,7,FALSE)</f>
        <v>#N/A</v>
      </c>
      <c r="J744" s="4" t="e">
        <f>VLOOKUP(A744,Revisión!$A$2:$L$703,8,FALSE)</f>
        <v>#N/A</v>
      </c>
      <c r="K744" s="4" t="e">
        <f>VLOOKUP(A744,Revisión!$A$2:$L$703,9,FALSE)</f>
        <v>#N/A</v>
      </c>
      <c r="L744" s="4" t="e">
        <f>VLOOKUP(A744,Revisión!$A$2:$L$703,10,FALSE)</f>
        <v>#N/A</v>
      </c>
      <c r="M744" s="18" t="e">
        <f>VLOOKUP(A744,Revisión!$A$2:$L$703,11,FALSE)</f>
        <v>#N/A</v>
      </c>
      <c r="N744" s="30" t="str">
        <f>IF(E744="Coinciden",D744,IF(E744="Revisar",VLOOKUP(A744,Revisión!$A$2:$L$703,12,FALSE),""))</f>
        <v>Drymocallis fissa</v>
      </c>
    </row>
    <row r="745" spans="1:14" x14ac:dyDescent="0.3">
      <c r="A745" t="s">
        <v>1555</v>
      </c>
      <c r="B745" t="s">
        <v>1556</v>
      </c>
      <c r="C745" t="s">
        <v>1557</v>
      </c>
      <c r="D745" t="s">
        <v>1557</v>
      </c>
      <c r="E745" t="s">
        <v>8</v>
      </c>
      <c r="F745" t="s">
        <v>23</v>
      </c>
      <c r="H745" s="23" t="str">
        <f>VLOOKUP(A745,Revisión!$A$2:$L$703,6,FALSE)</f>
        <v>Potentilla hebiichigo</v>
      </c>
      <c r="I745" s="4" t="str">
        <f>VLOOKUP(A745,Revisión!$A$2:$L$703,7,FALSE)</f>
        <v>-</v>
      </c>
      <c r="J745" s="4" t="str">
        <f>VLOOKUP(A745,Revisión!$A$2:$L$703,8,FALSE)</f>
        <v>Potentilla hebiichigo</v>
      </c>
      <c r="K745" s="4" t="str">
        <f>VLOOKUP(A745,Revisión!$A$2:$L$703,9,FALSE)</f>
        <v>Potentilla hebiichigo</v>
      </c>
      <c r="L745" s="4" t="str">
        <f>VLOOKUP(A745,Revisión!$A$2:$L$703,10,FALSE)</f>
        <v>Potentilla hebiichigo</v>
      </c>
      <c r="M745" s="18">
        <f>VLOOKUP(A745,Revisión!$A$2:$L$703,11,FALSE)</f>
        <v>4</v>
      </c>
      <c r="N745" s="30" t="str">
        <f>IF(E745="Coinciden",D745,IF(E745="Revisar",VLOOKUP(A745,Revisión!$A$2:$L$703,12,FALSE),""))</f>
        <v>Potentilla hebiichigo</v>
      </c>
    </row>
    <row r="746" spans="1:14" x14ac:dyDescent="0.3">
      <c r="A746" t="s">
        <v>1558</v>
      </c>
      <c r="B746" t="s">
        <v>1559</v>
      </c>
      <c r="C746" t="s">
        <v>1559</v>
      </c>
      <c r="D746" t="s">
        <v>1559</v>
      </c>
      <c r="E746" t="s">
        <v>18</v>
      </c>
      <c r="F746" t="s">
        <v>19</v>
      </c>
      <c r="H746" s="23" t="e">
        <f>VLOOKUP(A746,Revisión!$A$2:$L$703,6,FALSE)</f>
        <v>#N/A</v>
      </c>
      <c r="I746" s="4" t="e">
        <f>VLOOKUP(A746,Revisión!$A$2:$L$703,7,FALSE)</f>
        <v>#N/A</v>
      </c>
      <c r="J746" s="4" t="e">
        <f>VLOOKUP(A746,Revisión!$A$2:$L$703,8,FALSE)</f>
        <v>#N/A</v>
      </c>
      <c r="K746" s="4" t="e">
        <f>VLOOKUP(A746,Revisión!$A$2:$L$703,9,FALSE)</f>
        <v>#N/A</v>
      </c>
      <c r="L746" s="4" t="e">
        <f>VLOOKUP(A746,Revisión!$A$2:$L$703,10,FALSE)</f>
        <v>#N/A</v>
      </c>
      <c r="M746" s="18" t="e">
        <f>VLOOKUP(A746,Revisión!$A$2:$L$703,11,FALSE)</f>
        <v>#N/A</v>
      </c>
      <c r="N746" s="30" t="str">
        <f>IF(E746="Coinciden",D746,IF(E746="Revisar",VLOOKUP(A746,Revisión!$A$2:$L$703,12,FALSE),""))</f>
        <v>Ebenus sibthorpii</v>
      </c>
    </row>
    <row r="747" spans="1:14" x14ac:dyDescent="0.3">
      <c r="A747" t="s">
        <v>1560</v>
      </c>
      <c r="B747" t="s">
        <v>1561</v>
      </c>
      <c r="C747" t="s">
        <v>1561</v>
      </c>
      <c r="D747" t="s">
        <v>1561</v>
      </c>
      <c r="E747" t="s">
        <v>18</v>
      </c>
      <c r="F747" t="s">
        <v>19</v>
      </c>
      <c r="H747" s="23" t="e">
        <f>VLOOKUP(A747,Revisión!$A$2:$L$703,6,FALSE)</f>
        <v>#N/A</v>
      </c>
      <c r="I747" s="4" t="e">
        <f>VLOOKUP(A747,Revisión!$A$2:$L$703,7,FALSE)</f>
        <v>#N/A</v>
      </c>
      <c r="J747" s="4" t="e">
        <f>VLOOKUP(A747,Revisión!$A$2:$L$703,8,FALSE)</f>
        <v>#N/A</v>
      </c>
      <c r="K747" s="4" t="e">
        <f>VLOOKUP(A747,Revisión!$A$2:$L$703,9,FALSE)</f>
        <v>#N/A</v>
      </c>
      <c r="L747" s="4" t="e">
        <f>VLOOKUP(A747,Revisión!$A$2:$L$703,10,FALSE)</f>
        <v>#N/A</v>
      </c>
      <c r="M747" s="18" t="e">
        <f>VLOOKUP(A747,Revisión!$A$2:$L$703,11,FALSE)</f>
        <v>#N/A</v>
      </c>
      <c r="N747" s="30" t="str">
        <f>IF(E747="Coinciden",D747,IF(E747="Revisar",VLOOKUP(A747,Revisión!$A$2:$L$703,12,FALSE),""))</f>
        <v>Ecballium elaterium</v>
      </c>
    </row>
    <row r="748" spans="1:14" x14ac:dyDescent="0.3">
      <c r="A748" t="s">
        <v>1562</v>
      </c>
      <c r="B748" t="s">
        <v>1563</v>
      </c>
      <c r="C748" t="s">
        <v>1563</v>
      </c>
      <c r="D748" t="s">
        <v>1563</v>
      </c>
      <c r="E748" t="s">
        <v>18</v>
      </c>
      <c r="F748" t="s">
        <v>19</v>
      </c>
      <c r="H748" s="23" t="e">
        <f>VLOOKUP(A748,Revisión!$A$2:$L$703,6,FALSE)</f>
        <v>#N/A</v>
      </c>
      <c r="I748" s="4" t="e">
        <f>VLOOKUP(A748,Revisión!$A$2:$L$703,7,FALSE)</f>
        <v>#N/A</v>
      </c>
      <c r="J748" s="4" t="e">
        <f>VLOOKUP(A748,Revisión!$A$2:$L$703,8,FALSE)</f>
        <v>#N/A</v>
      </c>
      <c r="K748" s="4" t="e">
        <f>VLOOKUP(A748,Revisión!$A$2:$L$703,9,FALSE)</f>
        <v>#N/A</v>
      </c>
      <c r="L748" s="4" t="e">
        <f>VLOOKUP(A748,Revisión!$A$2:$L$703,10,FALSE)</f>
        <v>#N/A</v>
      </c>
      <c r="M748" s="18" t="e">
        <f>VLOOKUP(A748,Revisión!$A$2:$L$703,11,FALSE)</f>
        <v>#N/A</v>
      </c>
      <c r="N748" s="30" t="str">
        <f>IF(E748="Coinciden",D748,IF(E748="Revisar",VLOOKUP(A748,Revisión!$A$2:$L$703,12,FALSE),""))</f>
        <v>Echinocystis lobata</v>
      </c>
    </row>
    <row r="749" spans="1:14" x14ac:dyDescent="0.3">
      <c r="A749" t="s">
        <v>1564</v>
      </c>
      <c r="B749" t="s">
        <v>1565</v>
      </c>
      <c r="C749" t="s">
        <v>1565</v>
      </c>
      <c r="D749" t="s">
        <v>1565</v>
      </c>
      <c r="E749" t="s">
        <v>18</v>
      </c>
      <c r="F749" t="s">
        <v>19</v>
      </c>
      <c r="H749" s="23" t="e">
        <f>VLOOKUP(A749,Revisión!$A$2:$L$703,6,FALSE)</f>
        <v>#N/A</v>
      </c>
      <c r="I749" s="4" t="e">
        <f>VLOOKUP(A749,Revisión!$A$2:$L$703,7,FALSE)</f>
        <v>#N/A</v>
      </c>
      <c r="J749" s="4" t="e">
        <f>VLOOKUP(A749,Revisión!$A$2:$L$703,8,FALSE)</f>
        <v>#N/A</v>
      </c>
      <c r="K749" s="4" t="e">
        <f>VLOOKUP(A749,Revisión!$A$2:$L$703,9,FALSE)</f>
        <v>#N/A</v>
      </c>
      <c r="L749" s="4" t="e">
        <f>VLOOKUP(A749,Revisión!$A$2:$L$703,10,FALSE)</f>
        <v>#N/A</v>
      </c>
      <c r="M749" s="18" t="e">
        <f>VLOOKUP(A749,Revisión!$A$2:$L$703,11,FALSE)</f>
        <v>#N/A</v>
      </c>
      <c r="N749" s="30" t="str">
        <f>IF(E749="Coinciden",D749,IF(E749="Revisar",VLOOKUP(A749,Revisión!$A$2:$L$703,12,FALSE),""))</f>
        <v>Echinops setifer</v>
      </c>
    </row>
    <row r="750" spans="1:14" x14ac:dyDescent="0.3">
      <c r="A750" t="s">
        <v>1566</v>
      </c>
      <c r="B750" t="s">
        <v>1567</v>
      </c>
      <c r="C750" t="s">
        <v>1567</v>
      </c>
      <c r="D750" t="s">
        <v>1567</v>
      </c>
      <c r="E750" t="s">
        <v>18</v>
      </c>
      <c r="F750" t="s">
        <v>19</v>
      </c>
      <c r="H750" s="23" t="e">
        <f>VLOOKUP(A750,Revisión!$A$2:$L$703,6,FALSE)</f>
        <v>#N/A</v>
      </c>
      <c r="I750" s="4" t="e">
        <f>VLOOKUP(A750,Revisión!$A$2:$L$703,7,FALSE)</f>
        <v>#N/A</v>
      </c>
      <c r="J750" s="4" t="e">
        <f>VLOOKUP(A750,Revisión!$A$2:$L$703,8,FALSE)</f>
        <v>#N/A</v>
      </c>
      <c r="K750" s="4" t="e">
        <f>VLOOKUP(A750,Revisión!$A$2:$L$703,9,FALSE)</f>
        <v>#N/A</v>
      </c>
      <c r="L750" s="4" t="e">
        <f>VLOOKUP(A750,Revisión!$A$2:$L$703,10,FALSE)</f>
        <v>#N/A</v>
      </c>
      <c r="M750" s="18" t="e">
        <f>VLOOKUP(A750,Revisión!$A$2:$L$703,11,FALSE)</f>
        <v>#N/A</v>
      </c>
      <c r="N750" s="30" t="str">
        <f>IF(E750="Coinciden",D750,IF(E750="Revisar",VLOOKUP(A750,Revisión!$A$2:$L$703,12,FALSE),""))</f>
        <v>Echinops microcephalus</v>
      </c>
    </row>
    <row r="751" spans="1:14" x14ac:dyDescent="0.3">
      <c r="A751" t="s">
        <v>1568</v>
      </c>
      <c r="B751" t="s">
        <v>1569</v>
      </c>
      <c r="D751" t="s">
        <v>1569</v>
      </c>
      <c r="E751" t="s">
        <v>8</v>
      </c>
      <c r="F751" t="s">
        <v>34</v>
      </c>
      <c r="H751" s="23" t="str">
        <f>VLOOKUP(A751,Revisión!$A$2:$L$703,6,FALSE)</f>
        <v>Echium plantagineum</v>
      </c>
      <c r="I751" s="4" t="str">
        <f>VLOOKUP(A751,Revisión!$A$2:$L$703,7,FALSE)</f>
        <v>-</v>
      </c>
      <c r="J751" s="4" t="str">
        <f>VLOOKUP(A751,Revisión!$A$2:$L$703,8,FALSE)</f>
        <v>Echium plantagineum</v>
      </c>
      <c r="K751" s="4" t="str">
        <f>VLOOKUP(A751,Revisión!$A$2:$L$703,9,FALSE)</f>
        <v>Echium plantagineum</v>
      </c>
      <c r="L751" s="4" t="str">
        <f>VLOOKUP(A751,Revisión!$A$2:$L$703,10,FALSE)</f>
        <v>Echium plantagineum</v>
      </c>
      <c r="M751" s="18">
        <f>VLOOKUP(A751,Revisión!$A$2:$L$703,11,FALSE)</f>
        <v>4</v>
      </c>
      <c r="N751" s="30" t="str">
        <f>IF(E751="Coinciden",D751,IF(E751="Revisar",VLOOKUP(A751,Revisión!$A$2:$L$703,12,FALSE),""))</f>
        <v>Echium plantagineum</v>
      </c>
    </row>
    <row r="752" spans="1:14" x14ac:dyDescent="0.3">
      <c r="A752" t="s">
        <v>1570</v>
      </c>
      <c r="B752" t="s">
        <v>1571</v>
      </c>
      <c r="C752" t="s">
        <v>1571</v>
      </c>
      <c r="D752" t="s">
        <v>1571</v>
      </c>
      <c r="E752" t="s">
        <v>18</v>
      </c>
      <c r="F752" t="s">
        <v>19</v>
      </c>
      <c r="H752" s="23" t="e">
        <f>VLOOKUP(A752,Revisión!$A$2:$L$703,6,FALSE)</f>
        <v>#N/A</v>
      </c>
      <c r="I752" s="4" t="e">
        <f>VLOOKUP(A752,Revisión!$A$2:$L$703,7,FALSE)</f>
        <v>#N/A</v>
      </c>
      <c r="J752" s="4" t="e">
        <f>VLOOKUP(A752,Revisión!$A$2:$L$703,8,FALSE)</f>
        <v>#N/A</v>
      </c>
      <c r="K752" s="4" t="e">
        <f>VLOOKUP(A752,Revisión!$A$2:$L$703,9,FALSE)</f>
        <v>#N/A</v>
      </c>
      <c r="L752" s="4" t="e">
        <f>VLOOKUP(A752,Revisión!$A$2:$L$703,10,FALSE)</f>
        <v>#N/A</v>
      </c>
      <c r="M752" s="18" t="e">
        <f>VLOOKUP(A752,Revisión!$A$2:$L$703,11,FALSE)</f>
        <v>#N/A</v>
      </c>
      <c r="N752" s="30" t="str">
        <f>IF(E752="Coinciden",D752,IF(E752="Revisar",VLOOKUP(A752,Revisión!$A$2:$L$703,12,FALSE),""))</f>
        <v>Echium bonnetii</v>
      </c>
    </row>
    <row r="753" spans="1:14" x14ac:dyDescent="0.3">
      <c r="A753" t="s">
        <v>1572</v>
      </c>
      <c r="B753" t="s">
        <v>1573</v>
      </c>
      <c r="D753" t="s">
        <v>1573</v>
      </c>
      <c r="E753" t="s">
        <v>8</v>
      </c>
      <c r="F753" t="s">
        <v>34</v>
      </c>
      <c r="H753" s="23" t="str">
        <f>VLOOKUP(A753,Revisión!$A$2:$L$703,6,FALSE)</f>
        <v>Echium angustifolium</v>
      </c>
      <c r="I753" s="4" t="str">
        <f>VLOOKUP(A753,Revisión!$A$2:$L$703,7,FALSE)</f>
        <v>-</v>
      </c>
      <c r="J753" s="4" t="str">
        <f>VLOOKUP(A753,Revisión!$A$2:$L$703,8,FALSE)</f>
        <v>Echium angustifolium</v>
      </c>
      <c r="K753" s="4" t="str">
        <f>VLOOKUP(A753,Revisión!$A$2:$L$703,9,FALSE)</f>
        <v>Echium creticum subsp. granatense</v>
      </c>
      <c r="L753" s="4" t="str">
        <f>VLOOKUP(A753,Revisión!$A$2:$L$703,10,FALSE)</f>
        <v>Echium angustifolium</v>
      </c>
      <c r="M753" s="18">
        <f>VLOOKUP(A753,Revisión!$A$2:$L$703,11,FALSE)</f>
        <v>3</v>
      </c>
      <c r="N753" s="30" t="str">
        <f>IF(E753="Coinciden",D753,IF(E753="Revisar",VLOOKUP(A753,Revisión!$A$2:$L$703,12,FALSE),""))</f>
        <v>Echium angustifolium</v>
      </c>
    </row>
    <row r="754" spans="1:14" x14ac:dyDescent="0.3">
      <c r="A754" t="s">
        <v>1574</v>
      </c>
      <c r="B754" t="s">
        <v>1575</v>
      </c>
      <c r="C754" t="s">
        <v>1575</v>
      </c>
      <c r="D754" t="s">
        <v>1575</v>
      </c>
      <c r="E754" t="s">
        <v>18</v>
      </c>
      <c r="F754" t="s">
        <v>19</v>
      </c>
      <c r="H754" s="23" t="e">
        <f>VLOOKUP(A754,Revisión!$A$2:$L$703,6,FALSE)</f>
        <v>#N/A</v>
      </c>
      <c r="I754" s="4" t="e">
        <f>VLOOKUP(A754,Revisión!$A$2:$L$703,7,FALSE)</f>
        <v>#N/A</v>
      </c>
      <c r="J754" s="4" t="e">
        <f>VLOOKUP(A754,Revisión!$A$2:$L$703,8,FALSE)</f>
        <v>#N/A</v>
      </c>
      <c r="K754" s="4" t="e">
        <f>VLOOKUP(A754,Revisión!$A$2:$L$703,9,FALSE)</f>
        <v>#N/A</v>
      </c>
      <c r="L754" s="4" t="e">
        <f>VLOOKUP(A754,Revisión!$A$2:$L$703,10,FALSE)</f>
        <v>#N/A</v>
      </c>
      <c r="M754" s="18" t="e">
        <f>VLOOKUP(A754,Revisión!$A$2:$L$703,11,FALSE)</f>
        <v>#N/A</v>
      </c>
      <c r="N754" s="30" t="str">
        <f>IF(E754="Coinciden",D754,IF(E754="Revisar",VLOOKUP(A754,Revisión!$A$2:$L$703,12,FALSE),""))</f>
        <v>Echium wildpretii</v>
      </c>
    </row>
    <row r="755" spans="1:14" x14ac:dyDescent="0.3">
      <c r="A755" t="s">
        <v>1576</v>
      </c>
      <c r="B755" t="s">
        <v>1577</v>
      </c>
      <c r="C755" t="s">
        <v>1577</v>
      </c>
      <c r="D755" t="s">
        <v>1577</v>
      </c>
      <c r="E755" t="s">
        <v>18</v>
      </c>
      <c r="F755" t="s">
        <v>19</v>
      </c>
      <c r="H755" s="23" t="e">
        <f>VLOOKUP(A755,Revisión!$A$2:$L$703,6,FALSE)</f>
        <v>#N/A</v>
      </c>
      <c r="I755" s="4" t="e">
        <f>VLOOKUP(A755,Revisión!$A$2:$L$703,7,FALSE)</f>
        <v>#N/A</v>
      </c>
      <c r="J755" s="4" t="e">
        <f>VLOOKUP(A755,Revisión!$A$2:$L$703,8,FALSE)</f>
        <v>#N/A</v>
      </c>
      <c r="K755" s="4" t="e">
        <f>VLOOKUP(A755,Revisión!$A$2:$L$703,9,FALSE)</f>
        <v>#N/A</v>
      </c>
      <c r="L755" s="4" t="e">
        <f>VLOOKUP(A755,Revisión!$A$2:$L$703,10,FALSE)</f>
        <v>#N/A</v>
      </c>
      <c r="M755" s="18" t="e">
        <f>VLOOKUP(A755,Revisión!$A$2:$L$703,11,FALSE)</f>
        <v>#N/A</v>
      </c>
      <c r="N755" s="30" t="str">
        <f>IF(E755="Coinciden",D755,IF(E755="Revisar",VLOOKUP(A755,Revisión!$A$2:$L$703,12,FALSE),""))</f>
        <v>Echium aculeatum</v>
      </c>
    </row>
    <row r="756" spans="1:14" x14ac:dyDescent="0.3">
      <c r="A756" t="s">
        <v>1578</v>
      </c>
      <c r="B756" t="s">
        <v>1579</v>
      </c>
      <c r="C756" t="s">
        <v>1579</v>
      </c>
      <c r="D756" t="s">
        <v>1579</v>
      </c>
      <c r="E756" t="s">
        <v>18</v>
      </c>
      <c r="F756" t="s">
        <v>19</v>
      </c>
      <c r="H756" s="23" t="e">
        <f>VLOOKUP(A756,Revisión!$A$2:$L$703,6,FALSE)</f>
        <v>#N/A</v>
      </c>
      <c r="I756" s="4" t="e">
        <f>VLOOKUP(A756,Revisión!$A$2:$L$703,7,FALSE)</f>
        <v>#N/A</v>
      </c>
      <c r="J756" s="4" t="e">
        <f>VLOOKUP(A756,Revisión!$A$2:$L$703,8,FALSE)</f>
        <v>#N/A</v>
      </c>
      <c r="K756" s="4" t="e">
        <f>VLOOKUP(A756,Revisión!$A$2:$L$703,9,FALSE)</f>
        <v>#N/A</v>
      </c>
      <c r="L756" s="4" t="e">
        <f>VLOOKUP(A756,Revisión!$A$2:$L$703,10,FALSE)</f>
        <v>#N/A</v>
      </c>
      <c r="M756" s="18" t="e">
        <f>VLOOKUP(A756,Revisión!$A$2:$L$703,11,FALSE)</f>
        <v>#N/A</v>
      </c>
      <c r="N756" s="30" t="str">
        <f>IF(E756="Coinciden",D756,IF(E756="Revisar",VLOOKUP(A756,Revisión!$A$2:$L$703,12,FALSE),""))</f>
        <v>Echium vulgare</v>
      </c>
    </row>
    <row r="757" spans="1:14" x14ac:dyDescent="0.3">
      <c r="A757" t="s">
        <v>1580</v>
      </c>
      <c r="B757" t="s">
        <v>1581</v>
      </c>
      <c r="C757" t="s">
        <v>1581</v>
      </c>
      <c r="D757" t="s">
        <v>1581</v>
      </c>
      <c r="E757" t="s">
        <v>18</v>
      </c>
      <c r="F757" t="s">
        <v>19</v>
      </c>
      <c r="H757" s="23" t="e">
        <f>VLOOKUP(A757,Revisión!$A$2:$L$703,6,FALSE)</f>
        <v>#N/A</v>
      </c>
      <c r="I757" s="4" t="e">
        <f>VLOOKUP(A757,Revisión!$A$2:$L$703,7,FALSE)</f>
        <v>#N/A</v>
      </c>
      <c r="J757" s="4" t="e">
        <f>VLOOKUP(A757,Revisión!$A$2:$L$703,8,FALSE)</f>
        <v>#N/A</v>
      </c>
      <c r="K757" s="4" t="e">
        <f>VLOOKUP(A757,Revisión!$A$2:$L$703,9,FALSE)</f>
        <v>#N/A</v>
      </c>
      <c r="L757" s="4" t="e">
        <f>VLOOKUP(A757,Revisión!$A$2:$L$703,10,FALSE)</f>
        <v>#N/A</v>
      </c>
      <c r="M757" s="18" t="e">
        <f>VLOOKUP(A757,Revisión!$A$2:$L$703,11,FALSE)</f>
        <v>#N/A</v>
      </c>
      <c r="N757" s="30" t="str">
        <f>IF(E757="Coinciden",D757,IF(E757="Revisar",VLOOKUP(A757,Revisión!$A$2:$L$703,12,FALSE),""))</f>
        <v>Edgeworthia chrysantha</v>
      </c>
    </row>
    <row r="758" spans="1:14" x14ac:dyDescent="0.3">
      <c r="A758" t="s">
        <v>1582</v>
      </c>
      <c r="B758" t="s">
        <v>1583</v>
      </c>
      <c r="C758" t="s">
        <v>1583</v>
      </c>
      <c r="D758" t="s">
        <v>1583</v>
      </c>
      <c r="E758" t="s">
        <v>18</v>
      </c>
      <c r="F758" t="s">
        <v>19</v>
      </c>
      <c r="H758" s="23" t="e">
        <f>VLOOKUP(A758,Revisión!$A$2:$L$703,6,FALSE)</f>
        <v>#N/A</v>
      </c>
      <c r="I758" s="4" t="e">
        <f>VLOOKUP(A758,Revisión!$A$2:$L$703,7,FALSE)</f>
        <v>#N/A</v>
      </c>
      <c r="J758" s="4" t="e">
        <f>VLOOKUP(A758,Revisión!$A$2:$L$703,8,FALSE)</f>
        <v>#N/A</v>
      </c>
      <c r="K758" s="4" t="e">
        <f>VLOOKUP(A758,Revisión!$A$2:$L$703,9,FALSE)</f>
        <v>#N/A</v>
      </c>
      <c r="L758" s="4" t="e">
        <f>VLOOKUP(A758,Revisión!$A$2:$L$703,10,FALSE)</f>
        <v>#N/A</v>
      </c>
      <c r="M758" s="18" t="e">
        <f>VLOOKUP(A758,Revisión!$A$2:$L$703,11,FALSE)</f>
        <v>#N/A</v>
      </c>
      <c r="N758" s="30" t="str">
        <f>IF(E758="Coinciden",D758,IF(E758="Revisar",VLOOKUP(A758,Revisión!$A$2:$L$703,12,FALSE),""))</f>
        <v>Ehretia tinifolia</v>
      </c>
    </row>
    <row r="759" spans="1:14" x14ac:dyDescent="0.3">
      <c r="A759" t="s">
        <v>1584</v>
      </c>
      <c r="B759" t="s">
        <v>1585</v>
      </c>
      <c r="C759" t="s">
        <v>1585</v>
      </c>
      <c r="D759" t="s">
        <v>1585</v>
      </c>
      <c r="E759" t="s">
        <v>18</v>
      </c>
      <c r="F759" t="s">
        <v>19</v>
      </c>
      <c r="H759" s="23" t="e">
        <f>VLOOKUP(A759,Revisión!$A$2:$L$703,6,FALSE)</f>
        <v>#N/A</v>
      </c>
      <c r="I759" s="4" t="e">
        <f>VLOOKUP(A759,Revisión!$A$2:$L$703,7,FALSE)</f>
        <v>#N/A</v>
      </c>
      <c r="J759" s="4" t="e">
        <f>VLOOKUP(A759,Revisión!$A$2:$L$703,8,FALSE)</f>
        <v>#N/A</v>
      </c>
      <c r="K759" s="4" t="e">
        <f>VLOOKUP(A759,Revisión!$A$2:$L$703,9,FALSE)</f>
        <v>#N/A</v>
      </c>
      <c r="L759" s="4" t="e">
        <f>VLOOKUP(A759,Revisión!$A$2:$L$703,10,FALSE)</f>
        <v>#N/A</v>
      </c>
      <c r="M759" s="18" t="e">
        <f>VLOOKUP(A759,Revisión!$A$2:$L$703,11,FALSE)</f>
        <v>#N/A</v>
      </c>
      <c r="N759" s="30" t="str">
        <f>IF(E759="Coinciden",D759,IF(E759="Revisar",VLOOKUP(A759,Revisión!$A$2:$L$703,12,FALSE),""))</f>
        <v>Elaeagnus multiflora</v>
      </c>
    </row>
    <row r="760" spans="1:14" x14ac:dyDescent="0.3">
      <c r="A760" t="s">
        <v>1586</v>
      </c>
      <c r="B760" t="s">
        <v>1587</v>
      </c>
      <c r="C760" t="s">
        <v>1587</v>
      </c>
      <c r="D760" t="s">
        <v>1587</v>
      </c>
      <c r="E760" t="s">
        <v>18</v>
      </c>
      <c r="F760" t="s">
        <v>19</v>
      </c>
      <c r="H760" s="23" t="e">
        <f>VLOOKUP(A760,Revisión!$A$2:$L$703,6,FALSE)</f>
        <v>#N/A</v>
      </c>
      <c r="I760" s="4" t="e">
        <f>VLOOKUP(A760,Revisión!$A$2:$L$703,7,FALSE)</f>
        <v>#N/A</v>
      </c>
      <c r="J760" s="4" t="e">
        <f>VLOOKUP(A760,Revisión!$A$2:$L$703,8,FALSE)</f>
        <v>#N/A</v>
      </c>
      <c r="K760" s="4" t="e">
        <f>VLOOKUP(A760,Revisión!$A$2:$L$703,9,FALSE)</f>
        <v>#N/A</v>
      </c>
      <c r="L760" s="4" t="e">
        <f>VLOOKUP(A760,Revisión!$A$2:$L$703,10,FALSE)</f>
        <v>#N/A</v>
      </c>
      <c r="M760" s="18" t="e">
        <f>VLOOKUP(A760,Revisión!$A$2:$L$703,11,FALSE)</f>
        <v>#N/A</v>
      </c>
      <c r="N760" s="30" t="str">
        <f>IF(E760="Coinciden",D760,IF(E760="Revisar",VLOOKUP(A760,Revisión!$A$2:$L$703,12,FALSE),""))</f>
        <v>Elaeagnus montana</v>
      </c>
    </row>
    <row r="761" spans="1:14" x14ac:dyDescent="0.3">
      <c r="A761" t="s">
        <v>1588</v>
      </c>
      <c r="B761" t="s">
        <v>1589</v>
      </c>
      <c r="D761" t="s">
        <v>1589</v>
      </c>
      <c r="E761" t="s">
        <v>8</v>
      </c>
      <c r="F761" t="s">
        <v>34</v>
      </c>
      <c r="H761" s="23" t="str">
        <f>VLOOKUP(A761,Revisión!$A$2:$L$703,6,FALSE)</f>
        <v>Elaeocarpus japonicus</v>
      </c>
      <c r="I761" s="4" t="str">
        <f>VLOOKUP(A761,Revisión!$A$2:$L$703,7,FALSE)</f>
        <v>-</v>
      </c>
      <c r="J761" s="4" t="str">
        <f>VLOOKUP(A761,Revisión!$A$2:$L$703,8,FALSE)</f>
        <v>Elaeocarpus japonicus</v>
      </c>
      <c r="K761" s="4" t="str">
        <f>VLOOKUP(A761,Revisión!$A$2:$L$703,9,FALSE)</f>
        <v>Elaeocarpus japonicus</v>
      </c>
      <c r="L761" s="4" t="str">
        <f>VLOOKUP(A761,Revisión!$A$2:$L$703,10,FALSE)</f>
        <v>Elaeocarpus japonicus</v>
      </c>
      <c r="M761" s="18">
        <f>VLOOKUP(A761,Revisión!$A$2:$L$703,11,FALSE)</f>
        <v>4</v>
      </c>
      <c r="N761" s="30" t="str">
        <f>IF(E761="Coinciden",D761,IF(E761="Revisar",VLOOKUP(A761,Revisión!$A$2:$L$703,12,FALSE),""))</f>
        <v>Elaeocarpus japonicus</v>
      </c>
    </row>
    <row r="762" spans="1:14" x14ac:dyDescent="0.3">
      <c r="A762" t="s">
        <v>1590</v>
      </c>
      <c r="B762" t="s">
        <v>1591</v>
      </c>
      <c r="C762" t="s">
        <v>1591</v>
      </c>
      <c r="D762" t="s">
        <v>1591</v>
      </c>
      <c r="E762" t="s">
        <v>18</v>
      </c>
      <c r="F762" t="s">
        <v>19</v>
      </c>
      <c r="H762" s="23" t="e">
        <f>VLOOKUP(A762,Revisión!$A$2:$L$703,6,FALSE)</f>
        <v>#N/A</v>
      </c>
      <c r="I762" s="4" t="e">
        <f>VLOOKUP(A762,Revisión!$A$2:$L$703,7,FALSE)</f>
        <v>#N/A</v>
      </c>
      <c r="J762" s="4" t="e">
        <f>VLOOKUP(A762,Revisión!$A$2:$L$703,8,FALSE)</f>
        <v>#N/A</v>
      </c>
      <c r="K762" s="4" t="e">
        <f>VLOOKUP(A762,Revisión!$A$2:$L$703,9,FALSE)</f>
        <v>#N/A</v>
      </c>
      <c r="L762" s="4" t="e">
        <f>VLOOKUP(A762,Revisión!$A$2:$L$703,10,FALSE)</f>
        <v>#N/A</v>
      </c>
      <c r="M762" s="18" t="e">
        <f>VLOOKUP(A762,Revisión!$A$2:$L$703,11,FALSE)</f>
        <v>#N/A</v>
      </c>
      <c r="N762" s="30" t="str">
        <f>IF(E762="Coinciden",D762,IF(E762="Revisar",VLOOKUP(A762,Revisión!$A$2:$L$703,12,FALSE),""))</f>
        <v>Elaeocarpus sylvestris</v>
      </c>
    </row>
    <row r="763" spans="1:14" x14ac:dyDescent="0.3">
      <c r="A763" t="s">
        <v>1592</v>
      </c>
      <c r="B763" t="s">
        <v>1593</v>
      </c>
      <c r="C763" t="s">
        <v>1593</v>
      </c>
      <c r="D763" t="s">
        <v>1593</v>
      </c>
      <c r="E763" t="s">
        <v>18</v>
      </c>
      <c r="F763" t="s">
        <v>19</v>
      </c>
      <c r="H763" s="23" t="e">
        <f>VLOOKUP(A763,Revisión!$A$2:$L$703,6,FALSE)</f>
        <v>#N/A</v>
      </c>
      <c r="I763" s="4" t="e">
        <f>VLOOKUP(A763,Revisión!$A$2:$L$703,7,FALSE)</f>
        <v>#N/A</v>
      </c>
      <c r="J763" s="4" t="e">
        <f>VLOOKUP(A763,Revisión!$A$2:$L$703,8,FALSE)</f>
        <v>#N/A</v>
      </c>
      <c r="K763" s="4" t="e">
        <f>VLOOKUP(A763,Revisión!$A$2:$L$703,9,FALSE)</f>
        <v>#N/A</v>
      </c>
      <c r="L763" s="4" t="e">
        <f>VLOOKUP(A763,Revisión!$A$2:$L$703,10,FALSE)</f>
        <v>#N/A</v>
      </c>
      <c r="M763" s="18" t="e">
        <f>VLOOKUP(A763,Revisión!$A$2:$L$703,11,FALSE)</f>
        <v>#N/A</v>
      </c>
      <c r="N763" s="30" t="str">
        <f>IF(E763="Coinciden",D763,IF(E763="Revisar",VLOOKUP(A763,Revisión!$A$2:$L$703,12,FALSE),""))</f>
        <v>Pedicularis groenlandica</v>
      </c>
    </row>
    <row r="764" spans="1:14" x14ac:dyDescent="0.3">
      <c r="A764" t="s">
        <v>1594</v>
      </c>
      <c r="C764" t="s">
        <v>1595</v>
      </c>
      <c r="D764" t="s">
        <v>1595</v>
      </c>
      <c r="E764" t="s">
        <v>8</v>
      </c>
      <c r="F764" t="s">
        <v>49</v>
      </c>
      <c r="H764" s="23" t="str">
        <f>VLOOKUP(A764,Revisión!$A$2:$L$703,6,FALSE)</f>
        <v>Ellisia nyctelea</v>
      </c>
      <c r="I764" s="4" t="str">
        <f>VLOOKUP(A764,Revisión!$A$2:$L$703,7,FALSE)</f>
        <v>-</v>
      </c>
      <c r="J764" s="4" t="str">
        <f>VLOOKUP(A764,Revisión!$A$2:$L$703,8,FALSE)</f>
        <v>Ellisia nyctelea</v>
      </c>
      <c r="K764" s="4" t="str">
        <f>VLOOKUP(A764,Revisión!$A$2:$L$703,9,FALSE)</f>
        <v>Ellisia nyctelea</v>
      </c>
      <c r="L764" s="4" t="str">
        <f>VLOOKUP(A764,Revisión!$A$2:$L$703,10,FALSE)</f>
        <v>Ellisia nyctelea</v>
      </c>
      <c r="M764" s="18">
        <f>VLOOKUP(A764,Revisión!$A$2:$L$703,11,FALSE)</f>
        <v>4</v>
      </c>
      <c r="N764" s="30" t="str">
        <f>IF(E764="Coinciden",D764,IF(E764="Revisar",VLOOKUP(A764,Revisión!$A$2:$L$703,12,FALSE),""))</f>
        <v>Ellisia nyctelea</v>
      </c>
    </row>
    <row r="765" spans="1:14" x14ac:dyDescent="0.3">
      <c r="A765" t="s">
        <v>1596</v>
      </c>
      <c r="B765" t="s">
        <v>1597</v>
      </c>
      <c r="C765" t="s">
        <v>1597</v>
      </c>
      <c r="D765" t="s">
        <v>1597</v>
      </c>
      <c r="E765" t="s">
        <v>18</v>
      </c>
      <c r="F765" t="s">
        <v>19</v>
      </c>
      <c r="H765" s="23" t="e">
        <f>VLOOKUP(A765,Revisión!$A$2:$L$703,6,FALSE)</f>
        <v>#N/A</v>
      </c>
      <c r="I765" s="4" t="e">
        <f>VLOOKUP(A765,Revisión!$A$2:$L$703,7,FALSE)</f>
        <v>#N/A</v>
      </c>
      <c r="J765" s="4" t="e">
        <f>VLOOKUP(A765,Revisión!$A$2:$L$703,8,FALSE)</f>
        <v>#N/A</v>
      </c>
      <c r="K765" s="4" t="e">
        <f>VLOOKUP(A765,Revisión!$A$2:$L$703,9,FALSE)</f>
        <v>#N/A</v>
      </c>
      <c r="L765" s="4" t="e">
        <f>VLOOKUP(A765,Revisión!$A$2:$L$703,10,FALSE)</f>
        <v>#N/A</v>
      </c>
      <c r="M765" s="18" t="e">
        <f>VLOOKUP(A765,Revisión!$A$2:$L$703,11,FALSE)</f>
        <v>#N/A</v>
      </c>
      <c r="N765" s="30" t="str">
        <f>IF(E765="Coinciden",D765,IF(E765="Revisar",VLOOKUP(A765,Revisión!$A$2:$L$703,12,FALSE),""))</f>
        <v>Embelia angustifolia</v>
      </c>
    </row>
    <row r="766" spans="1:14" x14ac:dyDescent="0.3">
      <c r="A766" t="s">
        <v>1598</v>
      </c>
      <c r="B766" t="s">
        <v>1599</v>
      </c>
      <c r="C766" t="s">
        <v>1599</v>
      </c>
      <c r="D766" t="s">
        <v>1599</v>
      </c>
      <c r="E766" t="s">
        <v>18</v>
      </c>
      <c r="F766" t="s">
        <v>19</v>
      </c>
      <c r="H766" s="23" t="e">
        <f>VLOOKUP(A766,Revisión!$A$2:$L$703,6,FALSE)</f>
        <v>#N/A</v>
      </c>
      <c r="I766" s="4" t="e">
        <f>VLOOKUP(A766,Revisión!$A$2:$L$703,7,FALSE)</f>
        <v>#N/A</v>
      </c>
      <c r="J766" s="4" t="e">
        <f>VLOOKUP(A766,Revisión!$A$2:$L$703,8,FALSE)</f>
        <v>#N/A</v>
      </c>
      <c r="K766" s="4" t="e">
        <f>VLOOKUP(A766,Revisión!$A$2:$L$703,9,FALSE)</f>
        <v>#N/A</v>
      </c>
      <c r="L766" s="4" t="e">
        <f>VLOOKUP(A766,Revisión!$A$2:$L$703,10,FALSE)</f>
        <v>#N/A</v>
      </c>
      <c r="M766" s="18" t="e">
        <f>VLOOKUP(A766,Revisión!$A$2:$L$703,11,FALSE)</f>
        <v>#N/A</v>
      </c>
      <c r="N766" s="30" t="str">
        <f>IF(E766="Coinciden",D766,IF(E766="Revisar",VLOOKUP(A766,Revisión!$A$2:$L$703,12,FALSE),""))</f>
        <v>Embothrium coccineum</v>
      </c>
    </row>
    <row r="767" spans="1:14" x14ac:dyDescent="0.3">
      <c r="A767" t="s">
        <v>1600</v>
      </c>
      <c r="B767" t="s">
        <v>1601</v>
      </c>
      <c r="C767" t="s">
        <v>1601</v>
      </c>
      <c r="D767" t="s">
        <v>1601</v>
      </c>
      <c r="E767" t="s">
        <v>18</v>
      </c>
      <c r="F767" t="s">
        <v>19</v>
      </c>
      <c r="H767" s="23" t="e">
        <f>VLOOKUP(A767,Revisión!$A$2:$L$703,6,FALSE)</f>
        <v>#N/A</v>
      </c>
      <c r="I767" s="4" t="e">
        <f>VLOOKUP(A767,Revisión!$A$2:$L$703,7,FALSE)</f>
        <v>#N/A</v>
      </c>
      <c r="J767" s="4" t="e">
        <f>VLOOKUP(A767,Revisión!$A$2:$L$703,8,FALSE)</f>
        <v>#N/A</v>
      </c>
      <c r="K767" s="4" t="e">
        <f>VLOOKUP(A767,Revisión!$A$2:$L$703,9,FALSE)</f>
        <v>#N/A</v>
      </c>
      <c r="L767" s="4" t="e">
        <f>VLOOKUP(A767,Revisión!$A$2:$L$703,10,FALSE)</f>
        <v>#N/A</v>
      </c>
      <c r="M767" s="18" t="e">
        <f>VLOOKUP(A767,Revisión!$A$2:$L$703,11,FALSE)</f>
        <v>#N/A</v>
      </c>
      <c r="N767" s="30" t="str">
        <f>IF(E767="Coinciden",D767,IF(E767="Revisar",VLOOKUP(A767,Revisión!$A$2:$L$703,12,FALSE),""))</f>
        <v>Empetrum nigrum</v>
      </c>
    </row>
    <row r="768" spans="1:14" x14ac:dyDescent="0.3">
      <c r="A768" t="s">
        <v>1602</v>
      </c>
      <c r="B768" t="s">
        <v>1603</v>
      </c>
      <c r="C768" t="s">
        <v>1603</v>
      </c>
      <c r="D768" t="s">
        <v>1603</v>
      </c>
      <c r="E768" t="s">
        <v>18</v>
      </c>
      <c r="F768" t="s">
        <v>19</v>
      </c>
      <c r="H768" s="23" t="e">
        <f>VLOOKUP(A768,Revisión!$A$2:$L$703,6,FALSE)</f>
        <v>#N/A</v>
      </c>
      <c r="I768" s="4" t="e">
        <f>VLOOKUP(A768,Revisión!$A$2:$L$703,7,FALSE)</f>
        <v>#N/A</v>
      </c>
      <c r="J768" s="4" t="e">
        <f>VLOOKUP(A768,Revisión!$A$2:$L$703,8,FALSE)</f>
        <v>#N/A</v>
      </c>
      <c r="K768" s="4" t="e">
        <f>VLOOKUP(A768,Revisión!$A$2:$L$703,9,FALSE)</f>
        <v>#N/A</v>
      </c>
      <c r="L768" s="4" t="e">
        <f>VLOOKUP(A768,Revisión!$A$2:$L$703,10,FALSE)</f>
        <v>#N/A</v>
      </c>
      <c r="M768" s="18" t="e">
        <f>VLOOKUP(A768,Revisión!$A$2:$L$703,11,FALSE)</f>
        <v>#N/A</v>
      </c>
      <c r="N768" s="30" t="str">
        <f>IF(E768="Coinciden",D768,IF(E768="Revisar",VLOOKUP(A768,Revisión!$A$2:$L$703,12,FALSE),""))</f>
        <v>Encelia hispida</v>
      </c>
    </row>
    <row r="769" spans="1:14" x14ac:dyDescent="0.3">
      <c r="A769" t="s">
        <v>1604</v>
      </c>
      <c r="B769" t="s">
        <v>1605</v>
      </c>
      <c r="C769" t="s">
        <v>1605</v>
      </c>
      <c r="D769" t="s">
        <v>1605</v>
      </c>
      <c r="E769" t="s">
        <v>18</v>
      </c>
      <c r="F769" t="s">
        <v>19</v>
      </c>
      <c r="H769" s="23" t="e">
        <f>VLOOKUP(A769,Revisión!$A$2:$L$703,6,FALSE)</f>
        <v>#N/A</v>
      </c>
      <c r="I769" s="4" t="e">
        <f>VLOOKUP(A769,Revisión!$A$2:$L$703,7,FALSE)</f>
        <v>#N/A</v>
      </c>
      <c r="J769" s="4" t="e">
        <f>VLOOKUP(A769,Revisión!$A$2:$L$703,8,FALSE)</f>
        <v>#N/A</v>
      </c>
      <c r="K769" s="4" t="e">
        <f>VLOOKUP(A769,Revisión!$A$2:$L$703,9,FALSE)</f>
        <v>#N/A</v>
      </c>
      <c r="L769" s="4" t="e">
        <f>VLOOKUP(A769,Revisión!$A$2:$L$703,10,FALSE)</f>
        <v>#N/A</v>
      </c>
      <c r="M769" s="18" t="e">
        <f>VLOOKUP(A769,Revisión!$A$2:$L$703,11,FALSE)</f>
        <v>#N/A</v>
      </c>
      <c r="N769" s="30" t="str">
        <f>IF(E769="Coinciden",D769,IF(E769="Revisar",VLOOKUP(A769,Revisión!$A$2:$L$703,12,FALSE),""))</f>
        <v>Enkianthus perulatus</v>
      </c>
    </row>
    <row r="770" spans="1:14" x14ac:dyDescent="0.3">
      <c r="A770" t="s">
        <v>1606</v>
      </c>
      <c r="B770" t="s">
        <v>1607</v>
      </c>
      <c r="C770" t="s">
        <v>1607</v>
      </c>
      <c r="D770" t="s">
        <v>1607</v>
      </c>
      <c r="E770" t="s">
        <v>18</v>
      </c>
      <c r="F770" t="s">
        <v>19</v>
      </c>
      <c r="H770" s="23" t="e">
        <f>VLOOKUP(A770,Revisión!$A$2:$L$703,6,FALSE)</f>
        <v>#N/A</v>
      </c>
      <c r="I770" s="4" t="e">
        <f>VLOOKUP(A770,Revisión!$A$2:$L$703,7,FALSE)</f>
        <v>#N/A</v>
      </c>
      <c r="J770" s="4" t="e">
        <f>VLOOKUP(A770,Revisión!$A$2:$L$703,8,FALSE)</f>
        <v>#N/A</v>
      </c>
      <c r="K770" s="4" t="e">
        <f>VLOOKUP(A770,Revisión!$A$2:$L$703,9,FALSE)</f>
        <v>#N/A</v>
      </c>
      <c r="L770" s="4" t="e">
        <f>VLOOKUP(A770,Revisión!$A$2:$L$703,10,FALSE)</f>
        <v>#N/A</v>
      </c>
      <c r="M770" s="18" t="e">
        <f>VLOOKUP(A770,Revisión!$A$2:$L$703,11,FALSE)</f>
        <v>#N/A</v>
      </c>
      <c r="N770" s="30" t="str">
        <f>IF(E770="Coinciden",D770,IF(E770="Revisar",VLOOKUP(A770,Revisión!$A$2:$L$703,12,FALSE),""))</f>
        <v>Enkianthus campanulatus</v>
      </c>
    </row>
    <row r="771" spans="1:14" x14ac:dyDescent="0.3">
      <c r="A771" t="s">
        <v>1608</v>
      </c>
      <c r="B771" t="s">
        <v>1609</v>
      </c>
      <c r="D771" t="s">
        <v>1609</v>
      </c>
      <c r="E771" t="s">
        <v>8</v>
      </c>
      <c r="F771" t="s">
        <v>34</v>
      </c>
      <c r="H771" s="23" t="str">
        <f>VLOOKUP(A771,Revisión!$A$2:$L$703,6,FALSE)</f>
        <v>Epacris microphylla</v>
      </c>
      <c r="I771" s="4" t="str">
        <f>VLOOKUP(A771,Revisión!$A$2:$L$703,7,FALSE)</f>
        <v>-</v>
      </c>
      <c r="J771" s="4" t="str">
        <f>VLOOKUP(A771,Revisión!$A$2:$L$703,8,FALSE)</f>
        <v>Epacris microphylla</v>
      </c>
      <c r="K771" s="4" t="str">
        <f>VLOOKUP(A771,Revisión!$A$2:$L$703,9,FALSE)</f>
        <v>Epacris microphylla</v>
      </c>
      <c r="L771" s="4" t="str">
        <f>VLOOKUP(A771,Revisión!$A$2:$L$703,10,FALSE)</f>
        <v>Epacris microphylla</v>
      </c>
      <c r="M771" s="18">
        <f>VLOOKUP(A771,Revisión!$A$2:$L$703,11,FALSE)</f>
        <v>4</v>
      </c>
      <c r="N771" s="30" t="str">
        <f>IF(E771="Coinciden",D771,IF(E771="Revisar",VLOOKUP(A771,Revisión!$A$2:$L$703,12,FALSE),""))</f>
        <v>Epacris microphylla</v>
      </c>
    </row>
    <row r="772" spans="1:14" x14ac:dyDescent="0.3">
      <c r="A772" t="s">
        <v>1610</v>
      </c>
      <c r="B772" t="s">
        <v>1611</v>
      </c>
      <c r="C772" t="s">
        <v>1611</v>
      </c>
      <c r="D772" t="s">
        <v>1611</v>
      </c>
      <c r="E772" t="s">
        <v>18</v>
      </c>
      <c r="F772" t="s">
        <v>19</v>
      </c>
      <c r="H772" s="23" t="e">
        <f>VLOOKUP(A772,Revisión!$A$2:$L$703,6,FALSE)</f>
        <v>#N/A</v>
      </c>
      <c r="I772" s="4" t="e">
        <f>VLOOKUP(A772,Revisión!$A$2:$L$703,7,FALSE)</f>
        <v>#N/A</v>
      </c>
      <c r="J772" s="4" t="e">
        <f>VLOOKUP(A772,Revisión!$A$2:$L$703,8,FALSE)</f>
        <v>#N/A</v>
      </c>
      <c r="K772" s="4" t="e">
        <f>VLOOKUP(A772,Revisión!$A$2:$L$703,9,FALSE)</f>
        <v>#N/A</v>
      </c>
      <c r="L772" s="4" t="e">
        <f>VLOOKUP(A772,Revisión!$A$2:$L$703,10,FALSE)</f>
        <v>#N/A</v>
      </c>
      <c r="M772" s="18" t="e">
        <f>VLOOKUP(A772,Revisión!$A$2:$L$703,11,FALSE)</f>
        <v>#N/A</v>
      </c>
      <c r="N772" s="30" t="str">
        <f>IF(E772="Coinciden",D772,IF(E772="Revisar",VLOOKUP(A772,Revisión!$A$2:$L$703,12,FALSE),""))</f>
        <v>Epacris petrophila</v>
      </c>
    </row>
    <row r="773" spans="1:14" x14ac:dyDescent="0.3">
      <c r="A773" t="s">
        <v>1612</v>
      </c>
      <c r="B773" t="s">
        <v>1613</v>
      </c>
      <c r="C773" t="s">
        <v>1613</v>
      </c>
      <c r="D773" t="s">
        <v>1613</v>
      </c>
      <c r="E773" t="s">
        <v>18</v>
      </c>
      <c r="F773" t="s">
        <v>19</v>
      </c>
      <c r="H773" s="23" t="e">
        <f>VLOOKUP(A773,Revisión!$A$2:$L$703,6,FALSE)</f>
        <v>#N/A</v>
      </c>
      <c r="I773" s="4" t="e">
        <f>VLOOKUP(A773,Revisión!$A$2:$L$703,7,FALSE)</f>
        <v>#N/A</v>
      </c>
      <c r="J773" s="4" t="e">
        <f>VLOOKUP(A773,Revisión!$A$2:$L$703,8,FALSE)</f>
        <v>#N/A</v>
      </c>
      <c r="K773" s="4" t="e">
        <f>VLOOKUP(A773,Revisión!$A$2:$L$703,9,FALSE)</f>
        <v>#N/A</v>
      </c>
      <c r="L773" s="4" t="e">
        <f>VLOOKUP(A773,Revisión!$A$2:$L$703,10,FALSE)</f>
        <v>#N/A</v>
      </c>
      <c r="M773" s="18" t="e">
        <f>VLOOKUP(A773,Revisión!$A$2:$L$703,11,FALSE)</f>
        <v>#N/A</v>
      </c>
      <c r="N773" s="30" t="str">
        <f>IF(E773="Coinciden",D773,IF(E773="Revisar",VLOOKUP(A773,Revisión!$A$2:$L$703,12,FALSE),""))</f>
        <v>Epidendrum ibaguense</v>
      </c>
    </row>
    <row r="774" spans="1:14" x14ac:dyDescent="0.3">
      <c r="A774" t="s">
        <v>1614</v>
      </c>
      <c r="D774" t="s">
        <v>1615</v>
      </c>
      <c r="E774" t="s">
        <v>8</v>
      </c>
      <c r="F774" t="s">
        <v>9</v>
      </c>
      <c r="H774" s="23" t="str">
        <f>VLOOKUP(A774,Revisión!$A$2:$L$703,6,FALSE)</f>
        <v>-</v>
      </c>
      <c r="I774" s="4" t="str">
        <f>VLOOKUP(A774,Revisión!$A$2:$L$703,7,FALSE)</f>
        <v>-</v>
      </c>
      <c r="J774" s="4" t="str">
        <f>VLOOKUP(A774,Revisión!$A$2:$L$703,8,FALSE)</f>
        <v>Epilobium latifolium </v>
      </c>
      <c r="K774" s="4" t="str">
        <f>VLOOKUP(A774,Revisión!$A$2:$L$703,9,FALSE)</f>
        <v>Chamaenerion angustifolium subsp. angustifolium</v>
      </c>
      <c r="L774" s="4" t="str">
        <f>VLOOKUP(A774,Revisión!$A$2:$L$703,10,FALSE)</f>
        <v>Chamaenerion angustifolium subsp. angustifolium</v>
      </c>
      <c r="M774" s="18">
        <f>VLOOKUP(A774,Revisión!$A$2:$L$703,11,FALSE)</f>
        <v>2</v>
      </c>
      <c r="N774" s="30" t="str">
        <f>IF(E774="Coinciden",D774,IF(E774="Revisar",VLOOKUP(A774,Revisión!$A$2:$L$703,12,FALSE),""))</f>
        <v>Chamaenerion angustifolium subsp. angustifolium</v>
      </c>
    </row>
    <row r="775" spans="1:14" x14ac:dyDescent="0.3">
      <c r="A775" t="s">
        <v>1616</v>
      </c>
      <c r="E775" t="s">
        <v>8</v>
      </c>
      <c r="F775" t="s">
        <v>11</v>
      </c>
      <c r="H775" s="23" t="e">
        <f>VLOOKUP(A775,Revisión!$A$2:$L$703,6,FALSE)</f>
        <v>#N/A</v>
      </c>
      <c r="I775" s="4" t="e">
        <f>VLOOKUP(A775,Revisión!$A$2:$L$703,7,FALSE)</f>
        <v>#N/A</v>
      </c>
      <c r="J775" s="4" t="e">
        <f>VLOOKUP(A775,Revisión!$A$2:$L$703,8,FALSE)</f>
        <v>#N/A</v>
      </c>
      <c r="K775" s="4" t="e">
        <f>VLOOKUP(A775,Revisión!$A$2:$L$703,9,FALSE)</f>
        <v>#N/A</v>
      </c>
      <c r="L775" s="4" t="e">
        <f>VLOOKUP(A775,Revisión!$A$2:$L$703,10,FALSE)</f>
        <v>#N/A</v>
      </c>
      <c r="M775" s="18" t="e">
        <f>VLOOKUP(A775,Revisión!$A$2:$L$703,11,FALSE)</f>
        <v>#N/A</v>
      </c>
      <c r="N775" s="30" t="e">
        <f>IF(E775="Coinciden",D775,IF(E775="Revisar",VLOOKUP(A775,Revisión!$A$2:$L$703,12,FALSE),""))</f>
        <v>#N/A</v>
      </c>
    </row>
    <row r="776" spans="1:14" x14ac:dyDescent="0.3">
      <c r="A776" t="s">
        <v>1617</v>
      </c>
      <c r="E776" t="s">
        <v>8</v>
      </c>
      <c r="F776" t="s">
        <v>11</v>
      </c>
      <c r="H776" s="23" t="e">
        <f>VLOOKUP(A776,Revisión!$A$2:$L$703,6,FALSE)</f>
        <v>#N/A</v>
      </c>
      <c r="I776" s="4" t="e">
        <f>VLOOKUP(A776,Revisión!$A$2:$L$703,7,FALSE)</f>
        <v>#N/A</v>
      </c>
      <c r="J776" s="4" t="e">
        <f>VLOOKUP(A776,Revisión!$A$2:$L$703,8,FALSE)</f>
        <v>#N/A</v>
      </c>
      <c r="K776" s="4" t="e">
        <f>VLOOKUP(A776,Revisión!$A$2:$L$703,9,FALSE)</f>
        <v>#N/A</v>
      </c>
      <c r="L776" s="4" t="e">
        <f>VLOOKUP(A776,Revisión!$A$2:$L$703,10,FALSE)</f>
        <v>#N/A</v>
      </c>
      <c r="M776" s="18" t="e">
        <f>VLOOKUP(A776,Revisión!$A$2:$L$703,11,FALSE)</f>
        <v>#N/A</v>
      </c>
      <c r="N776" s="30" t="e">
        <f>IF(E776="Coinciden",D776,IF(E776="Revisar",VLOOKUP(A776,Revisión!$A$2:$L$703,12,FALSE),""))</f>
        <v>#N/A</v>
      </c>
    </row>
    <row r="777" spans="1:14" x14ac:dyDescent="0.3">
      <c r="A777" t="s">
        <v>1618</v>
      </c>
      <c r="B777" t="s">
        <v>1619</v>
      </c>
      <c r="C777" t="s">
        <v>1619</v>
      </c>
      <c r="D777" t="s">
        <v>1619</v>
      </c>
      <c r="E777" t="s">
        <v>18</v>
      </c>
      <c r="F777" t="s">
        <v>19</v>
      </c>
      <c r="H777" s="23" t="e">
        <f>VLOOKUP(A777,Revisión!$A$2:$L$703,6,FALSE)</f>
        <v>#N/A</v>
      </c>
      <c r="I777" s="4" t="e">
        <f>VLOOKUP(A777,Revisión!$A$2:$L$703,7,FALSE)</f>
        <v>#N/A</v>
      </c>
      <c r="J777" s="4" t="e">
        <f>VLOOKUP(A777,Revisión!$A$2:$L$703,8,FALSE)</f>
        <v>#N/A</v>
      </c>
      <c r="K777" s="4" t="e">
        <f>VLOOKUP(A777,Revisión!$A$2:$L$703,9,FALSE)</f>
        <v>#N/A</v>
      </c>
      <c r="L777" s="4" t="e">
        <f>VLOOKUP(A777,Revisión!$A$2:$L$703,10,FALSE)</f>
        <v>#N/A</v>
      </c>
      <c r="M777" s="18" t="e">
        <f>VLOOKUP(A777,Revisión!$A$2:$L$703,11,FALSE)</f>
        <v>#N/A</v>
      </c>
      <c r="N777" s="30" t="str">
        <f>IF(E777="Coinciden",D777,IF(E777="Revisar",VLOOKUP(A777,Revisión!$A$2:$L$703,12,FALSE),""))</f>
        <v>Epilobium gunnianum</v>
      </c>
    </row>
    <row r="778" spans="1:14" x14ac:dyDescent="0.3">
      <c r="A778" t="s">
        <v>1620</v>
      </c>
      <c r="B778" t="s">
        <v>1621</v>
      </c>
      <c r="C778" t="s">
        <v>1621</v>
      </c>
      <c r="D778" t="s">
        <v>1621</v>
      </c>
      <c r="E778" t="s">
        <v>18</v>
      </c>
      <c r="F778" t="s">
        <v>19</v>
      </c>
      <c r="H778" s="23" t="e">
        <f>VLOOKUP(A778,Revisión!$A$2:$L$703,6,FALSE)</f>
        <v>#N/A</v>
      </c>
      <c r="I778" s="4" t="e">
        <f>VLOOKUP(A778,Revisión!$A$2:$L$703,7,FALSE)</f>
        <v>#N/A</v>
      </c>
      <c r="J778" s="4" t="e">
        <f>VLOOKUP(A778,Revisión!$A$2:$L$703,8,FALSE)</f>
        <v>#N/A</v>
      </c>
      <c r="K778" s="4" t="e">
        <f>VLOOKUP(A778,Revisión!$A$2:$L$703,9,FALSE)</f>
        <v>#N/A</v>
      </c>
      <c r="L778" s="4" t="e">
        <f>VLOOKUP(A778,Revisión!$A$2:$L$703,10,FALSE)</f>
        <v>#N/A</v>
      </c>
      <c r="M778" s="18" t="e">
        <f>VLOOKUP(A778,Revisión!$A$2:$L$703,11,FALSE)</f>
        <v>#N/A</v>
      </c>
      <c r="N778" s="30" t="str">
        <f>IF(E778="Coinciden",D778,IF(E778="Revisar",VLOOKUP(A778,Revisión!$A$2:$L$703,12,FALSE),""))</f>
        <v>Epilobium hirsutum</v>
      </c>
    </row>
    <row r="779" spans="1:14" x14ac:dyDescent="0.3">
      <c r="A779" t="s">
        <v>1622</v>
      </c>
      <c r="B779" t="s">
        <v>1623</v>
      </c>
      <c r="C779" t="s">
        <v>1623</v>
      </c>
      <c r="D779" t="s">
        <v>1623</v>
      </c>
      <c r="E779" t="s">
        <v>18</v>
      </c>
      <c r="F779" t="s">
        <v>19</v>
      </c>
      <c r="H779" s="23" t="e">
        <f>VLOOKUP(A779,Revisión!$A$2:$L$703,6,FALSE)</f>
        <v>#N/A</v>
      </c>
      <c r="I779" s="4" t="e">
        <f>VLOOKUP(A779,Revisión!$A$2:$L$703,7,FALSE)</f>
        <v>#N/A</v>
      </c>
      <c r="J779" s="4" t="e">
        <f>VLOOKUP(A779,Revisión!$A$2:$L$703,8,FALSE)</f>
        <v>#N/A</v>
      </c>
      <c r="K779" s="4" t="e">
        <f>VLOOKUP(A779,Revisión!$A$2:$L$703,9,FALSE)</f>
        <v>#N/A</v>
      </c>
      <c r="L779" s="4" t="e">
        <f>VLOOKUP(A779,Revisión!$A$2:$L$703,10,FALSE)</f>
        <v>#N/A</v>
      </c>
      <c r="M779" s="18" t="e">
        <f>VLOOKUP(A779,Revisión!$A$2:$L$703,11,FALSE)</f>
        <v>#N/A</v>
      </c>
      <c r="N779" s="30" t="str">
        <f>IF(E779="Coinciden",D779,IF(E779="Revisar",VLOOKUP(A779,Revisión!$A$2:$L$703,12,FALSE),""))</f>
        <v>Epilobium nivale</v>
      </c>
    </row>
    <row r="780" spans="1:14" x14ac:dyDescent="0.3">
      <c r="A780" t="s">
        <v>1624</v>
      </c>
      <c r="E780" t="s">
        <v>8</v>
      </c>
      <c r="F780" t="s">
        <v>11</v>
      </c>
      <c r="H780" s="23" t="e">
        <f>VLOOKUP(A780,Revisión!$A$2:$L$703,6,FALSE)</f>
        <v>#N/A</v>
      </c>
      <c r="I780" s="4" t="e">
        <f>VLOOKUP(A780,Revisión!$A$2:$L$703,7,FALSE)</f>
        <v>#N/A</v>
      </c>
      <c r="J780" s="4" t="e">
        <f>VLOOKUP(A780,Revisión!$A$2:$L$703,8,FALSE)</f>
        <v>#N/A</v>
      </c>
      <c r="K780" s="4" t="e">
        <f>VLOOKUP(A780,Revisión!$A$2:$L$703,9,FALSE)</f>
        <v>#N/A</v>
      </c>
      <c r="L780" s="4" t="e">
        <f>VLOOKUP(A780,Revisión!$A$2:$L$703,10,FALSE)</f>
        <v>#N/A</v>
      </c>
      <c r="M780" s="18" t="e">
        <f>VLOOKUP(A780,Revisión!$A$2:$L$703,11,FALSE)</f>
        <v>#N/A</v>
      </c>
      <c r="N780" s="30" t="e">
        <f>IF(E780="Coinciden",D780,IF(E780="Revisar",VLOOKUP(A780,Revisión!$A$2:$L$703,12,FALSE),""))</f>
        <v>#N/A</v>
      </c>
    </row>
    <row r="781" spans="1:14" x14ac:dyDescent="0.3">
      <c r="A781" t="s">
        <v>1625</v>
      </c>
      <c r="C781" t="s">
        <v>1020</v>
      </c>
      <c r="D781" t="s">
        <v>1020</v>
      </c>
      <c r="E781" t="s">
        <v>8</v>
      </c>
      <c r="F781" t="s">
        <v>49</v>
      </c>
      <c r="H781" s="23" t="str">
        <f>VLOOKUP(A781,Revisión!$A$2:$L$703,6,FALSE)</f>
        <v>Chamaenerion angustifolium subsp. angustifolium</v>
      </c>
      <c r="I781" s="4" t="str">
        <f>VLOOKUP(A781,Revisión!$A$2:$L$703,7,FALSE)</f>
        <v>-</v>
      </c>
      <c r="J781" s="4" t="str">
        <f>VLOOKUP(A781,Revisión!$A$2:$L$703,8,FALSE)</f>
        <v>Epilobium angustifolium</v>
      </c>
      <c r="K781" s="4" t="str">
        <f>VLOOKUP(A781,Revisión!$A$2:$L$703,9,FALSE)</f>
        <v>Chamaenerion angustifolium subsp. angustifolium</v>
      </c>
      <c r="L781" s="4" t="str">
        <f>VLOOKUP(A781,Revisión!$A$2:$L$703,10,FALSE)</f>
        <v>Chamaenerion angustifolium subsp. angustifolium</v>
      </c>
      <c r="M781" s="18">
        <f>VLOOKUP(A781,Revisión!$A$2:$L$703,11,FALSE)</f>
        <v>3</v>
      </c>
      <c r="N781" s="30" t="str">
        <f>IF(E781="Coinciden",D781,IF(E781="Revisar",VLOOKUP(A781,Revisión!$A$2:$L$703,12,FALSE),""))</f>
        <v>Chamaenerion angustifolium subsp. angustifolium</v>
      </c>
    </row>
    <row r="782" spans="1:14" x14ac:dyDescent="0.3">
      <c r="A782" t="s">
        <v>1626</v>
      </c>
      <c r="B782" t="s">
        <v>1627</v>
      </c>
      <c r="D782" t="s">
        <v>1627</v>
      </c>
      <c r="E782" t="s">
        <v>8</v>
      </c>
      <c r="F782" t="s">
        <v>34</v>
      </c>
      <c r="H782" s="23" t="str">
        <f>VLOOKUP(A782,Revisión!$A$2:$L$703,6,FALSE)</f>
        <v>Epilobium montanum</v>
      </c>
      <c r="I782" s="4" t="str">
        <f>VLOOKUP(A782,Revisión!$A$2:$L$703,7,FALSE)</f>
        <v>-</v>
      </c>
      <c r="J782" s="4" t="str">
        <f>VLOOKUP(A782,Revisión!$A$2:$L$703,8,FALSE)</f>
        <v>Epilobium montanum</v>
      </c>
      <c r="K782" s="4" t="str">
        <f>VLOOKUP(A782,Revisión!$A$2:$L$703,9,FALSE)</f>
        <v>Epilobium montanum</v>
      </c>
      <c r="L782" s="4" t="str">
        <f>VLOOKUP(A782,Revisión!$A$2:$L$703,10,FALSE)</f>
        <v>Epilobium montanum</v>
      </c>
      <c r="M782" s="18">
        <f>VLOOKUP(A782,Revisión!$A$2:$L$703,11,FALSE)</f>
        <v>4</v>
      </c>
      <c r="N782" s="30" t="str">
        <f>IF(E782="Coinciden",D782,IF(E782="Revisar",VLOOKUP(A782,Revisión!$A$2:$L$703,12,FALSE),""))</f>
        <v>Epilobium montanum</v>
      </c>
    </row>
    <row r="783" spans="1:14" x14ac:dyDescent="0.3">
      <c r="A783" t="s">
        <v>1628</v>
      </c>
      <c r="B783" t="s">
        <v>1629</v>
      </c>
      <c r="C783" t="s">
        <v>1629</v>
      </c>
      <c r="D783" t="s">
        <v>1629</v>
      </c>
      <c r="E783" t="s">
        <v>18</v>
      </c>
      <c r="F783" t="s">
        <v>19</v>
      </c>
      <c r="H783" s="23" t="e">
        <f>VLOOKUP(A783,Revisión!$A$2:$L$703,6,FALSE)</f>
        <v>#N/A</v>
      </c>
      <c r="I783" s="4" t="e">
        <f>VLOOKUP(A783,Revisión!$A$2:$L$703,7,FALSE)</f>
        <v>#N/A</v>
      </c>
      <c r="J783" s="4" t="e">
        <f>VLOOKUP(A783,Revisión!$A$2:$L$703,8,FALSE)</f>
        <v>#N/A</v>
      </c>
      <c r="K783" s="4" t="e">
        <f>VLOOKUP(A783,Revisión!$A$2:$L$703,9,FALSE)</f>
        <v>#N/A</v>
      </c>
      <c r="L783" s="4" t="e">
        <f>VLOOKUP(A783,Revisión!$A$2:$L$703,10,FALSE)</f>
        <v>#N/A</v>
      </c>
      <c r="M783" s="18" t="e">
        <f>VLOOKUP(A783,Revisión!$A$2:$L$703,11,FALSE)</f>
        <v>#N/A</v>
      </c>
      <c r="N783" s="30" t="str">
        <f>IF(E783="Coinciden",D783,IF(E783="Revisar",VLOOKUP(A783,Revisión!$A$2:$L$703,12,FALSE),""))</f>
        <v>Epimedium grandiflorum</v>
      </c>
    </row>
    <row r="784" spans="1:14" x14ac:dyDescent="0.3">
      <c r="A784" t="s">
        <v>1630</v>
      </c>
      <c r="B784" t="s">
        <v>1631</v>
      </c>
      <c r="C784" t="s">
        <v>1631</v>
      </c>
      <c r="D784" t="s">
        <v>1631</v>
      </c>
      <c r="E784" t="s">
        <v>18</v>
      </c>
      <c r="F784" t="s">
        <v>19</v>
      </c>
      <c r="H784" s="23" t="e">
        <f>VLOOKUP(A784,Revisión!$A$2:$L$703,6,FALSE)</f>
        <v>#N/A</v>
      </c>
      <c r="I784" s="4" t="e">
        <f>VLOOKUP(A784,Revisión!$A$2:$L$703,7,FALSE)</f>
        <v>#N/A</v>
      </c>
      <c r="J784" s="4" t="e">
        <f>VLOOKUP(A784,Revisión!$A$2:$L$703,8,FALSE)</f>
        <v>#N/A</v>
      </c>
      <c r="K784" s="4" t="e">
        <f>VLOOKUP(A784,Revisión!$A$2:$L$703,9,FALSE)</f>
        <v>#N/A</v>
      </c>
      <c r="L784" s="4" t="e">
        <f>VLOOKUP(A784,Revisión!$A$2:$L$703,10,FALSE)</f>
        <v>#N/A</v>
      </c>
      <c r="M784" s="18" t="e">
        <f>VLOOKUP(A784,Revisión!$A$2:$L$703,11,FALSE)</f>
        <v>#N/A</v>
      </c>
      <c r="N784" s="30" t="str">
        <f>IF(E784="Coinciden",D784,IF(E784="Revisar",VLOOKUP(A784,Revisión!$A$2:$L$703,12,FALSE),""))</f>
        <v>Epimedium diphyllum</v>
      </c>
    </row>
    <row r="785" spans="1:14" x14ac:dyDescent="0.3">
      <c r="A785" t="s">
        <v>1632</v>
      </c>
      <c r="B785" t="s">
        <v>1633</v>
      </c>
      <c r="C785" t="s">
        <v>1633</v>
      </c>
      <c r="D785" t="s">
        <v>1633</v>
      </c>
      <c r="E785" t="s">
        <v>18</v>
      </c>
      <c r="F785" t="s">
        <v>19</v>
      </c>
      <c r="H785" s="23" t="e">
        <f>VLOOKUP(A785,Revisión!$A$2:$L$703,6,FALSE)</f>
        <v>#N/A</v>
      </c>
      <c r="I785" s="4" t="e">
        <f>VLOOKUP(A785,Revisión!$A$2:$L$703,7,FALSE)</f>
        <v>#N/A</v>
      </c>
      <c r="J785" s="4" t="e">
        <f>VLOOKUP(A785,Revisión!$A$2:$L$703,8,FALSE)</f>
        <v>#N/A</v>
      </c>
      <c r="K785" s="4" t="e">
        <f>VLOOKUP(A785,Revisión!$A$2:$L$703,9,FALSE)</f>
        <v>#N/A</v>
      </c>
      <c r="L785" s="4" t="e">
        <f>VLOOKUP(A785,Revisión!$A$2:$L$703,10,FALSE)</f>
        <v>#N/A</v>
      </c>
      <c r="M785" s="18" t="e">
        <f>VLOOKUP(A785,Revisión!$A$2:$L$703,11,FALSE)</f>
        <v>#N/A</v>
      </c>
      <c r="N785" s="30" t="str">
        <f>IF(E785="Coinciden",D785,IF(E785="Revisar",VLOOKUP(A785,Revisión!$A$2:$L$703,12,FALSE),""))</f>
        <v>Epistephium duckei</v>
      </c>
    </row>
    <row r="786" spans="1:14" x14ac:dyDescent="0.3">
      <c r="A786" t="s">
        <v>1634</v>
      </c>
      <c r="C786" t="s">
        <v>1635</v>
      </c>
      <c r="D786" t="s">
        <v>1635</v>
      </c>
      <c r="E786" t="s">
        <v>8</v>
      </c>
      <c r="F786" t="s">
        <v>49</v>
      </c>
      <c r="H786" s="23" t="str">
        <f>VLOOKUP(A786,Revisión!$A$2:$L$703,6,FALSE)</f>
        <v>-</v>
      </c>
      <c r="I786" s="4" t="str">
        <f>VLOOKUP(A786,Revisión!$A$2:$L$703,7,FALSE)</f>
        <v>-</v>
      </c>
      <c r="J786" s="4" t="str">
        <f>VLOOKUP(A786,Revisión!$A$2:$L$703,8,FALSE)</f>
        <v>Echium sabulicola</v>
      </c>
      <c r="K786" s="4" t="str">
        <f>VLOOKUP(A786,Revisión!$A$2:$L$703,9,FALSE)</f>
        <v>Echium sabulicola</v>
      </c>
      <c r="L786" s="4" t="str">
        <f>VLOOKUP(A786,Revisión!$A$2:$L$703,10,FALSE)</f>
        <v>Echium sabulicola</v>
      </c>
      <c r="M786" s="18">
        <f>VLOOKUP(A786,Revisión!$A$2:$L$703,11,FALSE)</f>
        <v>4</v>
      </c>
      <c r="N786" s="30" t="str">
        <f>IF(E786="Coinciden",D786,IF(E786="Revisar",VLOOKUP(A786,Revisión!$A$2:$L$703,12,FALSE),""))</f>
        <v>Echium sabulicola</v>
      </c>
    </row>
    <row r="787" spans="1:14" x14ac:dyDescent="0.3">
      <c r="A787" t="s">
        <v>1636</v>
      </c>
      <c r="C787" t="s">
        <v>1637</v>
      </c>
      <c r="D787" t="s">
        <v>1638</v>
      </c>
      <c r="E787" t="s">
        <v>8</v>
      </c>
      <c r="F787" t="s">
        <v>9</v>
      </c>
      <c r="H787" s="23" t="str">
        <f>VLOOKUP(A787,Revisión!$A$2:$L$703,6,FALSE)</f>
        <v>Erechtites hieraciifolius</v>
      </c>
      <c r="I787" s="4" t="str">
        <f>VLOOKUP(A787,Revisión!$A$2:$L$703,7,FALSE)</f>
        <v>-</v>
      </c>
      <c r="J787" s="4" t="str">
        <f>VLOOKUP(A787,Revisión!$A$2:$L$703,8,FALSE)</f>
        <v>Erechtites hieraciifolius</v>
      </c>
      <c r="K787" s="4" t="str">
        <f>VLOOKUP(A787,Revisión!$A$2:$L$703,9,FALSE)</f>
        <v>Erechtites hieraciifolius</v>
      </c>
      <c r="L787" s="4" t="str">
        <f>VLOOKUP(A787,Revisión!$A$2:$L$703,10,FALSE)</f>
        <v>Erechtites hieraciifolius</v>
      </c>
      <c r="M787" s="18">
        <f>VLOOKUP(A787,Revisión!$A$2:$L$703,11,FALSE)</f>
        <v>4</v>
      </c>
      <c r="N787" s="30" t="str">
        <f>IF(E787="Coinciden",D787,IF(E787="Revisar",VLOOKUP(A787,Revisión!$A$2:$L$703,12,FALSE),""))</f>
        <v>Erechtites hieraciifolius</v>
      </c>
    </row>
    <row r="788" spans="1:14" x14ac:dyDescent="0.3">
      <c r="A788" t="s">
        <v>1639</v>
      </c>
      <c r="B788" t="s">
        <v>1640</v>
      </c>
      <c r="D788" t="s">
        <v>1640</v>
      </c>
      <c r="E788" t="s">
        <v>8</v>
      </c>
      <c r="F788" t="s">
        <v>34</v>
      </c>
      <c r="H788" s="23" t="str">
        <f>VLOOKUP(A788,Revisión!$A$2:$L$703,6,FALSE)</f>
        <v>Erica ciliaris</v>
      </c>
      <c r="I788" s="4" t="str">
        <f>VLOOKUP(A788,Revisión!$A$2:$L$703,7,FALSE)</f>
        <v>-</v>
      </c>
      <c r="J788" s="4" t="str">
        <f>VLOOKUP(A788,Revisión!$A$2:$L$703,8,FALSE)</f>
        <v>Erica ciliaris</v>
      </c>
      <c r="K788" s="4" t="str">
        <f>VLOOKUP(A788,Revisión!$A$2:$L$703,9,FALSE)</f>
        <v>Erica ciliaris</v>
      </c>
      <c r="L788" s="4" t="str">
        <f>VLOOKUP(A788,Revisión!$A$2:$L$703,10,FALSE)</f>
        <v>Erica ciliaris</v>
      </c>
      <c r="M788" s="18">
        <f>VLOOKUP(A788,Revisión!$A$2:$L$703,11,FALSE)</f>
        <v>4</v>
      </c>
      <c r="N788" s="30" t="str">
        <f>IF(E788="Coinciden",D788,IF(E788="Revisar",VLOOKUP(A788,Revisión!$A$2:$L$703,12,FALSE),""))</f>
        <v>Erica ciliaris</v>
      </c>
    </row>
    <row r="789" spans="1:14" x14ac:dyDescent="0.3">
      <c r="A789" t="s">
        <v>1641</v>
      </c>
      <c r="B789" t="s">
        <v>1642</v>
      </c>
      <c r="D789" t="s">
        <v>1642</v>
      </c>
      <c r="E789" t="s">
        <v>8</v>
      </c>
      <c r="F789" t="s">
        <v>34</v>
      </c>
      <c r="H789" s="23" t="str">
        <f>VLOOKUP(A789,Revisión!$A$2:$L$703,6,FALSE)</f>
        <v>Erica arborea</v>
      </c>
      <c r="I789" s="4" t="str">
        <f>VLOOKUP(A789,Revisión!$A$2:$L$703,7,FALSE)</f>
        <v>-</v>
      </c>
      <c r="J789" s="4" t="str">
        <f>VLOOKUP(A789,Revisión!$A$2:$L$703,8,FALSE)</f>
        <v>Erica arborea</v>
      </c>
      <c r="K789" s="4" t="str">
        <f>VLOOKUP(A789,Revisión!$A$2:$L$703,9,FALSE)</f>
        <v>Erica ciliaris</v>
      </c>
      <c r="L789" s="4" t="str">
        <f>VLOOKUP(A789,Revisión!$A$2:$L$703,10,FALSE)</f>
        <v>Erica arborea</v>
      </c>
      <c r="M789" s="18">
        <f>VLOOKUP(A789,Revisión!$A$2:$L$703,11,FALSE)</f>
        <v>3</v>
      </c>
      <c r="N789" s="30" t="str">
        <f>IF(E789="Coinciden",D789,IF(E789="Revisar",VLOOKUP(A789,Revisión!$A$2:$L$703,12,FALSE),""))</f>
        <v>Erica arborea</v>
      </c>
    </row>
    <row r="790" spans="1:14" x14ac:dyDescent="0.3">
      <c r="A790" t="s">
        <v>1643</v>
      </c>
      <c r="B790" t="s">
        <v>1644</v>
      </c>
      <c r="C790" t="s">
        <v>1644</v>
      </c>
      <c r="D790" t="s">
        <v>1644</v>
      </c>
      <c r="E790" t="s">
        <v>18</v>
      </c>
      <c r="F790" t="s">
        <v>19</v>
      </c>
      <c r="H790" s="23" t="e">
        <f>VLOOKUP(A790,Revisión!$A$2:$L$703,6,FALSE)</f>
        <v>#N/A</v>
      </c>
      <c r="I790" s="4" t="e">
        <f>VLOOKUP(A790,Revisión!$A$2:$L$703,7,FALSE)</f>
        <v>#N/A</v>
      </c>
      <c r="J790" s="4" t="e">
        <f>VLOOKUP(A790,Revisión!$A$2:$L$703,8,FALSE)</f>
        <v>#N/A</v>
      </c>
      <c r="K790" s="4" t="e">
        <f>VLOOKUP(A790,Revisión!$A$2:$L$703,9,FALSE)</f>
        <v>#N/A</v>
      </c>
      <c r="L790" s="4" t="e">
        <f>VLOOKUP(A790,Revisión!$A$2:$L$703,10,FALSE)</f>
        <v>#N/A</v>
      </c>
      <c r="M790" s="18" t="e">
        <f>VLOOKUP(A790,Revisión!$A$2:$L$703,11,FALSE)</f>
        <v>#N/A</v>
      </c>
      <c r="N790" s="30" t="str">
        <f>IF(E790="Coinciden",D790,IF(E790="Revisar",VLOOKUP(A790,Revisión!$A$2:$L$703,12,FALSE),""))</f>
        <v>Erica tetralix</v>
      </c>
    </row>
    <row r="791" spans="1:14" x14ac:dyDescent="0.3">
      <c r="A791" t="s">
        <v>1645</v>
      </c>
      <c r="B791" t="s">
        <v>1646</v>
      </c>
      <c r="C791" t="s">
        <v>1646</v>
      </c>
      <c r="D791" t="s">
        <v>1646</v>
      </c>
      <c r="E791" t="s">
        <v>18</v>
      </c>
      <c r="F791" t="s">
        <v>19</v>
      </c>
      <c r="H791" s="23" t="e">
        <f>VLOOKUP(A791,Revisión!$A$2:$L$703,6,FALSE)</f>
        <v>#N/A</v>
      </c>
      <c r="I791" s="4" t="e">
        <f>VLOOKUP(A791,Revisión!$A$2:$L$703,7,FALSE)</f>
        <v>#N/A</v>
      </c>
      <c r="J791" s="4" t="e">
        <f>VLOOKUP(A791,Revisión!$A$2:$L$703,8,FALSE)</f>
        <v>#N/A</v>
      </c>
      <c r="K791" s="4" t="e">
        <f>VLOOKUP(A791,Revisión!$A$2:$L$703,9,FALSE)</f>
        <v>#N/A</v>
      </c>
      <c r="L791" s="4" t="e">
        <f>VLOOKUP(A791,Revisión!$A$2:$L$703,10,FALSE)</f>
        <v>#N/A</v>
      </c>
      <c r="M791" s="18" t="e">
        <f>VLOOKUP(A791,Revisión!$A$2:$L$703,11,FALSE)</f>
        <v>#N/A</v>
      </c>
      <c r="N791" s="30" t="str">
        <f>IF(E791="Coinciden",D791,IF(E791="Revisar",VLOOKUP(A791,Revisión!$A$2:$L$703,12,FALSE),""))</f>
        <v>Erica manipuliflora</v>
      </c>
    </row>
    <row r="792" spans="1:14" x14ac:dyDescent="0.3">
      <c r="A792" t="s">
        <v>1647</v>
      </c>
      <c r="B792" t="s">
        <v>1648</v>
      </c>
      <c r="C792" t="s">
        <v>1648</v>
      </c>
      <c r="D792" t="s">
        <v>1648</v>
      </c>
      <c r="E792" t="s">
        <v>18</v>
      </c>
      <c r="F792" t="s">
        <v>19</v>
      </c>
      <c r="H792" s="23" t="e">
        <f>VLOOKUP(A792,Revisión!$A$2:$L$703,6,FALSE)</f>
        <v>#N/A</v>
      </c>
      <c r="I792" s="4" t="e">
        <f>VLOOKUP(A792,Revisión!$A$2:$L$703,7,FALSE)</f>
        <v>#N/A</v>
      </c>
      <c r="J792" s="4" t="e">
        <f>VLOOKUP(A792,Revisión!$A$2:$L$703,8,FALSE)</f>
        <v>#N/A</v>
      </c>
      <c r="K792" s="4" t="e">
        <f>VLOOKUP(A792,Revisión!$A$2:$L$703,9,FALSE)</f>
        <v>#N/A</v>
      </c>
      <c r="L792" s="4" t="e">
        <f>VLOOKUP(A792,Revisión!$A$2:$L$703,10,FALSE)</f>
        <v>#N/A</v>
      </c>
      <c r="M792" s="18" t="e">
        <f>VLOOKUP(A792,Revisión!$A$2:$L$703,11,FALSE)</f>
        <v>#N/A</v>
      </c>
      <c r="N792" s="30" t="str">
        <f>IF(E792="Coinciden",D792,IF(E792="Revisar",VLOOKUP(A792,Revisión!$A$2:$L$703,12,FALSE),""))</f>
        <v>Erigenia bulbosa</v>
      </c>
    </row>
    <row r="793" spans="1:14" x14ac:dyDescent="0.3">
      <c r="A793" t="s">
        <v>1649</v>
      </c>
      <c r="D793" t="s">
        <v>1650</v>
      </c>
      <c r="E793" t="s">
        <v>8</v>
      </c>
      <c r="F793" t="s">
        <v>9</v>
      </c>
      <c r="H793" s="23" t="str">
        <f>VLOOKUP(A793,Revisión!$A$2:$L$703,6,FALSE)</f>
        <v>-</v>
      </c>
      <c r="I793" s="4" t="str">
        <f>VLOOKUP(A793,Revisión!$A$2:$L$703,7,FALSE)</f>
        <v>-</v>
      </c>
      <c r="J793" s="4" t="str">
        <f>VLOOKUP(A793,Revisión!$A$2:$L$703,8,FALSE)</f>
        <v>Erigeron divaricatus</v>
      </c>
      <c r="K793" s="4" t="str">
        <f>VLOOKUP(A793,Revisión!$A$2:$L$703,9,FALSE)</f>
        <v>Erigeron strigosus</v>
      </c>
      <c r="L793" s="4" t="str">
        <f>VLOOKUP(A793,Revisión!$A$2:$L$703,10,FALSE)</f>
        <v>Erigeron strigosus</v>
      </c>
      <c r="M793" s="18">
        <f>VLOOKUP(A793,Revisión!$A$2:$L$703,11,FALSE)</f>
        <v>2</v>
      </c>
      <c r="N793" s="30" t="str">
        <f>IF(E793="Coinciden",D793,IF(E793="Revisar",VLOOKUP(A793,Revisión!$A$2:$L$703,12,FALSE),""))</f>
        <v>Erigeron strigosus</v>
      </c>
    </row>
    <row r="794" spans="1:14" x14ac:dyDescent="0.3">
      <c r="A794" t="s">
        <v>1651</v>
      </c>
      <c r="C794" t="s">
        <v>1652</v>
      </c>
      <c r="D794" t="s">
        <v>1652</v>
      </c>
      <c r="E794" t="s">
        <v>8</v>
      </c>
      <c r="F794" t="s">
        <v>49</v>
      </c>
      <c r="H794" s="23" t="str">
        <f>VLOOKUP(A794,Revisión!$A$2:$L$703,6,FALSE)</f>
        <v>-</v>
      </c>
      <c r="I794" s="4" t="str">
        <f>VLOOKUP(A794,Revisión!$A$2:$L$703,7,FALSE)</f>
        <v>-</v>
      </c>
      <c r="J794" s="4" t="str">
        <f>VLOOKUP(A794,Revisión!$A$2:$L$703,8,FALSE)</f>
        <v>Erigeron speciosus</v>
      </c>
      <c r="K794" s="4" t="str">
        <f>VLOOKUP(A794,Revisión!$A$2:$L$703,9,FALSE)</f>
        <v>Erigeron speciosus</v>
      </c>
      <c r="L794" s="4" t="str">
        <f>VLOOKUP(A794,Revisión!$A$2:$L$703,10,FALSE)</f>
        <v>Erigeron speciosus</v>
      </c>
      <c r="M794" s="18">
        <f>VLOOKUP(A794,Revisión!$A$2:$L$703,11,FALSE)</f>
        <v>3</v>
      </c>
      <c r="N794" s="30" t="str">
        <f>IF(E794="Coinciden",D794,IF(E794="Revisar",VLOOKUP(A794,Revisión!$A$2:$L$703,12,FALSE),""))</f>
        <v>Erigeron speciosus</v>
      </c>
    </row>
    <row r="795" spans="1:14" x14ac:dyDescent="0.3">
      <c r="A795" t="s">
        <v>1653</v>
      </c>
      <c r="B795" t="s">
        <v>1654</v>
      </c>
      <c r="C795" t="s">
        <v>1654</v>
      </c>
      <c r="D795" t="s">
        <v>1654</v>
      </c>
      <c r="E795" t="s">
        <v>18</v>
      </c>
      <c r="F795" t="s">
        <v>19</v>
      </c>
      <c r="H795" s="23" t="e">
        <f>VLOOKUP(A795,Revisión!$A$2:$L$703,6,FALSE)</f>
        <v>#N/A</v>
      </c>
      <c r="I795" s="4" t="e">
        <f>VLOOKUP(A795,Revisión!$A$2:$L$703,7,FALSE)</f>
        <v>#N/A</v>
      </c>
      <c r="J795" s="4" t="e">
        <f>VLOOKUP(A795,Revisión!$A$2:$L$703,8,FALSE)</f>
        <v>#N/A</v>
      </c>
      <c r="K795" s="4" t="e">
        <f>VLOOKUP(A795,Revisión!$A$2:$L$703,9,FALSE)</f>
        <v>#N/A</v>
      </c>
      <c r="L795" s="4" t="e">
        <f>VLOOKUP(A795,Revisión!$A$2:$L$703,10,FALSE)</f>
        <v>#N/A</v>
      </c>
      <c r="M795" s="18" t="e">
        <f>VLOOKUP(A795,Revisión!$A$2:$L$703,11,FALSE)</f>
        <v>#N/A</v>
      </c>
      <c r="N795" s="30" t="str">
        <f>IF(E795="Coinciden",D795,IF(E795="Revisar",VLOOKUP(A795,Revisión!$A$2:$L$703,12,FALSE),""))</f>
        <v>Erigeron canadensis</v>
      </c>
    </row>
    <row r="796" spans="1:14" x14ac:dyDescent="0.3">
      <c r="A796" t="s">
        <v>1655</v>
      </c>
      <c r="B796" t="s">
        <v>1656</v>
      </c>
      <c r="D796" t="s">
        <v>1656</v>
      </c>
      <c r="E796" t="s">
        <v>8</v>
      </c>
      <c r="F796" t="s">
        <v>34</v>
      </c>
      <c r="H796" s="23" t="str">
        <f>VLOOKUP(A796,Revisión!$A$2:$L$703,6,FALSE)</f>
        <v>Erigeron pulchellus</v>
      </c>
      <c r="I796" s="4" t="str">
        <f>VLOOKUP(A796,Revisión!$A$2:$L$703,7,FALSE)</f>
        <v>-</v>
      </c>
      <c r="J796" s="4" t="str">
        <f>VLOOKUP(A796,Revisión!$A$2:$L$703,8,FALSE)</f>
        <v>Erigeron pulchellus</v>
      </c>
      <c r="K796" s="4" t="str">
        <f>VLOOKUP(A796,Revisión!$A$2:$L$703,9,FALSE)</f>
        <v>Erigeron pulchellus</v>
      </c>
      <c r="L796" s="4" t="str">
        <f>VLOOKUP(A796,Revisión!$A$2:$L$703,10,FALSE)</f>
        <v>Erigeron pulchellus</v>
      </c>
      <c r="M796" s="18">
        <f>VLOOKUP(A796,Revisión!$A$2:$L$703,11,FALSE)</f>
        <v>4</v>
      </c>
      <c r="N796" s="30" t="str">
        <f>IF(E796="Coinciden",D796,IF(E796="Revisar",VLOOKUP(A796,Revisión!$A$2:$L$703,12,FALSE),""))</f>
        <v>Erigeron pulchellus</v>
      </c>
    </row>
    <row r="797" spans="1:14" x14ac:dyDescent="0.3">
      <c r="A797" t="s">
        <v>1657</v>
      </c>
      <c r="B797" t="s">
        <v>1658</v>
      </c>
      <c r="C797" t="s">
        <v>1658</v>
      </c>
      <c r="D797" t="s">
        <v>1658</v>
      </c>
      <c r="E797" t="s">
        <v>18</v>
      </c>
      <c r="F797" t="s">
        <v>19</v>
      </c>
      <c r="H797" s="23" t="e">
        <f>VLOOKUP(A797,Revisión!$A$2:$L$703,6,FALSE)</f>
        <v>#N/A</v>
      </c>
      <c r="I797" s="4" t="e">
        <f>VLOOKUP(A797,Revisión!$A$2:$L$703,7,FALSE)</f>
        <v>#N/A</v>
      </c>
      <c r="J797" s="4" t="e">
        <f>VLOOKUP(A797,Revisión!$A$2:$L$703,8,FALSE)</f>
        <v>#N/A</v>
      </c>
      <c r="K797" s="4" t="e">
        <f>VLOOKUP(A797,Revisión!$A$2:$L$703,9,FALSE)</f>
        <v>#N/A</v>
      </c>
      <c r="L797" s="4" t="e">
        <f>VLOOKUP(A797,Revisión!$A$2:$L$703,10,FALSE)</f>
        <v>#N/A</v>
      </c>
      <c r="M797" s="18" t="e">
        <f>VLOOKUP(A797,Revisión!$A$2:$L$703,11,FALSE)</f>
        <v>#N/A</v>
      </c>
      <c r="N797" s="30" t="str">
        <f>IF(E797="Coinciden",D797,IF(E797="Revisar",VLOOKUP(A797,Revisión!$A$2:$L$703,12,FALSE),""))</f>
        <v>Erigeron uniflorus</v>
      </c>
    </row>
    <row r="798" spans="1:14" x14ac:dyDescent="0.3">
      <c r="A798" t="s">
        <v>1659</v>
      </c>
      <c r="B798" t="s">
        <v>1660</v>
      </c>
      <c r="D798" t="s">
        <v>1660</v>
      </c>
      <c r="E798" t="s">
        <v>8</v>
      </c>
      <c r="F798" t="s">
        <v>34</v>
      </c>
      <c r="H798" s="23" t="str">
        <f>VLOOKUP(A798,Revisión!$A$2:$L$703,6,FALSE)</f>
        <v>Erigeron eriocephalus</v>
      </c>
      <c r="I798" s="4" t="str">
        <f>VLOOKUP(A798,Revisión!$A$2:$L$703,7,FALSE)</f>
        <v>-</v>
      </c>
      <c r="J798" s="4" t="str">
        <f>VLOOKUP(A798,Revisión!$A$2:$L$703,8,FALSE)</f>
        <v>Erigeron eriocephalus</v>
      </c>
      <c r="K798" s="4" t="str">
        <f>VLOOKUP(A798,Revisión!$A$2:$L$703,9,FALSE)</f>
        <v>Erigeron eriocephalus</v>
      </c>
      <c r="L798" s="4" t="str">
        <f>VLOOKUP(A798,Revisión!$A$2:$L$703,10,FALSE)</f>
        <v>Erigeron eriocephalus</v>
      </c>
      <c r="M798" s="18">
        <f>VLOOKUP(A798,Revisión!$A$2:$L$703,11,FALSE)</f>
        <v>4</v>
      </c>
      <c r="N798" s="30" t="str">
        <f>IF(E798="Coinciden",D798,IF(E798="Revisar",VLOOKUP(A798,Revisión!$A$2:$L$703,12,FALSE),""))</f>
        <v>Erigeron eriocephalus</v>
      </c>
    </row>
    <row r="799" spans="1:14" x14ac:dyDescent="0.3">
      <c r="A799" t="s">
        <v>1661</v>
      </c>
      <c r="B799" t="s">
        <v>1662</v>
      </c>
      <c r="D799" t="s">
        <v>1662</v>
      </c>
      <c r="E799" t="s">
        <v>8</v>
      </c>
      <c r="F799" t="s">
        <v>34</v>
      </c>
      <c r="H799" s="23" t="str">
        <f>VLOOKUP(A799,Revisión!$A$2:$L$703,6,FALSE)</f>
        <v>Erigeron philadelphicus</v>
      </c>
      <c r="I799" s="4" t="str">
        <f>VLOOKUP(A799,Revisión!$A$2:$L$703,7,FALSE)</f>
        <v>-</v>
      </c>
      <c r="J799" s="4" t="str">
        <f>VLOOKUP(A799,Revisión!$A$2:$L$703,8,FALSE)</f>
        <v>Erigeron philadelphicus</v>
      </c>
      <c r="K799" s="4" t="str">
        <f>VLOOKUP(A799,Revisión!$A$2:$L$703,9,FALSE)</f>
        <v>Erigeron philadelphicus</v>
      </c>
      <c r="L799" s="4" t="str">
        <f>VLOOKUP(A799,Revisión!$A$2:$L$703,10,FALSE)</f>
        <v>Erigeron philadelphicus</v>
      </c>
      <c r="M799" s="18">
        <f>VLOOKUP(A799,Revisión!$A$2:$L$703,11,FALSE)</f>
        <v>4</v>
      </c>
      <c r="N799" s="30" t="str">
        <f>IF(E799="Coinciden",D799,IF(E799="Revisar",VLOOKUP(A799,Revisión!$A$2:$L$703,12,FALSE),""))</f>
        <v>Erigeron philadelphicus</v>
      </c>
    </row>
    <row r="800" spans="1:14" x14ac:dyDescent="0.3">
      <c r="A800" t="s">
        <v>1663</v>
      </c>
      <c r="B800" t="s">
        <v>1664</v>
      </c>
      <c r="C800" t="s">
        <v>1664</v>
      </c>
      <c r="D800" t="s">
        <v>1664</v>
      </c>
      <c r="E800" t="s">
        <v>18</v>
      </c>
      <c r="F800" t="s">
        <v>19</v>
      </c>
      <c r="H800" s="23" t="e">
        <f>VLOOKUP(A800,Revisión!$A$2:$L$703,6,FALSE)</f>
        <v>#N/A</v>
      </c>
      <c r="I800" s="4" t="e">
        <f>VLOOKUP(A800,Revisión!$A$2:$L$703,7,FALSE)</f>
        <v>#N/A</v>
      </c>
      <c r="J800" s="4" t="e">
        <f>VLOOKUP(A800,Revisión!$A$2:$L$703,8,FALSE)</f>
        <v>#N/A</v>
      </c>
      <c r="K800" s="4" t="e">
        <f>VLOOKUP(A800,Revisión!$A$2:$L$703,9,FALSE)</f>
        <v>#N/A</v>
      </c>
      <c r="L800" s="4" t="e">
        <f>VLOOKUP(A800,Revisión!$A$2:$L$703,10,FALSE)</f>
        <v>#N/A</v>
      </c>
      <c r="M800" s="18" t="e">
        <f>VLOOKUP(A800,Revisión!$A$2:$L$703,11,FALSE)</f>
        <v>#N/A</v>
      </c>
      <c r="N800" s="30" t="str">
        <f>IF(E800="Coinciden",D800,IF(E800="Revisar",VLOOKUP(A800,Revisión!$A$2:$L$703,12,FALSE),""))</f>
        <v>Erigeron annuus</v>
      </c>
    </row>
    <row r="801" spans="1:14" x14ac:dyDescent="0.3">
      <c r="A801" t="s">
        <v>1665</v>
      </c>
      <c r="B801" t="s">
        <v>1666</v>
      </c>
      <c r="C801" t="s">
        <v>1666</v>
      </c>
      <c r="D801" t="s">
        <v>1666</v>
      </c>
      <c r="E801" t="s">
        <v>18</v>
      </c>
      <c r="F801" t="s">
        <v>19</v>
      </c>
      <c r="H801" s="23" t="e">
        <f>VLOOKUP(A801,Revisión!$A$2:$L$703,6,FALSE)</f>
        <v>#N/A</v>
      </c>
      <c r="I801" s="4" t="e">
        <f>VLOOKUP(A801,Revisión!$A$2:$L$703,7,FALSE)</f>
        <v>#N/A</v>
      </c>
      <c r="J801" s="4" t="e">
        <f>VLOOKUP(A801,Revisión!$A$2:$L$703,8,FALSE)</f>
        <v>#N/A</v>
      </c>
      <c r="K801" s="4" t="e">
        <f>VLOOKUP(A801,Revisión!$A$2:$L$703,9,FALSE)</f>
        <v>#N/A</v>
      </c>
      <c r="L801" s="4" t="e">
        <f>VLOOKUP(A801,Revisión!$A$2:$L$703,10,FALSE)</f>
        <v>#N/A</v>
      </c>
      <c r="M801" s="18" t="e">
        <f>VLOOKUP(A801,Revisión!$A$2:$L$703,11,FALSE)</f>
        <v>#N/A</v>
      </c>
      <c r="N801" s="30" t="str">
        <f>IF(E801="Coinciden",D801,IF(E801="Revisar",VLOOKUP(A801,Revisión!$A$2:$L$703,12,FALSE),""))</f>
        <v>Erigeron compositus</v>
      </c>
    </row>
    <row r="802" spans="1:14" x14ac:dyDescent="0.3">
      <c r="A802" t="s">
        <v>1667</v>
      </c>
      <c r="E802" t="s">
        <v>8</v>
      </c>
      <c r="F802" t="s">
        <v>11</v>
      </c>
      <c r="H802" s="23" t="e">
        <f>VLOOKUP(A802,Revisión!$A$2:$L$703,6,FALSE)</f>
        <v>#N/A</v>
      </c>
      <c r="I802" s="4" t="e">
        <f>VLOOKUP(A802,Revisión!$A$2:$L$703,7,FALSE)</f>
        <v>#N/A</v>
      </c>
      <c r="J802" s="4" t="e">
        <f>VLOOKUP(A802,Revisión!$A$2:$L$703,8,FALSE)</f>
        <v>#N/A</v>
      </c>
      <c r="K802" s="4" t="e">
        <f>VLOOKUP(A802,Revisión!$A$2:$L$703,9,FALSE)</f>
        <v>#N/A</v>
      </c>
      <c r="L802" s="4" t="e">
        <f>VLOOKUP(A802,Revisión!$A$2:$L$703,10,FALSE)</f>
        <v>#N/A</v>
      </c>
      <c r="M802" s="18" t="e">
        <f>VLOOKUP(A802,Revisión!$A$2:$L$703,11,FALSE)</f>
        <v>#N/A</v>
      </c>
      <c r="N802" s="30" t="e">
        <f>IF(E802="Coinciden",D802,IF(E802="Revisar",VLOOKUP(A802,Revisión!$A$2:$L$703,12,FALSE),""))</f>
        <v>#N/A</v>
      </c>
    </row>
    <row r="803" spans="1:14" x14ac:dyDescent="0.3">
      <c r="A803" t="s">
        <v>1668</v>
      </c>
      <c r="B803" t="s">
        <v>1669</v>
      </c>
      <c r="C803" t="s">
        <v>1669</v>
      </c>
      <c r="D803" t="s">
        <v>1669</v>
      </c>
      <c r="E803" t="s">
        <v>18</v>
      </c>
      <c r="F803" t="s">
        <v>19</v>
      </c>
      <c r="H803" s="23" t="e">
        <f>VLOOKUP(A803,Revisión!$A$2:$L$703,6,FALSE)</f>
        <v>#N/A</v>
      </c>
      <c r="I803" s="4" t="e">
        <f>VLOOKUP(A803,Revisión!$A$2:$L$703,7,FALSE)</f>
        <v>#N/A</v>
      </c>
      <c r="J803" s="4" t="e">
        <f>VLOOKUP(A803,Revisión!$A$2:$L$703,8,FALSE)</f>
        <v>#N/A</v>
      </c>
      <c r="K803" s="4" t="e">
        <f>VLOOKUP(A803,Revisión!$A$2:$L$703,9,FALSE)</f>
        <v>#N/A</v>
      </c>
      <c r="L803" s="4" t="e">
        <f>VLOOKUP(A803,Revisión!$A$2:$L$703,10,FALSE)</f>
        <v>#N/A</v>
      </c>
      <c r="M803" s="18" t="e">
        <f>VLOOKUP(A803,Revisión!$A$2:$L$703,11,FALSE)</f>
        <v>#N/A</v>
      </c>
      <c r="N803" s="30" t="str">
        <f>IF(E803="Coinciden",D803,IF(E803="Revisar",VLOOKUP(A803,Revisión!$A$2:$L$703,12,FALSE),""))</f>
        <v>Erigeron andicola</v>
      </c>
    </row>
    <row r="804" spans="1:14" x14ac:dyDescent="0.3">
      <c r="A804" t="s">
        <v>1670</v>
      </c>
      <c r="B804" t="s">
        <v>1671</v>
      </c>
      <c r="C804" t="s">
        <v>1672</v>
      </c>
      <c r="D804" t="s">
        <v>1672</v>
      </c>
      <c r="E804" t="s">
        <v>8</v>
      </c>
      <c r="F804" t="s">
        <v>23</v>
      </c>
      <c r="H804" s="23" t="str">
        <f>VLOOKUP(A804,Revisión!$A$2:$L$703,6,FALSE)</f>
        <v>Eriobotrya japonica</v>
      </c>
      <c r="I804" s="4" t="str">
        <f>VLOOKUP(A804,Revisión!$A$2:$L$703,7,FALSE)</f>
        <v>-</v>
      </c>
      <c r="J804" s="4" t="str">
        <f>VLOOKUP(A804,Revisión!$A$2:$L$703,8,FALSE)</f>
        <v>Eriobotrya japonica</v>
      </c>
      <c r="K804" s="4" t="str">
        <f>VLOOKUP(A804,Revisión!$A$2:$L$703,9,FALSE)</f>
        <v>Eriobotrya japonica</v>
      </c>
      <c r="L804" s="4" t="str">
        <f>VLOOKUP(A804,Revisión!$A$2:$L$703,10,FALSE)</f>
        <v>Eriobotrya japonica</v>
      </c>
      <c r="M804" s="18">
        <f>VLOOKUP(A804,Revisión!$A$2:$L$703,11,FALSE)</f>
        <v>4</v>
      </c>
      <c r="N804" s="30" t="str">
        <f>IF(E804="Coinciden",D804,IF(E804="Revisar",VLOOKUP(A804,Revisión!$A$2:$L$703,12,FALSE),""))</f>
        <v>Eriobotrya japonica</v>
      </c>
    </row>
    <row r="805" spans="1:14" x14ac:dyDescent="0.3">
      <c r="A805" t="s">
        <v>1673</v>
      </c>
      <c r="B805" t="s">
        <v>1674</v>
      </c>
      <c r="C805" t="s">
        <v>1674</v>
      </c>
      <c r="D805" t="s">
        <v>1674</v>
      </c>
      <c r="E805" t="s">
        <v>18</v>
      </c>
      <c r="F805" t="s">
        <v>19</v>
      </c>
      <c r="H805" s="23" t="e">
        <f>VLOOKUP(A805,Revisión!$A$2:$L$703,6,FALSE)</f>
        <v>#N/A</v>
      </c>
      <c r="I805" s="4" t="e">
        <f>VLOOKUP(A805,Revisión!$A$2:$L$703,7,FALSE)</f>
        <v>#N/A</v>
      </c>
      <c r="J805" s="4" t="e">
        <f>VLOOKUP(A805,Revisión!$A$2:$L$703,8,FALSE)</f>
        <v>#N/A</v>
      </c>
      <c r="K805" s="4" t="e">
        <f>VLOOKUP(A805,Revisión!$A$2:$L$703,9,FALSE)</f>
        <v>#N/A</v>
      </c>
      <c r="L805" s="4" t="e">
        <f>VLOOKUP(A805,Revisión!$A$2:$L$703,10,FALSE)</f>
        <v>#N/A</v>
      </c>
      <c r="M805" s="18" t="e">
        <f>VLOOKUP(A805,Revisión!$A$2:$L$703,11,FALSE)</f>
        <v>#N/A</v>
      </c>
      <c r="N805" s="30" t="str">
        <f>IF(E805="Coinciden",D805,IF(E805="Revisar",VLOOKUP(A805,Revisión!$A$2:$L$703,12,FALSE),""))</f>
        <v>Eriopsis biloba</v>
      </c>
    </row>
    <row r="806" spans="1:14" x14ac:dyDescent="0.3">
      <c r="A806" t="s">
        <v>1675</v>
      </c>
      <c r="B806" t="s">
        <v>1676</v>
      </c>
      <c r="C806" t="s">
        <v>1676</v>
      </c>
      <c r="D806" t="s">
        <v>1676</v>
      </c>
      <c r="E806" t="s">
        <v>18</v>
      </c>
      <c r="F806" t="s">
        <v>19</v>
      </c>
      <c r="H806" s="23" t="e">
        <f>VLOOKUP(A806,Revisión!$A$2:$L$703,6,FALSE)</f>
        <v>#N/A</v>
      </c>
      <c r="I806" s="4" t="e">
        <f>VLOOKUP(A806,Revisión!$A$2:$L$703,7,FALSE)</f>
        <v>#N/A</v>
      </c>
      <c r="J806" s="4" t="e">
        <f>VLOOKUP(A806,Revisión!$A$2:$L$703,8,FALSE)</f>
        <v>#N/A</v>
      </c>
      <c r="K806" s="4" t="e">
        <f>VLOOKUP(A806,Revisión!$A$2:$L$703,9,FALSE)</f>
        <v>#N/A</v>
      </c>
      <c r="L806" s="4" t="e">
        <f>VLOOKUP(A806,Revisión!$A$2:$L$703,10,FALSE)</f>
        <v>#N/A</v>
      </c>
      <c r="M806" s="18" t="e">
        <f>VLOOKUP(A806,Revisión!$A$2:$L$703,11,FALSE)</f>
        <v>#N/A</v>
      </c>
      <c r="N806" s="30" t="str">
        <f>IF(E806="Coinciden",D806,IF(E806="Revisar",VLOOKUP(A806,Revisión!$A$2:$L$703,12,FALSE),""))</f>
        <v>Erodium cicutarium</v>
      </c>
    </row>
    <row r="807" spans="1:14" x14ac:dyDescent="0.3">
      <c r="A807" t="s">
        <v>1677</v>
      </c>
      <c r="B807" t="s">
        <v>1678</v>
      </c>
      <c r="C807" t="s">
        <v>1678</v>
      </c>
      <c r="D807" t="s">
        <v>1678</v>
      </c>
      <c r="E807" t="s">
        <v>18</v>
      </c>
      <c r="F807" t="s">
        <v>19</v>
      </c>
      <c r="H807" s="23" t="e">
        <f>VLOOKUP(A807,Revisión!$A$2:$L$703,6,FALSE)</f>
        <v>#N/A</v>
      </c>
      <c r="I807" s="4" t="e">
        <f>VLOOKUP(A807,Revisión!$A$2:$L$703,7,FALSE)</f>
        <v>#N/A</v>
      </c>
      <c r="J807" s="4" t="e">
        <f>VLOOKUP(A807,Revisión!$A$2:$L$703,8,FALSE)</f>
        <v>#N/A</v>
      </c>
      <c r="K807" s="4" t="e">
        <f>VLOOKUP(A807,Revisión!$A$2:$L$703,9,FALSE)</f>
        <v>#N/A</v>
      </c>
      <c r="L807" s="4" t="e">
        <f>VLOOKUP(A807,Revisión!$A$2:$L$703,10,FALSE)</f>
        <v>#N/A</v>
      </c>
      <c r="M807" s="18" t="e">
        <f>VLOOKUP(A807,Revisión!$A$2:$L$703,11,FALSE)</f>
        <v>#N/A</v>
      </c>
      <c r="N807" s="30" t="str">
        <f>IF(E807="Coinciden",D807,IF(E807="Revisar",VLOOKUP(A807,Revisión!$A$2:$L$703,12,FALSE),""))</f>
        <v>Erodium malacoides</v>
      </c>
    </row>
    <row r="808" spans="1:14" x14ac:dyDescent="0.3">
      <c r="A808" t="s">
        <v>1679</v>
      </c>
      <c r="B808" t="s">
        <v>1680</v>
      </c>
      <c r="C808" t="s">
        <v>1680</v>
      </c>
      <c r="D808" t="s">
        <v>1680</v>
      </c>
      <c r="E808" t="s">
        <v>18</v>
      </c>
      <c r="F808" t="s">
        <v>19</v>
      </c>
      <c r="H808" s="23" t="e">
        <f>VLOOKUP(A808,Revisión!$A$2:$L$703,6,FALSE)</f>
        <v>#N/A</v>
      </c>
      <c r="I808" s="4" t="e">
        <f>VLOOKUP(A808,Revisión!$A$2:$L$703,7,FALSE)</f>
        <v>#N/A</v>
      </c>
      <c r="J808" s="4" t="e">
        <f>VLOOKUP(A808,Revisión!$A$2:$L$703,8,FALSE)</f>
        <v>#N/A</v>
      </c>
      <c r="K808" s="4" t="e">
        <f>VLOOKUP(A808,Revisión!$A$2:$L$703,9,FALSE)</f>
        <v>#N/A</v>
      </c>
      <c r="L808" s="4" t="e">
        <f>VLOOKUP(A808,Revisión!$A$2:$L$703,10,FALSE)</f>
        <v>#N/A</v>
      </c>
      <c r="M808" s="18" t="e">
        <f>VLOOKUP(A808,Revisión!$A$2:$L$703,11,FALSE)</f>
        <v>#N/A</v>
      </c>
      <c r="N808" s="30" t="str">
        <f>IF(E808="Coinciden",D808,IF(E808="Revisar",VLOOKUP(A808,Revisión!$A$2:$L$703,12,FALSE),""))</f>
        <v>Eruca vesicaria</v>
      </c>
    </row>
    <row r="809" spans="1:14" x14ac:dyDescent="0.3">
      <c r="A809" t="s">
        <v>1681</v>
      </c>
      <c r="B809" t="s">
        <v>1682</v>
      </c>
      <c r="C809" t="s">
        <v>1682</v>
      </c>
      <c r="D809" t="s">
        <v>1682</v>
      </c>
      <c r="E809" t="s">
        <v>18</v>
      </c>
      <c r="F809" t="s">
        <v>19</v>
      </c>
      <c r="H809" s="23" t="e">
        <f>VLOOKUP(A809,Revisión!$A$2:$L$703,6,FALSE)</f>
        <v>#N/A</v>
      </c>
      <c r="I809" s="4" t="e">
        <f>VLOOKUP(A809,Revisión!$A$2:$L$703,7,FALSE)</f>
        <v>#N/A</v>
      </c>
      <c r="J809" s="4" t="e">
        <f>VLOOKUP(A809,Revisión!$A$2:$L$703,8,FALSE)</f>
        <v>#N/A</v>
      </c>
      <c r="K809" s="4" t="e">
        <f>VLOOKUP(A809,Revisión!$A$2:$L$703,9,FALSE)</f>
        <v>#N/A</v>
      </c>
      <c r="L809" s="4" t="e">
        <f>VLOOKUP(A809,Revisión!$A$2:$L$703,10,FALSE)</f>
        <v>#N/A</v>
      </c>
      <c r="M809" s="18" t="e">
        <f>VLOOKUP(A809,Revisión!$A$2:$L$703,11,FALSE)</f>
        <v>#N/A</v>
      </c>
      <c r="N809" s="30" t="str">
        <f>IF(E809="Coinciden",D809,IF(E809="Revisar",VLOOKUP(A809,Revisión!$A$2:$L$703,12,FALSE),""))</f>
        <v>Eryngium stenophyllum</v>
      </c>
    </row>
    <row r="810" spans="1:14" x14ac:dyDescent="0.3">
      <c r="A810" t="s">
        <v>1683</v>
      </c>
      <c r="B810" t="s">
        <v>1684</v>
      </c>
      <c r="C810" t="s">
        <v>1684</v>
      </c>
      <c r="D810" t="s">
        <v>1684</v>
      </c>
      <c r="E810" t="s">
        <v>18</v>
      </c>
      <c r="F810" t="s">
        <v>19</v>
      </c>
      <c r="H810" s="23" t="e">
        <f>VLOOKUP(A810,Revisión!$A$2:$L$703,6,FALSE)</f>
        <v>#N/A</v>
      </c>
      <c r="I810" s="4" t="e">
        <f>VLOOKUP(A810,Revisión!$A$2:$L$703,7,FALSE)</f>
        <v>#N/A</v>
      </c>
      <c r="J810" s="4" t="e">
        <f>VLOOKUP(A810,Revisión!$A$2:$L$703,8,FALSE)</f>
        <v>#N/A</v>
      </c>
      <c r="K810" s="4" t="e">
        <f>VLOOKUP(A810,Revisión!$A$2:$L$703,9,FALSE)</f>
        <v>#N/A</v>
      </c>
      <c r="L810" s="4" t="e">
        <f>VLOOKUP(A810,Revisión!$A$2:$L$703,10,FALSE)</f>
        <v>#N/A</v>
      </c>
      <c r="M810" s="18" t="e">
        <f>VLOOKUP(A810,Revisión!$A$2:$L$703,11,FALSE)</f>
        <v>#N/A</v>
      </c>
      <c r="N810" s="30" t="str">
        <f>IF(E810="Coinciden",D810,IF(E810="Revisar",VLOOKUP(A810,Revisión!$A$2:$L$703,12,FALSE),""))</f>
        <v>Eryngium horridum</v>
      </c>
    </row>
    <row r="811" spans="1:14" x14ac:dyDescent="0.3">
      <c r="A811" t="s">
        <v>1685</v>
      </c>
      <c r="B811" t="s">
        <v>1686</v>
      </c>
      <c r="C811" t="s">
        <v>1686</v>
      </c>
      <c r="D811" t="s">
        <v>1686</v>
      </c>
      <c r="E811" t="s">
        <v>18</v>
      </c>
      <c r="F811" t="s">
        <v>19</v>
      </c>
      <c r="H811" s="23" t="e">
        <f>VLOOKUP(A811,Revisión!$A$2:$L$703,6,FALSE)</f>
        <v>#N/A</v>
      </c>
      <c r="I811" s="4" t="e">
        <f>VLOOKUP(A811,Revisión!$A$2:$L$703,7,FALSE)</f>
        <v>#N/A</v>
      </c>
      <c r="J811" s="4" t="e">
        <f>VLOOKUP(A811,Revisión!$A$2:$L$703,8,FALSE)</f>
        <v>#N/A</v>
      </c>
      <c r="K811" s="4" t="e">
        <f>VLOOKUP(A811,Revisión!$A$2:$L$703,9,FALSE)</f>
        <v>#N/A</v>
      </c>
      <c r="L811" s="4" t="e">
        <f>VLOOKUP(A811,Revisión!$A$2:$L$703,10,FALSE)</f>
        <v>#N/A</v>
      </c>
      <c r="M811" s="18" t="e">
        <f>VLOOKUP(A811,Revisión!$A$2:$L$703,11,FALSE)</f>
        <v>#N/A</v>
      </c>
      <c r="N811" s="30" t="str">
        <f>IF(E811="Coinciden",D811,IF(E811="Revisar",VLOOKUP(A811,Revisión!$A$2:$L$703,12,FALSE),""))</f>
        <v>Eryngium campestre</v>
      </c>
    </row>
    <row r="812" spans="1:14" x14ac:dyDescent="0.3">
      <c r="A812" t="s">
        <v>1687</v>
      </c>
      <c r="B812" t="s">
        <v>1688</v>
      </c>
      <c r="C812" t="s">
        <v>1688</v>
      </c>
      <c r="D812" t="s">
        <v>1688</v>
      </c>
      <c r="E812" t="s">
        <v>18</v>
      </c>
      <c r="F812" t="s">
        <v>19</v>
      </c>
      <c r="H812" s="23" t="e">
        <f>VLOOKUP(A812,Revisión!$A$2:$L$703,6,FALSE)</f>
        <v>#N/A</v>
      </c>
      <c r="I812" s="4" t="e">
        <f>VLOOKUP(A812,Revisión!$A$2:$L$703,7,FALSE)</f>
        <v>#N/A</v>
      </c>
      <c r="J812" s="4" t="e">
        <f>VLOOKUP(A812,Revisión!$A$2:$L$703,8,FALSE)</f>
        <v>#N/A</v>
      </c>
      <c r="K812" s="4" t="e">
        <f>VLOOKUP(A812,Revisión!$A$2:$L$703,9,FALSE)</f>
        <v>#N/A</v>
      </c>
      <c r="L812" s="4" t="e">
        <f>VLOOKUP(A812,Revisión!$A$2:$L$703,10,FALSE)</f>
        <v>#N/A</v>
      </c>
      <c r="M812" s="18" t="e">
        <f>VLOOKUP(A812,Revisión!$A$2:$L$703,11,FALSE)</f>
        <v>#N/A</v>
      </c>
      <c r="N812" s="30" t="str">
        <f>IF(E812="Coinciden",D812,IF(E812="Revisar",VLOOKUP(A812,Revisión!$A$2:$L$703,12,FALSE),""))</f>
        <v>Eryngium yuccifolium</v>
      </c>
    </row>
    <row r="813" spans="1:14" x14ac:dyDescent="0.3">
      <c r="A813" t="s">
        <v>1689</v>
      </c>
      <c r="B813" t="s">
        <v>1690</v>
      </c>
      <c r="C813" t="s">
        <v>1690</v>
      </c>
      <c r="D813" t="s">
        <v>1690</v>
      </c>
      <c r="E813" t="s">
        <v>18</v>
      </c>
      <c r="F813" t="s">
        <v>19</v>
      </c>
      <c r="H813" s="23" t="e">
        <f>VLOOKUP(A813,Revisión!$A$2:$L$703,6,FALSE)</f>
        <v>#N/A</v>
      </c>
      <c r="I813" s="4" t="e">
        <f>VLOOKUP(A813,Revisión!$A$2:$L$703,7,FALSE)</f>
        <v>#N/A</v>
      </c>
      <c r="J813" s="4" t="e">
        <f>VLOOKUP(A813,Revisión!$A$2:$L$703,8,FALSE)</f>
        <v>#N/A</v>
      </c>
      <c r="K813" s="4" t="e">
        <f>VLOOKUP(A813,Revisión!$A$2:$L$703,9,FALSE)</f>
        <v>#N/A</v>
      </c>
      <c r="L813" s="4" t="e">
        <f>VLOOKUP(A813,Revisión!$A$2:$L$703,10,FALSE)</f>
        <v>#N/A</v>
      </c>
      <c r="M813" s="18" t="e">
        <f>VLOOKUP(A813,Revisión!$A$2:$L$703,11,FALSE)</f>
        <v>#N/A</v>
      </c>
      <c r="N813" s="30" t="str">
        <f>IF(E813="Coinciden",D813,IF(E813="Revisar",VLOOKUP(A813,Revisión!$A$2:$L$703,12,FALSE),""))</f>
        <v>Eryngium floribundum</v>
      </c>
    </row>
    <row r="814" spans="1:14" x14ac:dyDescent="0.3">
      <c r="A814" t="s">
        <v>1691</v>
      </c>
      <c r="B814" t="s">
        <v>1692</v>
      </c>
      <c r="C814" t="s">
        <v>1692</v>
      </c>
      <c r="D814" t="s">
        <v>1692</v>
      </c>
      <c r="E814" t="s">
        <v>18</v>
      </c>
      <c r="F814" t="s">
        <v>19</v>
      </c>
      <c r="H814" s="23" t="e">
        <f>VLOOKUP(A814,Revisión!$A$2:$L$703,6,FALSE)</f>
        <v>#N/A</v>
      </c>
      <c r="I814" s="4" t="e">
        <f>VLOOKUP(A814,Revisión!$A$2:$L$703,7,FALSE)</f>
        <v>#N/A</v>
      </c>
      <c r="J814" s="4" t="e">
        <f>VLOOKUP(A814,Revisión!$A$2:$L$703,8,FALSE)</f>
        <v>#N/A</v>
      </c>
      <c r="K814" s="4" t="e">
        <f>VLOOKUP(A814,Revisión!$A$2:$L$703,9,FALSE)</f>
        <v>#N/A</v>
      </c>
      <c r="L814" s="4" t="e">
        <f>VLOOKUP(A814,Revisión!$A$2:$L$703,10,FALSE)</f>
        <v>#N/A</v>
      </c>
      <c r="M814" s="18" t="e">
        <f>VLOOKUP(A814,Revisión!$A$2:$L$703,11,FALSE)</f>
        <v>#N/A</v>
      </c>
      <c r="N814" s="30" t="str">
        <f>IF(E814="Coinciden",D814,IF(E814="Revisar",VLOOKUP(A814,Revisión!$A$2:$L$703,12,FALSE),""))</f>
        <v>Eryngium nudicaule</v>
      </c>
    </row>
    <row r="815" spans="1:14" x14ac:dyDescent="0.3">
      <c r="A815" t="s">
        <v>1693</v>
      </c>
      <c r="B815" t="s">
        <v>1694</v>
      </c>
      <c r="C815" t="s">
        <v>1694</v>
      </c>
      <c r="D815" t="s">
        <v>1694</v>
      </c>
      <c r="E815" t="s">
        <v>18</v>
      </c>
      <c r="F815" t="s">
        <v>19</v>
      </c>
      <c r="H815" s="23" t="e">
        <f>VLOOKUP(A815,Revisión!$A$2:$L$703,6,FALSE)</f>
        <v>#N/A</v>
      </c>
      <c r="I815" s="4" t="e">
        <f>VLOOKUP(A815,Revisión!$A$2:$L$703,7,FALSE)</f>
        <v>#N/A</v>
      </c>
      <c r="J815" s="4" t="e">
        <f>VLOOKUP(A815,Revisión!$A$2:$L$703,8,FALSE)</f>
        <v>#N/A</v>
      </c>
      <c r="K815" s="4" t="e">
        <f>VLOOKUP(A815,Revisión!$A$2:$L$703,9,FALSE)</f>
        <v>#N/A</v>
      </c>
      <c r="L815" s="4" t="e">
        <f>VLOOKUP(A815,Revisión!$A$2:$L$703,10,FALSE)</f>
        <v>#N/A</v>
      </c>
      <c r="M815" s="18" t="e">
        <f>VLOOKUP(A815,Revisión!$A$2:$L$703,11,FALSE)</f>
        <v>#N/A</v>
      </c>
      <c r="N815" s="30" t="str">
        <f>IF(E815="Coinciden",D815,IF(E815="Revisar",VLOOKUP(A815,Revisión!$A$2:$L$703,12,FALSE),""))</f>
        <v>Erysimum scoparium</v>
      </c>
    </row>
    <row r="816" spans="1:14" x14ac:dyDescent="0.3">
      <c r="A816" t="s">
        <v>1695</v>
      </c>
      <c r="B816" t="s">
        <v>1696</v>
      </c>
      <c r="C816" t="s">
        <v>1696</v>
      </c>
      <c r="D816" t="s">
        <v>1696</v>
      </c>
      <c r="E816" t="s">
        <v>18</v>
      </c>
      <c r="F816" t="s">
        <v>19</v>
      </c>
      <c r="H816" s="23" t="e">
        <f>VLOOKUP(A816,Revisión!$A$2:$L$703,6,FALSE)</f>
        <v>#N/A</v>
      </c>
      <c r="I816" s="4" t="e">
        <f>VLOOKUP(A816,Revisión!$A$2:$L$703,7,FALSE)</f>
        <v>#N/A</v>
      </c>
      <c r="J816" s="4" t="e">
        <f>VLOOKUP(A816,Revisión!$A$2:$L$703,8,FALSE)</f>
        <v>#N/A</v>
      </c>
      <c r="K816" s="4" t="e">
        <f>VLOOKUP(A816,Revisión!$A$2:$L$703,9,FALSE)</f>
        <v>#N/A</v>
      </c>
      <c r="L816" s="4" t="e">
        <f>VLOOKUP(A816,Revisión!$A$2:$L$703,10,FALSE)</f>
        <v>#N/A</v>
      </c>
      <c r="M816" s="18" t="e">
        <f>VLOOKUP(A816,Revisión!$A$2:$L$703,11,FALSE)</f>
        <v>#N/A</v>
      </c>
      <c r="N816" s="30" t="str">
        <f>IF(E816="Coinciden",D816,IF(E816="Revisar",VLOOKUP(A816,Revisión!$A$2:$L$703,12,FALSE),""))</f>
        <v>Erysimum asperum</v>
      </c>
    </row>
    <row r="817" spans="1:14" x14ac:dyDescent="0.3">
      <c r="A817" t="s">
        <v>1697</v>
      </c>
      <c r="E817" t="s">
        <v>8</v>
      </c>
      <c r="F817" t="s">
        <v>11</v>
      </c>
      <c r="H817" s="23" t="e">
        <f>VLOOKUP(A817,Revisión!$A$2:$L$703,6,FALSE)</f>
        <v>#N/A</v>
      </c>
      <c r="I817" s="4" t="e">
        <f>VLOOKUP(A817,Revisión!$A$2:$L$703,7,FALSE)</f>
        <v>#N/A</v>
      </c>
      <c r="J817" s="4" t="e">
        <f>VLOOKUP(A817,Revisión!$A$2:$L$703,8,FALSE)</f>
        <v>#N/A</v>
      </c>
      <c r="K817" s="4" t="e">
        <f>VLOOKUP(A817,Revisión!$A$2:$L$703,9,FALSE)</f>
        <v>#N/A</v>
      </c>
      <c r="L817" s="4" t="e">
        <f>VLOOKUP(A817,Revisión!$A$2:$L$703,10,FALSE)</f>
        <v>#N/A</v>
      </c>
      <c r="M817" s="18" t="e">
        <f>VLOOKUP(A817,Revisión!$A$2:$L$703,11,FALSE)</f>
        <v>#N/A</v>
      </c>
      <c r="N817" s="30" t="e">
        <f>IF(E817="Coinciden",D817,IF(E817="Revisar",VLOOKUP(A817,Revisión!$A$2:$L$703,12,FALSE),""))</f>
        <v>#N/A</v>
      </c>
    </row>
    <row r="818" spans="1:14" x14ac:dyDescent="0.3">
      <c r="A818" t="s">
        <v>1698</v>
      </c>
      <c r="B818" t="s">
        <v>1699</v>
      </c>
      <c r="C818" t="s">
        <v>1700</v>
      </c>
      <c r="D818" t="s">
        <v>1699</v>
      </c>
      <c r="E818" t="s">
        <v>8</v>
      </c>
      <c r="F818" t="s">
        <v>493</v>
      </c>
      <c r="H818" s="23" t="str">
        <f>VLOOKUP(A818,Revisión!$A$2:$L$703,6,FALSE)</f>
        <v>Erysimum redowskii</v>
      </c>
      <c r="I818" s="4" t="str">
        <f>VLOOKUP(A818,Revisión!$A$2:$L$703,7,FALSE)</f>
        <v>-</v>
      </c>
      <c r="J818" s="4" t="str">
        <f>VLOOKUP(A818,Revisión!$A$2:$L$703,8,FALSE)</f>
        <v>Erysimum redowskii</v>
      </c>
      <c r="K818" s="4" t="str">
        <f>VLOOKUP(A818,Revisión!$A$2:$L$703,9,FALSE)</f>
        <v>Erysimum pallasii</v>
      </c>
      <c r="L818" s="4" t="str">
        <f>VLOOKUP(A818,Revisión!$A$2:$L$703,10,FALSE)</f>
        <v>Erysimum redowskii</v>
      </c>
      <c r="M818" s="18">
        <f>VLOOKUP(A818,Revisión!$A$2:$L$703,11,FALSE)</f>
        <v>3</v>
      </c>
      <c r="N818" s="30" t="str">
        <f>IF(E818="Coinciden",D818,IF(E818="Revisar",VLOOKUP(A818,Revisión!$A$2:$L$703,12,FALSE),""))</f>
        <v>Erysimum redowskii</v>
      </c>
    </row>
    <row r="819" spans="1:14" x14ac:dyDescent="0.3">
      <c r="A819" t="s">
        <v>1701</v>
      </c>
      <c r="B819" t="s">
        <v>1702</v>
      </c>
      <c r="C819" t="s">
        <v>1702</v>
      </c>
      <c r="D819" t="s">
        <v>1702</v>
      </c>
      <c r="E819" t="s">
        <v>18</v>
      </c>
      <c r="F819" t="s">
        <v>19</v>
      </c>
      <c r="H819" s="23" t="e">
        <f>VLOOKUP(A819,Revisión!$A$2:$L$703,6,FALSE)</f>
        <v>#N/A</v>
      </c>
      <c r="I819" s="4" t="e">
        <f>VLOOKUP(A819,Revisión!$A$2:$L$703,7,FALSE)</f>
        <v>#N/A</v>
      </c>
      <c r="J819" s="4" t="e">
        <f>VLOOKUP(A819,Revisión!$A$2:$L$703,8,FALSE)</f>
        <v>#N/A</v>
      </c>
      <c r="K819" s="4" t="e">
        <f>VLOOKUP(A819,Revisión!$A$2:$L$703,9,FALSE)</f>
        <v>#N/A</v>
      </c>
      <c r="L819" s="4" t="e">
        <f>VLOOKUP(A819,Revisión!$A$2:$L$703,10,FALSE)</f>
        <v>#N/A</v>
      </c>
      <c r="M819" s="18" t="e">
        <f>VLOOKUP(A819,Revisión!$A$2:$L$703,11,FALSE)</f>
        <v>#N/A</v>
      </c>
      <c r="N819" s="30" t="str">
        <f>IF(E819="Coinciden",D819,IF(E819="Revisar",VLOOKUP(A819,Revisión!$A$2:$L$703,12,FALSE),""))</f>
        <v>Erysimum cheiranthoides</v>
      </c>
    </row>
    <row r="820" spans="1:14" x14ac:dyDescent="0.3">
      <c r="A820" t="s">
        <v>1703</v>
      </c>
      <c r="B820" t="s">
        <v>1704</v>
      </c>
      <c r="C820" t="s">
        <v>1704</v>
      </c>
      <c r="D820" t="s">
        <v>1704</v>
      </c>
      <c r="E820" t="s">
        <v>18</v>
      </c>
      <c r="F820" t="s">
        <v>19</v>
      </c>
      <c r="H820" s="23" t="e">
        <f>VLOOKUP(A820,Revisión!$A$2:$L$703,6,FALSE)</f>
        <v>#N/A</v>
      </c>
      <c r="I820" s="4" t="e">
        <f>VLOOKUP(A820,Revisión!$A$2:$L$703,7,FALSE)</f>
        <v>#N/A</v>
      </c>
      <c r="J820" s="4" t="e">
        <f>VLOOKUP(A820,Revisión!$A$2:$L$703,8,FALSE)</f>
        <v>#N/A</v>
      </c>
      <c r="K820" s="4" t="e">
        <f>VLOOKUP(A820,Revisión!$A$2:$L$703,9,FALSE)</f>
        <v>#N/A</v>
      </c>
      <c r="L820" s="4" t="e">
        <f>VLOOKUP(A820,Revisión!$A$2:$L$703,10,FALSE)</f>
        <v>#N/A</v>
      </c>
      <c r="M820" s="18" t="e">
        <f>VLOOKUP(A820,Revisión!$A$2:$L$703,11,FALSE)</f>
        <v>#N/A</v>
      </c>
      <c r="N820" s="30" t="str">
        <f>IF(E820="Coinciden",D820,IF(E820="Revisar",VLOOKUP(A820,Revisión!$A$2:$L$703,12,FALSE),""))</f>
        <v>Erythronium albidum</v>
      </c>
    </row>
    <row r="821" spans="1:14" x14ac:dyDescent="0.3">
      <c r="A821" t="s">
        <v>1705</v>
      </c>
      <c r="B821" t="s">
        <v>1706</v>
      </c>
      <c r="C821" t="s">
        <v>1706</v>
      </c>
      <c r="D821" t="s">
        <v>1706</v>
      </c>
      <c r="E821" t="s">
        <v>18</v>
      </c>
      <c r="F821" t="s">
        <v>19</v>
      </c>
      <c r="H821" s="23" t="e">
        <f>VLOOKUP(A821,Revisión!$A$2:$L$703,6,FALSE)</f>
        <v>#N/A</v>
      </c>
      <c r="I821" s="4" t="e">
        <f>VLOOKUP(A821,Revisión!$A$2:$L$703,7,FALSE)</f>
        <v>#N/A</v>
      </c>
      <c r="J821" s="4" t="e">
        <f>VLOOKUP(A821,Revisión!$A$2:$L$703,8,FALSE)</f>
        <v>#N/A</v>
      </c>
      <c r="K821" s="4" t="e">
        <f>VLOOKUP(A821,Revisión!$A$2:$L$703,9,FALSE)</f>
        <v>#N/A</v>
      </c>
      <c r="L821" s="4" t="e">
        <f>VLOOKUP(A821,Revisión!$A$2:$L$703,10,FALSE)</f>
        <v>#N/A</v>
      </c>
      <c r="M821" s="18" t="e">
        <f>VLOOKUP(A821,Revisión!$A$2:$L$703,11,FALSE)</f>
        <v>#N/A</v>
      </c>
      <c r="N821" s="30" t="str">
        <f>IF(E821="Coinciden",D821,IF(E821="Revisar",VLOOKUP(A821,Revisión!$A$2:$L$703,12,FALSE),""))</f>
        <v>Erythronium umbilicatum</v>
      </c>
    </row>
    <row r="822" spans="1:14" x14ac:dyDescent="0.3">
      <c r="A822" t="s">
        <v>1707</v>
      </c>
      <c r="B822" t="s">
        <v>1708</v>
      </c>
      <c r="C822" t="s">
        <v>1708</v>
      </c>
      <c r="D822" t="s">
        <v>1708</v>
      </c>
      <c r="E822" t="s">
        <v>18</v>
      </c>
      <c r="F822" t="s">
        <v>19</v>
      </c>
      <c r="H822" s="23" t="e">
        <f>VLOOKUP(A822,Revisión!$A$2:$L$703,6,FALSE)</f>
        <v>#N/A</v>
      </c>
      <c r="I822" s="4" t="e">
        <f>VLOOKUP(A822,Revisión!$A$2:$L$703,7,FALSE)</f>
        <v>#N/A</v>
      </c>
      <c r="J822" s="4" t="e">
        <f>VLOOKUP(A822,Revisión!$A$2:$L$703,8,FALSE)</f>
        <v>#N/A</v>
      </c>
      <c r="K822" s="4" t="e">
        <f>VLOOKUP(A822,Revisión!$A$2:$L$703,9,FALSE)</f>
        <v>#N/A</v>
      </c>
      <c r="L822" s="4" t="e">
        <f>VLOOKUP(A822,Revisión!$A$2:$L$703,10,FALSE)</f>
        <v>#N/A</v>
      </c>
      <c r="M822" s="18" t="e">
        <f>VLOOKUP(A822,Revisión!$A$2:$L$703,11,FALSE)</f>
        <v>#N/A</v>
      </c>
      <c r="N822" s="30" t="str">
        <f>IF(E822="Coinciden",D822,IF(E822="Revisar",VLOOKUP(A822,Revisión!$A$2:$L$703,12,FALSE),""))</f>
        <v>Erythrospermum monticola</v>
      </c>
    </row>
    <row r="823" spans="1:14" x14ac:dyDescent="0.3">
      <c r="A823" t="s">
        <v>1709</v>
      </c>
      <c r="B823" t="s">
        <v>1710</v>
      </c>
      <c r="C823" t="s">
        <v>1710</v>
      </c>
      <c r="D823" t="s">
        <v>1710</v>
      </c>
      <c r="E823" t="s">
        <v>18</v>
      </c>
      <c r="F823" t="s">
        <v>19</v>
      </c>
      <c r="H823" s="23" t="e">
        <f>VLOOKUP(A823,Revisión!$A$2:$L$703,6,FALSE)</f>
        <v>#N/A</v>
      </c>
      <c r="I823" s="4" t="e">
        <f>VLOOKUP(A823,Revisión!$A$2:$L$703,7,FALSE)</f>
        <v>#N/A</v>
      </c>
      <c r="J823" s="4" t="e">
        <f>VLOOKUP(A823,Revisión!$A$2:$L$703,8,FALSE)</f>
        <v>#N/A</v>
      </c>
      <c r="K823" s="4" t="e">
        <f>VLOOKUP(A823,Revisión!$A$2:$L$703,9,FALSE)</f>
        <v>#N/A</v>
      </c>
      <c r="L823" s="4" t="e">
        <f>VLOOKUP(A823,Revisión!$A$2:$L$703,10,FALSE)</f>
        <v>#N/A</v>
      </c>
      <c r="M823" s="18" t="e">
        <f>VLOOKUP(A823,Revisión!$A$2:$L$703,11,FALSE)</f>
        <v>#N/A</v>
      </c>
      <c r="N823" s="30" t="str">
        <f>IF(E823="Coinciden",D823,IF(E823="Revisar",VLOOKUP(A823,Revisión!$A$2:$L$703,12,FALSE),""))</f>
        <v>Erythroxylum macrocarpum</v>
      </c>
    </row>
    <row r="824" spans="1:14" x14ac:dyDescent="0.3">
      <c r="A824" t="s">
        <v>1711</v>
      </c>
      <c r="B824" t="s">
        <v>1712</v>
      </c>
      <c r="C824" t="s">
        <v>1712</v>
      </c>
      <c r="D824" t="s">
        <v>1712</v>
      </c>
      <c r="E824" t="s">
        <v>18</v>
      </c>
      <c r="F824" t="s">
        <v>19</v>
      </c>
      <c r="H824" s="23" t="e">
        <f>VLOOKUP(A824,Revisión!$A$2:$L$703,6,FALSE)</f>
        <v>#N/A</v>
      </c>
      <c r="I824" s="4" t="e">
        <f>VLOOKUP(A824,Revisión!$A$2:$L$703,7,FALSE)</f>
        <v>#N/A</v>
      </c>
      <c r="J824" s="4" t="e">
        <f>VLOOKUP(A824,Revisión!$A$2:$L$703,8,FALSE)</f>
        <v>#N/A</v>
      </c>
      <c r="K824" s="4" t="e">
        <f>VLOOKUP(A824,Revisión!$A$2:$L$703,9,FALSE)</f>
        <v>#N/A</v>
      </c>
      <c r="L824" s="4" t="e">
        <f>VLOOKUP(A824,Revisión!$A$2:$L$703,10,FALSE)</f>
        <v>#N/A</v>
      </c>
      <c r="M824" s="18" t="e">
        <f>VLOOKUP(A824,Revisión!$A$2:$L$703,11,FALSE)</f>
        <v>#N/A</v>
      </c>
      <c r="N824" s="30" t="str">
        <f>IF(E824="Coinciden",D824,IF(E824="Revisar",VLOOKUP(A824,Revisión!$A$2:$L$703,12,FALSE),""))</f>
        <v>Erythroxylum sechellarum</v>
      </c>
    </row>
    <row r="825" spans="1:14" x14ac:dyDescent="0.3">
      <c r="A825" t="s">
        <v>1713</v>
      </c>
      <c r="B825" t="s">
        <v>1714</v>
      </c>
      <c r="C825" t="s">
        <v>1714</v>
      </c>
      <c r="D825" t="s">
        <v>1714</v>
      </c>
      <c r="E825" t="s">
        <v>18</v>
      </c>
      <c r="F825" t="s">
        <v>19</v>
      </c>
      <c r="H825" s="23" t="e">
        <f>VLOOKUP(A825,Revisión!$A$2:$L$703,6,FALSE)</f>
        <v>#N/A</v>
      </c>
      <c r="I825" s="4" t="e">
        <f>VLOOKUP(A825,Revisión!$A$2:$L$703,7,FALSE)</f>
        <v>#N/A</v>
      </c>
      <c r="J825" s="4" t="e">
        <f>VLOOKUP(A825,Revisión!$A$2:$L$703,8,FALSE)</f>
        <v>#N/A</v>
      </c>
      <c r="K825" s="4" t="e">
        <f>VLOOKUP(A825,Revisión!$A$2:$L$703,9,FALSE)</f>
        <v>#N/A</v>
      </c>
      <c r="L825" s="4" t="e">
        <f>VLOOKUP(A825,Revisión!$A$2:$L$703,10,FALSE)</f>
        <v>#N/A</v>
      </c>
      <c r="M825" s="18" t="e">
        <f>VLOOKUP(A825,Revisión!$A$2:$L$703,11,FALSE)</f>
        <v>#N/A</v>
      </c>
      <c r="N825" s="30" t="str">
        <f>IF(E825="Coinciden",D825,IF(E825="Revisar",VLOOKUP(A825,Revisión!$A$2:$L$703,12,FALSE),""))</f>
        <v>Eucryphia cordifolia</v>
      </c>
    </row>
    <row r="826" spans="1:14" x14ac:dyDescent="0.3">
      <c r="A826" t="s">
        <v>1715</v>
      </c>
      <c r="B826" t="s">
        <v>1716</v>
      </c>
      <c r="C826" t="s">
        <v>1716</v>
      </c>
      <c r="D826" t="s">
        <v>1716</v>
      </c>
      <c r="E826" t="s">
        <v>18</v>
      </c>
      <c r="F826" t="s">
        <v>19</v>
      </c>
      <c r="H826" s="23" t="e">
        <f>VLOOKUP(A826,Revisión!$A$2:$L$703,6,FALSE)</f>
        <v>#N/A</v>
      </c>
      <c r="I826" s="4" t="e">
        <f>VLOOKUP(A826,Revisión!$A$2:$L$703,7,FALSE)</f>
        <v>#N/A</v>
      </c>
      <c r="J826" s="4" t="e">
        <f>VLOOKUP(A826,Revisión!$A$2:$L$703,8,FALSE)</f>
        <v>#N/A</v>
      </c>
      <c r="K826" s="4" t="e">
        <f>VLOOKUP(A826,Revisión!$A$2:$L$703,9,FALSE)</f>
        <v>#N/A</v>
      </c>
      <c r="L826" s="4" t="e">
        <f>VLOOKUP(A826,Revisión!$A$2:$L$703,10,FALSE)</f>
        <v>#N/A</v>
      </c>
      <c r="M826" s="18" t="e">
        <f>VLOOKUP(A826,Revisión!$A$2:$L$703,11,FALSE)</f>
        <v>#N/A</v>
      </c>
      <c r="N826" s="30" t="str">
        <f>IF(E826="Coinciden",D826,IF(E826="Revisar",VLOOKUP(A826,Revisión!$A$2:$L$703,12,FALSE),""))</f>
        <v>Eugenia orbiculata</v>
      </c>
    </row>
    <row r="827" spans="1:14" x14ac:dyDescent="0.3">
      <c r="A827" t="s">
        <v>1717</v>
      </c>
      <c r="B827" t="s">
        <v>1718</v>
      </c>
      <c r="C827" t="s">
        <v>1718</v>
      </c>
      <c r="D827" t="s">
        <v>1718</v>
      </c>
      <c r="E827" t="s">
        <v>18</v>
      </c>
      <c r="F827" t="s">
        <v>19</v>
      </c>
      <c r="H827" s="23" t="e">
        <f>VLOOKUP(A827,Revisión!$A$2:$L$703,6,FALSE)</f>
        <v>#N/A</v>
      </c>
      <c r="I827" s="4" t="e">
        <f>VLOOKUP(A827,Revisión!$A$2:$L$703,7,FALSE)</f>
        <v>#N/A</v>
      </c>
      <c r="J827" s="4" t="e">
        <f>VLOOKUP(A827,Revisión!$A$2:$L$703,8,FALSE)</f>
        <v>#N/A</v>
      </c>
      <c r="K827" s="4" t="e">
        <f>VLOOKUP(A827,Revisión!$A$2:$L$703,9,FALSE)</f>
        <v>#N/A</v>
      </c>
      <c r="L827" s="4" t="e">
        <f>VLOOKUP(A827,Revisión!$A$2:$L$703,10,FALSE)</f>
        <v>#N/A</v>
      </c>
      <c r="M827" s="18" t="e">
        <f>VLOOKUP(A827,Revisión!$A$2:$L$703,11,FALSE)</f>
        <v>#N/A</v>
      </c>
      <c r="N827" s="30" t="str">
        <f>IF(E827="Coinciden",D827,IF(E827="Revisar",VLOOKUP(A827,Revisión!$A$2:$L$703,12,FALSE),""))</f>
        <v>Perideridia americana</v>
      </c>
    </row>
    <row r="828" spans="1:14" x14ac:dyDescent="0.3">
      <c r="A828" t="s">
        <v>1719</v>
      </c>
      <c r="C828" t="s">
        <v>1720</v>
      </c>
      <c r="D828" t="s">
        <v>1721</v>
      </c>
      <c r="E828" t="s">
        <v>8</v>
      </c>
      <c r="F828" t="s">
        <v>9</v>
      </c>
      <c r="H828" s="23" t="str">
        <f>VLOOKUP(A828,Revisión!$A$2:$L$703,6,FALSE)</f>
        <v>Melicope chapelieri</v>
      </c>
      <c r="I828" s="4" t="str">
        <f>VLOOKUP(A828,Revisión!$A$2:$L$703,7,FALSE)</f>
        <v>-</v>
      </c>
      <c r="J828" s="4" t="str">
        <f>VLOOKUP(A828,Revisión!$A$2:$L$703,8,FALSE)</f>
        <v>Melicope chapelieri</v>
      </c>
      <c r="K828" s="4" t="str">
        <f>VLOOKUP(A828,Revisión!$A$2:$L$703,9,FALSE)</f>
        <v>Melicope chapelieri</v>
      </c>
      <c r="L828" s="4" t="str">
        <f>VLOOKUP(A828,Revisión!$A$2:$L$703,10,FALSE)</f>
        <v>Melicope chapelieri</v>
      </c>
      <c r="M828" s="18">
        <f>VLOOKUP(A828,Revisión!$A$2:$L$703,11,FALSE)</f>
        <v>4</v>
      </c>
      <c r="N828" s="30" t="str">
        <f>IF(E828="Coinciden",D828,IF(E828="Revisar",VLOOKUP(A828,Revisión!$A$2:$L$703,12,FALSE),""))</f>
        <v>Melicope chapelieri</v>
      </c>
    </row>
    <row r="829" spans="1:14" x14ac:dyDescent="0.3">
      <c r="A829" t="s">
        <v>1722</v>
      </c>
      <c r="D829" t="s">
        <v>1723</v>
      </c>
      <c r="E829" t="s">
        <v>8</v>
      </c>
      <c r="F829" t="s">
        <v>9</v>
      </c>
      <c r="H829" s="23" t="str">
        <f>VLOOKUP(A829,Revisión!$A$2:$L$703,6,FALSE)</f>
        <v>Melicope obtusifolia subsp. gigas</v>
      </c>
      <c r="I829" s="4" t="str">
        <f>VLOOKUP(A829,Revisión!$A$2:$L$703,7,FALSE)</f>
        <v>-</v>
      </c>
      <c r="J829" s="4" t="str">
        <f>VLOOKUP(A829,Revisión!$A$2:$L$703,8,FALSE)</f>
        <v>Melicope obtusifolia subsp. gigas</v>
      </c>
      <c r="K829" s="4" t="str">
        <f>VLOOKUP(A829,Revisión!$A$2:$L$703,9,FALSE)</f>
        <v>Melicope obtusifolia subsp. gigas</v>
      </c>
      <c r="L829" s="4" t="str">
        <f>VLOOKUP(A829,Revisión!$A$2:$L$703,10,FALSE)</f>
        <v>Melicope obtusifolia subsp. gigas</v>
      </c>
      <c r="M829" s="18">
        <f>VLOOKUP(A829,Revisión!$A$2:$L$703,11,FALSE)</f>
        <v>4</v>
      </c>
      <c r="N829" s="30" t="str">
        <f>IF(E829="Coinciden",D829,IF(E829="Revisar",VLOOKUP(A829,Revisión!$A$2:$L$703,12,FALSE),""))</f>
        <v>Melicope obtusifolia subsp. gigas</v>
      </c>
    </row>
    <row r="830" spans="1:14" x14ac:dyDescent="0.3">
      <c r="A830" t="s">
        <v>1724</v>
      </c>
      <c r="B830" t="s">
        <v>1725</v>
      </c>
      <c r="C830" t="s">
        <v>1725</v>
      </c>
      <c r="D830" t="s">
        <v>1725</v>
      </c>
      <c r="E830" t="s">
        <v>18</v>
      </c>
      <c r="F830" t="s">
        <v>19</v>
      </c>
      <c r="H830" s="23" t="e">
        <f>VLOOKUP(A830,Revisión!$A$2:$L$703,6,FALSE)</f>
        <v>#N/A</v>
      </c>
      <c r="I830" s="4" t="e">
        <f>VLOOKUP(A830,Revisión!$A$2:$L$703,7,FALSE)</f>
        <v>#N/A</v>
      </c>
      <c r="J830" s="4" t="e">
        <f>VLOOKUP(A830,Revisión!$A$2:$L$703,8,FALSE)</f>
        <v>#N/A</v>
      </c>
      <c r="K830" s="4" t="e">
        <f>VLOOKUP(A830,Revisión!$A$2:$L$703,9,FALSE)</f>
        <v>#N/A</v>
      </c>
      <c r="L830" s="4" t="e">
        <f>VLOOKUP(A830,Revisión!$A$2:$L$703,10,FALSE)</f>
        <v>#N/A</v>
      </c>
      <c r="M830" s="18" t="e">
        <f>VLOOKUP(A830,Revisión!$A$2:$L$703,11,FALSE)</f>
        <v>#N/A</v>
      </c>
      <c r="N830" s="30" t="str">
        <f>IF(E830="Coinciden",D830,IF(E830="Revisar",VLOOKUP(A830,Revisión!$A$2:$L$703,12,FALSE),""))</f>
        <v>Melicope chapelieri</v>
      </c>
    </row>
    <row r="831" spans="1:14" x14ac:dyDescent="0.3">
      <c r="A831" t="s">
        <v>1726</v>
      </c>
      <c r="B831" t="s">
        <v>1727</v>
      </c>
      <c r="C831" t="s">
        <v>1727</v>
      </c>
      <c r="D831" t="s">
        <v>1727</v>
      </c>
      <c r="E831" t="s">
        <v>18</v>
      </c>
      <c r="F831" t="s">
        <v>19</v>
      </c>
      <c r="H831" s="23" t="e">
        <f>VLOOKUP(A831,Revisión!$A$2:$L$703,6,FALSE)</f>
        <v>#N/A</v>
      </c>
      <c r="I831" s="4" t="e">
        <f>VLOOKUP(A831,Revisión!$A$2:$L$703,7,FALSE)</f>
        <v>#N/A</v>
      </c>
      <c r="J831" s="4" t="e">
        <f>VLOOKUP(A831,Revisión!$A$2:$L$703,8,FALSE)</f>
        <v>#N/A</v>
      </c>
      <c r="K831" s="4" t="e">
        <f>VLOOKUP(A831,Revisión!$A$2:$L$703,9,FALSE)</f>
        <v>#N/A</v>
      </c>
      <c r="L831" s="4" t="e">
        <f>VLOOKUP(A831,Revisión!$A$2:$L$703,10,FALSE)</f>
        <v>#N/A</v>
      </c>
      <c r="M831" s="18" t="e">
        <f>VLOOKUP(A831,Revisión!$A$2:$L$703,11,FALSE)</f>
        <v>#N/A</v>
      </c>
      <c r="N831" s="30" t="str">
        <f>IF(E831="Coinciden",D831,IF(E831="Revisar",VLOOKUP(A831,Revisión!$A$2:$L$703,12,FALSE),""))</f>
        <v>Tetradium glabrifolium</v>
      </c>
    </row>
    <row r="832" spans="1:14" x14ac:dyDescent="0.3">
      <c r="A832" t="s">
        <v>1728</v>
      </c>
      <c r="D832" t="s">
        <v>1723</v>
      </c>
      <c r="E832" t="s">
        <v>8</v>
      </c>
      <c r="F832" t="s">
        <v>9</v>
      </c>
      <c r="H832" s="23" t="str">
        <f>VLOOKUP(A832,Revisión!$A$2:$L$703,6,FALSE)</f>
        <v>Melicope obtusifolia </v>
      </c>
      <c r="I832" s="4" t="str">
        <f>VLOOKUP(A832,Revisión!$A$2:$L$703,7,FALSE)</f>
        <v>-</v>
      </c>
      <c r="J832" s="4" t="str">
        <f>VLOOKUP(A832,Revisión!$A$2:$L$703,8,FALSE)</f>
        <v>Melicope obtusifolia</v>
      </c>
      <c r="K832" s="4" t="str">
        <f>VLOOKUP(A832,Revisión!$A$2:$L$703,9,FALSE)</f>
        <v>Melicope obtusifolia subsp. obtusifolia</v>
      </c>
      <c r="L832" s="4" t="str">
        <f>VLOOKUP(A832,Revisión!$A$2:$L$703,10,FALSE)</f>
        <v>Melicope obtusifolia subsp. obtusifolia</v>
      </c>
      <c r="M832" s="18">
        <f>VLOOKUP(A832,Revisión!$A$2:$L$703,11,FALSE)</f>
        <v>2</v>
      </c>
      <c r="N832" s="30" t="str">
        <f>IF(E832="Coinciden",D832,IF(E832="Revisar",VLOOKUP(A832,Revisión!$A$2:$L$703,12,FALSE),""))</f>
        <v>Melicope obtusifolia subsp. obtusifolia</v>
      </c>
    </row>
    <row r="833" spans="1:14" x14ac:dyDescent="0.3">
      <c r="A833" t="s">
        <v>1729</v>
      </c>
      <c r="B833" t="s">
        <v>1730</v>
      </c>
      <c r="C833" t="s">
        <v>1730</v>
      </c>
      <c r="D833" t="s">
        <v>1730</v>
      </c>
      <c r="E833" t="s">
        <v>18</v>
      </c>
      <c r="F833" t="s">
        <v>19</v>
      </c>
      <c r="H833" s="23" t="e">
        <f>VLOOKUP(A833,Revisión!$A$2:$L$703,6,FALSE)</f>
        <v>#N/A</v>
      </c>
      <c r="I833" s="4" t="e">
        <f>VLOOKUP(A833,Revisión!$A$2:$L$703,7,FALSE)</f>
        <v>#N/A</v>
      </c>
      <c r="J833" s="4" t="e">
        <f>VLOOKUP(A833,Revisión!$A$2:$L$703,8,FALSE)</f>
        <v>#N/A</v>
      </c>
      <c r="K833" s="4" t="e">
        <f>VLOOKUP(A833,Revisión!$A$2:$L$703,9,FALSE)</f>
        <v>#N/A</v>
      </c>
      <c r="L833" s="4" t="e">
        <f>VLOOKUP(A833,Revisión!$A$2:$L$703,10,FALSE)</f>
        <v>#N/A</v>
      </c>
      <c r="M833" s="18" t="e">
        <f>VLOOKUP(A833,Revisión!$A$2:$L$703,11,FALSE)</f>
        <v>#N/A</v>
      </c>
      <c r="N833" s="30" t="str">
        <f>IF(E833="Coinciden",D833,IF(E833="Revisar",VLOOKUP(A833,Revisión!$A$2:$L$703,12,FALSE),""))</f>
        <v>Euonymus hamiltonianus</v>
      </c>
    </row>
    <row r="834" spans="1:14" x14ac:dyDescent="0.3">
      <c r="A834" t="s">
        <v>1731</v>
      </c>
      <c r="C834" t="s">
        <v>1732</v>
      </c>
      <c r="D834" t="s">
        <v>1732</v>
      </c>
      <c r="E834" t="s">
        <v>8</v>
      </c>
      <c r="F834" t="s">
        <v>49</v>
      </c>
      <c r="H834" s="23" t="str">
        <f>VLOOKUP(A834,Revisión!$A$2:$L$703,6,FALSE)</f>
        <v>Euonymus fortunei</v>
      </c>
      <c r="I834" s="4" t="str">
        <f>VLOOKUP(A834,Revisión!$A$2:$L$703,7,FALSE)</f>
        <v>-</v>
      </c>
      <c r="J834" s="4" t="str">
        <f>VLOOKUP(A834,Revisión!$A$2:$L$703,8,FALSE)</f>
        <v>Euonymus fortunei</v>
      </c>
      <c r="K834" s="4" t="str">
        <f>VLOOKUP(A834,Revisión!$A$2:$L$703,9,FALSE)</f>
        <v>Euonymus fortunei</v>
      </c>
      <c r="L834" s="4" t="str">
        <f>VLOOKUP(A834,Revisión!$A$2:$L$703,10,FALSE)</f>
        <v>Euonymus fortunei</v>
      </c>
      <c r="M834" s="18">
        <f>VLOOKUP(A834,Revisión!$A$2:$L$703,11,FALSE)</f>
        <v>4</v>
      </c>
      <c r="N834" s="30" t="str">
        <f>IF(E834="Coinciden",D834,IF(E834="Revisar",VLOOKUP(A834,Revisión!$A$2:$L$703,12,FALSE),""))</f>
        <v>Euonymus fortunei</v>
      </c>
    </row>
    <row r="835" spans="1:14" x14ac:dyDescent="0.3">
      <c r="A835" t="s">
        <v>1733</v>
      </c>
      <c r="B835" t="s">
        <v>1734</v>
      </c>
      <c r="D835" t="s">
        <v>1734</v>
      </c>
      <c r="E835" t="s">
        <v>8</v>
      </c>
      <c r="F835" t="s">
        <v>34</v>
      </c>
      <c r="H835" s="23" t="str">
        <f>VLOOKUP(A835,Revisión!$A$2:$L$703,6,FALSE)</f>
        <v>Euonymus alatus</v>
      </c>
      <c r="I835" s="4" t="str">
        <f>VLOOKUP(A835,Revisión!$A$2:$L$703,7,FALSE)</f>
        <v>-</v>
      </c>
      <c r="J835" s="4" t="str">
        <f>VLOOKUP(A835,Revisión!$A$2:$L$703,8,FALSE)</f>
        <v>Euonymus alatus</v>
      </c>
      <c r="K835" s="4" t="str">
        <f>VLOOKUP(A835,Revisión!$A$2:$L$703,9,FALSE)</f>
        <v>Euonymus alatus</v>
      </c>
      <c r="L835" s="4" t="str">
        <f>VLOOKUP(A835,Revisión!$A$2:$L$703,10,FALSE)</f>
        <v>Euonymus alatus</v>
      </c>
      <c r="M835" s="18">
        <f>VLOOKUP(A835,Revisión!$A$2:$L$703,11,FALSE)</f>
        <v>4</v>
      </c>
      <c r="N835" s="30" t="str">
        <f>IF(E835="Coinciden",D835,IF(E835="Revisar",VLOOKUP(A835,Revisión!$A$2:$L$703,12,FALSE),""))</f>
        <v>Euonymus alatus</v>
      </c>
    </row>
    <row r="836" spans="1:14" x14ac:dyDescent="0.3">
      <c r="A836" t="s">
        <v>1735</v>
      </c>
      <c r="B836" t="s">
        <v>1736</v>
      </c>
      <c r="C836" t="s">
        <v>1736</v>
      </c>
      <c r="D836" t="s">
        <v>1736</v>
      </c>
      <c r="E836" t="s">
        <v>18</v>
      </c>
      <c r="F836" t="s">
        <v>19</v>
      </c>
      <c r="H836" s="23" t="e">
        <f>VLOOKUP(A836,Revisión!$A$2:$L$703,6,FALSE)</f>
        <v>#N/A</v>
      </c>
      <c r="I836" s="4" t="e">
        <f>VLOOKUP(A836,Revisión!$A$2:$L$703,7,FALSE)</f>
        <v>#N/A</v>
      </c>
      <c r="J836" s="4" t="e">
        <f>VLOOKUP(A836,Revisión!$A$2:$L$703,8,FALSE)</f>
        <v>#N/A</v>
      </c>
      <c r="K836" s="4" t="e">
        <f>VLOOKUP(A836,Revisión!$A$2:$L$703,9,FALSE)</f>
        <v>#N/A</v>
      </c>
      <c r="L836" s="4" t="e">
        <f>VLOOKUP(A836,Revisión!$A$2:$L$703,10,FALSE)</f>
        <v>#N/A</v>
      </c>
      <c r="M836" s="18" t="e">
        <f>VLOOKUP(A836,Revisión!$A$2:$L$703,11,FALSE)</f>
        <v>#N/A</v>
      </c>
      <c r="N836" s="30" t="str">
        <f>IF(E836="Coinciden",D836,IF(E836="Revisar",VLOOKUP(A836,Revisión!$A$2:$L$703,12,FALSE),""))</f>
        <v>Euonymus macropterus</v>
      </c>
    </row>
    <row r="837" spans="1:14" x14ac:dyDescent="0.3">
      <c r="A837" t="s">
        <v>1737</v>
      </c>
      <c r="B837" t="s">
        <v>1738</v>
      </c>
      <c r="C837" t="s">
        <v>1738</v>
      </c>
      <c r="D837" t="s">
        <v>1738</v>
      </c>
      <c r="E837" t="s">
        <v>18</v>
      </c>
      <c r="F837" t="s">
        <v>19</v>
      </c>
      <c r="H837" s="23" t="e">
        <f>VLOOKUP(A837,Revisión!$A$2:$L$703,6,FALSE)</f>
        <v>#N/A</v>
      </c>
      <c r="I837" s="4" t="e">
        <f>VLOOKUP(A837,Revisión!$A$2:$L$703,7,FALSE)</f>
        <v>#N/A</v>
      </c>
      <c r="J837" s="4" t="e">
        <f>VLOOKUP(A837,Revisión!$A$2:$L$703,8,FALSE)</f>
        <v>#N/A</v>
      </c>
      <c r="K837" s="4" t="e">
        <f>VLOOKUP(A837,Revisión!$A$2:$L$703,9,FALSE)</f>
        <v>#N/A</v>
      </c>
      <c r="L837" s="4" t="e">
        <f>VLOOKUP(A837,Revisión!$A$2:$L$703,10,FALSE)</f>
        <v>#N/A</v>
      </c>
      <c r="M837" s="18" t="e">
        <f>VLOOKUP(A837,Revisión!$A$2:$L$703,11,FALSE)</f>
        <v>#N/A</v>
      </c>
      <c r="N837" s="30" t="str">
        <f>IF(E837="Coinciden",D837,IF(E837="Revisar",VLOOKUP(A837,Revisión!$A$2:$L$703,12,FALSE),""))</f>
        <v>Gyptis lanigera</v>
      </c>
    </row>
    <row r="838" spans="1:14" x14ac:dyDescent="0.3">
      <c r="A838" t="s">
        <v>1739</v>
      </c>
      <c r="B838" t="s">
        <v>1740</v>
      </c>
      <c r="C838" t="s">
        <v>1740</v>
      </c>
      <c r="D838" t="s">
        <v>1740</v>
      </c>
      <c r="E838" t="s">
        <v>18</v>
      </c>
      <c r="F838" t="s">
        <v>19</v>
      </c>
      <c r="H838" s="23" t="e">
        <f>VLOOKUP(A838,Revisión!$A$2:$L$703,6,FALSE)</f>
        <v>#N/A</v>
      </c>
      <c r="I838" s="4" t="e">
        <f>VLOOKUP(A838,Revisión!$A$2:$L$703,7,FALSE)</f>
        <v>#N/A</v>
      </c>
      <c r="J838" s="4" t="e">
        <f>VLOOKUP(A838,Revisión!$A$2:$L$703,8,FALSE)</f>
        <v>#N/A</v>
      </c>
      <c r="K838" s="4" t="e">
        <f>VLOOKUP(A838,Revisión!$A$2:$L$703,9,FALSE)</f>
        <v>#N/A</v>
      </c>
      <c r="L838" s="4" t="e">
        <f>VLOOKUP(A838,Revisión!$A$2:$L$703,10,FALSE)</f>
        <v>#N/A</v>
      </c>
      <c r="M838" s="18" t="e">
        <f>VLOOKUP(A838,Revisión!$A$2:$L$703,11,FALSE)</f>
        <v>#N/A</v>
      </c>
      <c r="N838" s="30" t="str">
        <f>IF(E838="Coinciden",D838,IF(E838="Revisar",VLOOKUP(A838,Revisión!$A$2:$L$703,12,FALSE),""))</f>
        <v>Campovassouria cruciata</v>
      </c>
    </row>
    <row r="839" spans="1:14" x14ac:dyDescent="0.3">
      <c r="A839" t="s">
        <v>1741</v>
      </c>
      <c r="B839" t="s">
        <v>1742</v>
      </c>
      <c r="D839" t="s">
        <v>1743</v>
      </c>
      <c r="E839" t="s">
        <v>8</v>
      </c>
      <c r="F839" t="s">
        <v>9</v>
      </c>
      <c r="H839" s="23" t="str">
        <f>VLOOKUP(A839,Revisión!$A$2:$L$703,6,FALSE)</f>
        <v xml:space="preserve">Eupatorium chinense </v>
      </c>
      <c r="I839" s="4" t="str">
        <f>VLOOKUP(A839,Revisión!$A$2:$L$703,7,FALSE)</f>
        <v>-</v>
      </c>
      <c r="J839" s="4" t="str">
        <f>VLOOKUP(A839,Revisión!$A$2:$L$703,8,FALSE)</f>
        <v xml:space="preserve">Eupatorium chinense </v>
      </c>
      <c r="K839" s="4" t="str">
        <f>VLOOKUP(A839,Revisión!$A$2:$L$703,9,FALSE)</f>
        <v xml:space="preserve">Eupatorium chinense </v>
      </c>
      <c r="L839" s="4" t="str">
        <f>VLOOKUP(A839,Revisión!$A$2:$L$703,10,FALSE)</f>
        <v xml:space="preserve">Eupatorium chinense </v>
      </c>
      <c r="M839" s="18">
        <f>VLOOKUP(A839,Revisión!$A$2:$L$703,11,FALSE)</f>
        <v>4</v>
      </c>
      <c r="N839" s="30" t="str">
        <f>IF(E839="Coinciden",D839,IF(E839="Revisar",VLOOKUP(A839,Revisión!$A$2:$L$703,12,FALSE),""))</f>
        <v xml:space="preserve">Eupatorium chinense </v>
      </c>
    </row>
    <row r="840" spans="1:14" x14ac:dyDescent="0.3">
      <c r="A840" t="s">
        <v>1744</v>
      </c>
      <c r="B840" t="s">
        <v>1745</v>
      </c>
      <c r="C840" t="s">
        <v>1745</v>
      </c>
      <c r="D840" t="s">
        <v>1745</v>
      </c>
      <c r="E840" t="s">
        <v>18</v>
      </c>
      <c r="F840" t="s">
        <v>19</v>
      </c>
      <c r="H840" s="23" t="e">
        <f>VLOOKUP(A840,Revisión!$A$2:$L$703,6,FALSE)</f>
        <v>#N/A</v>
      </c>
      <c r="I840" s="4" t="e">
        <f>VLOOKUP(A840,Revisión!$A$2:$L$703,7,FALSE)</f>
        <v>#N/A</v>
      </c>
      <c r="J840" s="4" t="e">
        <f>VLOOKUP(A840,Revisión!$A$2:$L$703,8,FALSE)</f>
        <v>#N/A</v>
      </c>
      <c r="K840" s="4" t="e">
        <f>VLOOKUP(A840,Revisión!$A$2:$L$703,9,FALSE)</f>
        <v>#N/A</v>
      </c>
      <c r="L840" s="4" t="e">
        <f>VLOOKUP(A840,Revisión!$A$2:$L$703,10,FALSE)</f>
        <v>#N/A</v>
      </c>
      <c r="M840" s="18" t="e">
        <f>VLOOKUP(A840,Revisión!$A$2:$L$703,11,FALSE)</f>
        <v>#N/A</v>
      </c>
      <c r="N840" s="30" t="str">
        <f>IF(E840="Coinciden",D840,IF(E840="Revisar",VLOOKUP(A840,Revisión!$A$2:$L$703,12,FALSE),""))</f>
        <v>Eupatorium cannabinum</v>
      </c>
    </row>
    <row r="841" spans="1:14" x14ac:dyDescent="0.3">
      <c r="A841" t="s">
        <v>1746</v>
      </c>
      <c r="B841" t="s">
        <v>1747</v>
      </c>
      <c r="C841" t="s">
        <v>1747</v>
      </c>
      <c r="D841" t="s">
        <v>1747</v>
      </c>
      <c r="E841" t="s">
        <v>18</v>
      </c>
      <c r="F841" t="s">
        <v>19</v>
      </c>
      <c r="H841" s="23" t="e">
        <f>VLOOKUP(A841,Revisión!$A$2:$L$703,6,FALSE)</f>
        <v>#N/A</v>
      </c>
      <c r="I841" s="4" t="e">
        <f>VLOOKUP(A841,Revisión!$A$2:$L$703,7,FALSE)</f>
        <v>#N/A</v>
      </c>
      <c r="J841" s="4" t="e">
        <f>VLOOKUP(A841,Revisión!$A$2:$L$703,8,FALSE)</f>
        <v>#N/A</v>
      </c>
      <c r="K841" s="4" t="e">
        <f>VLOOKUP(A841,Revisión!$A$2:$L$703,9,FALSE)</f>
        <v>#N/A</v>
      </c>
      <c r="L841" s="4" t="e">
        <f>VLOOKUP(A841,Revisión!$A$2:$L$703,10,FALSE)</f>
        <v>#N/A</v>
      </c>
      <c r="M841" s="18" t="e">
        <f>VLOOKUP(A841,Revisión!$A$2:$L$703,11,FALSE)</f>
        <v>#N/A</v>
      </c>
      <c r="N841" s="30" t="str">
        <f>IF(E841="Coinciden",D841,IF(E841="Revisar",VLOOKUP(A841,Revisión!$A$2:$L$703,12,FALSE),""))</f>
        <v>Campuloclinium macrocephalum</v>
      </c>
    </row>
    <row r="842" spans="1:14" x14ac:dyDescent="0.3">
      <c r="A842" t="s">
        <v>1748</v>
      </c>
      <c r="C842" t="s">
        <v>1749</v>
      </c>
      <c r="D842" t="s">
        <v>1749</v>
      </c>
      <c r="E842" t="s">
        <v>8</v>
      </c>
      <c r="F842" t="s">
        <v>49</v>
      </c>
      <c r="H842" s="23" t="str">
        <f>VLOOKUP(A842,Revisión!$A$2:$L$703,6,FALSE)</f>
        <v>Gyptis tanacetifolia</v>
      </c>
      <c r="I842" s="4" t="str">
        <f>VLOOKUP(A842,Revisión!$A$2:$L$703,7,FALSE)</f>
        <v>-</v>
      </c>
      <c r="J842" s="4" t="str">
        <f>VLOOKUP(A842,Revisión!$A$2:$L$703,8,FALSE)</f>
        <v>Gyptis tanacetifolia</v>
      </c>
      <c r="K842" s="4" t="str">
        <f>VLOOKUP(A842,Revisión!$A$2:$L$703,9,FALSE)</f>
        <v>Gyptis tanacetifolia</v>
      </c>
      <c r="L842" s="4" t="str">
        <f>VLOOKUP(A842,Revisión!$A$2:$L$703,10,FALSE)</f>
        <v>Gyptis tanacetifolia</v>
      </c>
      <c r="M842" s="18">
        <f>VLOOKUP(A842,Revisión!$A$2:$L$703,11,FALSE)</f>
        <v>4</v>
      </c>
      <c r="N842" s="30" t="str">
        <f>IF(E842="Coinciden",D842,IF(E842="Revisar",VLOOKUP(A842,Revisión!$A$2:$L$703,12,FALSE),""))</f>
        <v>Gyptis tanacetifolia</v>
      </c>
    </row>
    <row r="843" spans="1:14" x14ac:dyDescent="0.3">
      <c r="A843" t="s">
        <v>1750</v>
      </c>
      <c r="B843" t="s">
        <v>1751</v>
      </c>
      <c r="C843" t="s">
        <v>1751</v>
      </c>
      <c r="D843" t="s">
        <v>1751</v>
      </c>
      <c r="E843" t="s">
        <v>18</v>
      </c>
      <c r="F843" t="s">
        <v>19</v>
      </c>
      <c r="H843" s="23" t="e">
        <f>VLOOKUP(A843,Revisión!$A$2:$L$703,6,FALSE)</f>
        <v>#N/A</v>
      </c>
      <c r="I843" s="4" t="e">
        <f>VLOOKUP(A843,Revisión!$A$2:$L$703,7,FALSE)</f>
        <v>#N/A</v>
      </c>
      <c r="J843" s="4" t="e">
        <f>VLOOKUP(A843,Revisión!$A$2:$L$703,8,FALSE)</f>
        <v>#N/A</v>
      </c>
      <c r="K843" s="4" t="e">
        <f>VLOOKUP(A843,Revisión!$A$2:$L$703,9,FALSE)</f>
        <v>#N/A</v>
      </c>
      <c r="L843" s="4" t="e">
        <f>VLOOKUP(A843,Revisión!$A$2:$L$703,10,FALSE)</f>
        <v>#N/A</v>
      </c>
      <c r="M843" s="18" t="e">
        <f>VLOOKUP(A843,Revisión!$A$2:$L$703,11,FALSE)</f>
        <v>#N/A</v>
      </c>
      <c r="N843" s="30" t="str">
        <f>IF(E843="Coinciden",D843,IF(E843="Revisar",VLOOKUP(A843,Revisión!$A$2:$L$703,12,FALSE),""))</f>
        <v>Eupatorium serotinum</v>
      </c>
    </row>
    <row r="844" spans="1:14" x14ac:dyDescent="0.3">
      <c r="A844" t="s">
        <v>1752</v>
      </c>
      <c r="B844" t="s">
        <v>1753</v>
      </c>
      <c r="D844" t="s">
        <v>1753</v>
      </c>
      <c r="E844" t="s">
        <v>8</v>
      </c>
      <c r="F844" t="s">
        <v>34</v>
      </c>
      <c r="H844" s="23" t="str">
        <f>VLOOKUP(A844,Revisión!$A$2:$L$703,6,FALSE)</f>
        <v>Eutrochium purpureum</v>
      </c>
      <c r="I844" s="4" t="str">
        <f>VLOOKUP(A844,Revisión!$A$2:$L$703,7,FALSE)</f>
        <v>-</v>
      </c>
      <c r="J844" s="4" t="str">
        <f>VLOOKUP(A844,Revisión!$A$2:$L$703,8,FALSE)</f>
        <v>Eutrochium purpureum</v>
      </c>
      <c r="K844" s="4" t="str">
        <f>VLOOKUP(A844,Revisión!$A$2:$L$703,9,FALSE)</f>
        <v>Eutrochium purpureum</v>
      </c>
      <c r="L844" s="4" t="str">
        <f>VLOOKUP(A844,Revisión!$A$2:$L$703,10,FALSE)</f>
        <v>Eutrochium purpureum</v>
      </c>
      <c r="M844" s="18">
        <f>VLOOKUP(A844,Revisión!$A$2:$L$703,11,FALSE)</f>
        <v>4</v>
      </c>
      <c r="N844" s="30" t="str">
        <f>IF(E844="Coinciden",D844,IF(E844="Revisar",VLOOKUP(A844,Revisión!$A$2:$L$703,12,FALSE),""))</f>
        <v>Eutrochium purpureum</v>
      </c>
    </row>
    <row r="845" spans="1:14" x14ac:dyDescent="0.3">
      <c r="A845" t="s">
        <v>1754</v>
      </c>
      <c r="B845" t="s">
        <v>1755</v>
      </c>
      <c r="C845" t="s">
        <v>1755</v>
      </c>
      <c r="D845" t="s">
        <v>1755</v>
      </c>
      <c r="E845" t="s">
        <v>18</v>
      </c>
      <c r="F845" t="s">
        <v>19</v>
      </c>
      <c r="H845" s="23" t="e">
        <f>VLOOKUP(A845,Revisión!$A$2:$L$703,6,FALSE)</f>
        <v>#N/A</v>
      </c>
      <c r="I845" s="4" t="e">
        <f>VLOOKUP(A845,Revisión!$A$2:$L$703,7,FALSE)</f>
        <v>#N/A</v>
      </c>
      <c r="J845" s="4" t="e">
        <f>VLOOKUP(A845,Revisión!$A$2:$L$703,8,FALSE)</f>
        <v>#N/A</v>
      </c>
      <c r="K845" s="4" t="e">
        <f>VLOOKUP(A845,Revisión!$A$2:$L$703,9,FALSE)</f>
        <v>#N/A</v>
      </c>
      <c r="L845" s="4" t="e">
        <f>VLOOKUP(A845,Revisión!$A$2:$L$703,10,FALSE)</f>
        <v>#N/A</v>
      </c>
      <c r="M845" s="18" t="e">
        <f>VLOOKUP(A845,Revisión!$A$2:$L$703,11,FALSE)</f>
        <v>#N/A</v>
      </c>
      <c r="N845" s="30" t="str">
        <f>IF(E845="Coinciden",D845,IF(E845="Revisar",VLOOKUP(A845,Revisión!$A$2:$L$703,12,FALSE),""))</f>
        <v>Eupatorium sessilifolium</v>
      </c>
    </row>
    <row r="846" spans="1:14" x14ac:dyDescent="0.3">
      <c r="A846" t="s">
        <v>1756</v>
      </c>
      <c r="B846" t="s">
        <v>1757</v>
      </c>
      <c r="C846" t="s">
        <v>1758</v>
      </c>
      <c r="D846" t="s">
        <v>1758</v>
      </c>
      <c r="E846" t="s">
        <v>8</v>
      </c>
      <c r="F846" t="s">
        <v>23</v>
      </c>
      <c r="H846" s="23" t="str">
        <f>VLOOKUP(A846,Revisión!$A$2:$L$703,6,FALSE)</f>
        <v>Conoclinium coelestinum</v>
      </c>
      <c r="I846" s="4" t="str">
        <f>VLOOKUP(A846,Revisión!$A$2:$L$703,7,FALSE)</f>
        <v>-</v>
      </c>
      <c r="J846" s="4" t="str">
        <f>VLOOKUP(A846,Revisión!$A$2:$L$703,8,FALSE)</f>
        <v>Conoclinium coelestinum</v>
      </c>
      <c r="K846" s="4" t="str">
        <f>VLOOKUP(A846,Revisión!$A$2:$L$703,9,FALSE)</f>
        <v>Conoclinium coelestinum</v>
      </c>
      <c r="L846" s="4" t="str">
        <f>VLOOKUP(A846,Revisión!$A$2:$L$703,10,FALSE)</f>
        <v>Conoclinium coelestinum</v>
      </c>
      <c r="M846" s="18">
        <f>VLOOKUP(A846,Revisión!$A$2:$L$703,11,FALSE)</f>
        <v>4</v>
      </c>
      <c r="N846" s="30" t="str">
        <f>IF(E846="Coinciden",D846,IF(E846="Revisar",VLOOKUP(A846,Revisión!$A$2:$L$703,12,FALSE),""))</f>
        <v>Conoclinium coelestinum</v>
      </c>
    </row>
    <row r="847" spans="1:14" x14ac:dyDescent="0.3">
      <c r="A847" t="s">
        <v>1759</v>
      </c>
      <c r="D847" t="s">
        <v>1760</v>
      </c>
      <c r="E847" t="s">
        <v>8</v>
      </c>
      <c r="F847" t="s">
        <v>9</v>
      </c>
      <c r="H847" s="23" t="str">
        <f>VLOOKUP(A847,Revisión!$A$2:$L$703,6,FALSE)</f>
        <v>-</v>
      </c>
      <c r="I847" s="4" t="str">
        <f>VLOOKUP(A847,Revisión!$A$2:$L$703,7,FALSE)</f>
        <v>-</v>
      </c>
      <c r="J847" s="4" t="str">
        <f>VLOOKUP(A847,Revisión!$A$2:$L$703,8,FALSE)</f>
        <v>Chromolaena odorata</v>
      </c>
      <c r="K847" s="4" t="str">
        <f>VLOOKUP(A847,Revisión!$A$2:$L$703,9,FALSE)</f>
        <v>Chromolaena odorata</v>
      </c>
      <c r="L847" s="4" t="str">
        <f>VLOOKUP(A847,Revisión!$A$2:$L$703,10,FALSE)</f>
        <v>Chromolaena odorata</v>
      </c>
      <c r="M847" s="18">
        <f>VLOOKUP(A847,Revisión!$A$2:$L$703,11,FALSE)</f>
        <v>3</v>
      </c>
      <c r="N847" s="30" t="str">
        <f>IF(E847="Coinciden",D847,IF(E847="Revisar",VLOOKUP(A847,Revisión!$A$2:$L$703,12,FALSE),""))</f>
        <v>Chromolaena odorata</v>
      </c>
    </row>
    <row r="848" spans="1:14" x14ac:dyDescent="0.3">
      <c r="A848" t="s">
        <v>1761</v>
      </c>
      <c r="B848" t="s">
        <v>1762</v>
      </c>
      <c r="C848" t="s">
        <v>1762</v>
      </c>
      <c r="D848" t="s">
        <v>1762</v>
      </c>
      <c r="E848" t="s">
        <v>18</v>
      </c>
      <c r="F848" t="s">
        <v>19</v>
      </c>
      <c r="H848" s="23" t="e">
        <f>VLOOKUP(A848,Revisión!$A$2:$L$703,6,FALSE)</f>
        <v>#N/A</v>
      </c>
      <c r="I848" s="4" t="e">
        <f>VLOOKUP(A848,Revisión!$A$2:$L$703,7,FALSE)</f>
        <v>#N/A</v>
      </c>
      <c r="J848" s="4" t="e">
        <f>VLOOKUP(A848,Revisión!$A$2:$L$703,8,FALSE)</f>
        <v>#N/A</v>
      </c>
      <c r="K848" s="4" t="e">
        <f>VLOOKUP(A848,Revisión!$A$2:$L$703,9,FALSE)</f>
        <v>#N/A</v>
      </c>
      <c r="L848" s="4" t="e">
        <f>VLOOKUP(A848,Revisión!$A$2:$L$703,10,FALSE)</f>
        <v>#N/A</v>
      </c>
      <c r="M848" s="18" t="e">
        <f>VLOOKUP(A848,Revisión!$A$2:$L$703,11,FALSE)</f>
        <v>#N/A</v>
      </c>
      <c r="N848" s="30" t="str">
        <f>IF(E848="Coinciden",D848,IF(E848="Revisar",VLOOKUP(A848,Revisión!$A$2:$L$703,12,FALSE),""))</f>
        <v>Chromolaena hirsuta</v>
      </c>
    </row>
    <row r="849" spans="1:14" x14ac:dyDescent="0.3">
      <c r="A849" t="s">
        <v>1763</v>
      </c>
      <c r="B849" t="s">
        <v>1764</v>
      </c>
      <c r="C849" t="s">
        <v>1764</v>
      </c>
      <c r="D849" t="s">
        <v>1764</v>
      </c>
      <c r="E849" t="s">
        <v>18</v>
      </c>
      <c r="F849" t="s">
        <v>19</v>
      </c>
      <c r="H849" s="23" t="e">
        <f>VLOOKUP(A849,Revisión!$A$2:$L$703,6,FALSE)</f>
        <v>#N/A</v>
      </c>
      <c r="I849" s="4" t="e">
        <f>VLOOKUP(A849,Revisión!$A$2:$L$703,7,FALSE)</f>
        <v>#N/A</v>
      </c>
      <c r="J849" s="4" t="e">
        <f>VLOOKUP(A849,Revisión!$A$2:$L$703,8,FALSE)</f>
        <v>#N/A</v>
      </c>
      <c r="K849" s="4" t="e">
        <f>VLOOKUP(A849,Revisión!$A$2:$L$703,9,FALSE)</f>
        <v>#N/A</v>
      </c>
      <c r="L849" s="4" t="e">
        <f>VLOOKUP(A849,Revisión!$A$2:$L$703,10,FALSE)</f>
        <v>#N/A</v>
      </c>
      <c r="M849" s="18" t="e">
        <f>VLOOKUP(A849,Revisión!$A$2:$L$703,11,FALSE)</f>
        <v>#N/A</v>
      </c>
      <c r="N849" s="30" t="str">
        <f>IF(E849="Coinciden",D849,IF(E849="Revisar",VLOOKUP(A849,Revisión!$A$2:$L$703,12,FALSE),""))</f>
        <v>Eupatorium perfoliatum</v>
      </c>
    </row>
    <row r="850" spans="1:14" x14ac:dyDescent="0.3">
      <c r="A850" t="s">
        <v>1765</v>
      </c>
      <c r="B850" t="s">
        <v>1743</v>
      </c>
      <c r="C850" t="s">
        <v>1743</v>
      </c>
      <c r="D850" t="s">
        <v>1743</v>
      </c>
      <c r="E850" t="s">
        <v>18</v>
      </c>
      <c r="F850" t="s">
        <v>19</v>
      </c>
      <c r="H850" s="23" t="e">
        <f>VLOOKUP(A850,Revisión!$A$2:$L$703,6,FALSE)</f>
        <v>#N/A</v>
      </c>
      <c r="I850" s="4" t="e">
        <f>VLOOKUP(A850,Revisión!$A$2:$L$703,7,FALSE)</f>
        <v>#N/A</v>
      </c>
      <c r="J850" s="4" t="e">
        <f>VLOOKUP(A850,Revisión!$A$2:$L$703,8,FALSE)</f>
        <v>#N/A</v>
      </c>
      <c r="K850" s="4" t="e">
        <f>VLOOKUP(A850,Revisión!$A$2:$L$703,9,FALSE)</f>
        <v>#N/A</v>
      </c>
      <c r="L850" s="4" t="e">
        <f>VLOOKUP(A850,Revisión!$A$2:$L$703,10,FALSE)</f>
        <v>#N/A</v>
      </c>
      <c r="M850" s="18" t="e">
        <f>VLOOKUP(A850,Revisión!$A$2:$L$703,11,FALSE)</f>
        <v>#N/A</v>
      </c>
      <c r="N850" s="30" t="str">
        <f>IF(E850="Coinciden",D850,IF(E850="Revisar",VLOOKUP(A850,Revisión!$A$2:$L$703,12,FALSE),""))</f>
        <v>Eupatorium chinense</v>
      </c>
    </row>
    <row r="851" spans="1:14" x14ac:dyDescent="0.3">
      <c r="A851" t="s">
        <v>1766</v>
      </c>
      <c r="B851" t="s">
        <v>1767</v>
      </c>
      <c r="D851" t="s">
        <v>1767</v>
      </c>
      <c r="E851" t="s">
        <v>8</v>
      </c>
      <c r="F851" t="s">
        <v>34</v>
      </c>
      <c r="H851" s="23" t="str">
        <f>VLOOKUP(A851,Revisión!$A$2:$L$703,6,FALSE)</f>
        <v>Eupatorium altissimum</v>
      </c>
      <c r="I851" s="4" t="str">
        <f>VLOOKUP(A851,Revisión!$A$2:$L$703,7,FALSE)</f>
        <v>-</v>
      </c>
      <c r="J851" s="4" t="str">
        <f>VLOOKUP(A851,Revisión!$A$2:$L$703,8,FALSE)</f>
        <v>Eupatorium altissimum</v>
      </c>
      <c r="K851" s="4" t="str">
        <f>VLOOKUP(A851,Revisión!$A$2:$L$703,9,FALSE)</f>
        <v>Eupatorium altissimum</v>
      </c>
      <c r="L851" s="4" t="str">
        <f>VLOOKUP(A851,Revisión!$A$2:$L$703,10,FALSE)</f>
        <v>Ageratina altissima </v>
      </c>
      <c r="M851" s="18">
        <f>VLOOKUP(A851,Revisión!$A$2:$L$703,11,FALSE)</f>
        <v>3</v>
      </c>
      <c r="N851" s="30" t="str">
        <f>IF(E851="Coinciden",D851,IF(E851="Revisar",VLOOKUP(A851,Revisión!$A$2:$L$703,12,FALSE),""))</f>
        <v>Eupatorium altissimum</v>
      </c>
    </row>
    <row r="852" spans="1:14" x14ac:dyDescent="0.3">
      <c r="A852" t="s">
        <v>1768</v>
      </c>
      <c r="B852" t="s">
        <v>1769</v>
      </c>
      <c r="C852" t="s">
        <v>1769</v>
      </c>
      <c r="D852" t="s">
        <v>1769</v>
      </c>
      <c r="E852" t="s">
        <v>18</v>
      </c>
      <c r="F852" t="s">
        <v>19</v>
      </c>
      <c r="H852" s="23" t="e">
        <f>VLOOKUP(A852,Revisión!$A$2:$L$703,6,FALSE)</f>
        <v>#N/A</v>
      </c>
      <c r="I852" s="4" t="e">
        <f>VLOOKUP(A852,Revisión!$A$2:$L$703,7,FALSE)</f>
        <v>#N/A</v>
      </c>
      <c r="J852" s="4" t="e">
        <f>VLOOKUP(A852,Revisión!$A$2:$L$703,8,FALSE)</f>
        <v>#N/A</v>
      </c>
      <c r="K852" s="4" t="e">
        <f>VLOOKUP(A852,Revisión!$A$2:$L$703,9,FALSE)</f>
        <v>#N/A</v>
      </c>
      <c r="L852" s="4" t="e">
        <f>VLOOKUP(A852,Revisión!$A$2:$L$703,10,FALSE)</f>
        <v>#N/A</v>
      </c>
      <c r="M852" s="18" t="e">
        <f>VLOOKUP(A852,Revisión!$A$2:$L$703,11,FALSE)</f>
        <v>#N/A</v>
      </c>
      <c r="N852" s="30" t="str">
        <f>IF(E852="Coinciden",D852,IF(E852="Revisar",VLOOKUP(A852,Revisión!$A$2:$L$703,12,FALSE),""))</f>
        <v>Eupatorium lindleyanum</v>
      </c>
    </row>
    <row r="853" spans="1:14" x14ac:dyDescent="0.3">
      <c r="A853" t="s">
        <v>1770</v>
      </c>
      <c r="D853" t="s">
        <v>1771</v>
      </c>
      <c r="E853" t="s">
        <v>8</v>
      </c>
      <c r="F853" t="s">
        <v>9</v>
      </c>
      <c r="H853" s="23" t="str">
        <f>VLOOKUP(A853,Revisión!$A$2:$L$703,6,FALSE)</f>
        <v>Ageratina altissima</v>
      </c>
      <c r="I853" s="4" t="str">
        <f>VLOOKUP(A853,Revisión!$A$2:$L$703,7,FALSE)</f>
        <v>Ageratina altissima</v>
      </c>
      <c r="J853" s="4" t="str">
        <f>VLOOKUP(A853,Revisión!$A$2:$L$703,8,FALSE)</f>
        <v>-</v>
      </c>
      <c r="K853" s="4" t="str">
        <f>VLOOKUP(A853,Revisión!$A$2:$L$703,9,FALSE)</f>
        <v>Ageratina altissima</v>
      </c>
      <c r="L853" s="4" t="str">
        <f>VLOOKUP(A853,Revisión!$A$2:$L$703,10,FALSE)</f>
        <v>Ageratina altissima</v>
      </c>
      <c r="M853" s="18">
        <f>VLOOKUP(A853,Revisión!$A$2:$L$703,11,FALSE)</f>
        <v>4</v>
      </c>
      <c r="N853" s="30" t="str">
        <f>IF(E853="Coinciden",D853,IF(E853="Revisar",VLOOKUP(A853,Revisión!$A$2:$L$703,12,FALSE),""))</f>
        <v>Ageratina altissima</v>
      </c>
    </row>
    <row r="854" spans="1:14" x14ac:dyDescent="0.3">
      <c r="A854" t="s">
        <v>1772</v>
      </c>
      <c r="C854" t="s">
        <v>1773</v>
      </c>
      <c r="D854" t="s">
        <v>1774</v>
      </c>
      <c r="E854" t="s">
        <v>8</v>
      </c>
      <c r="F854" t="s">
        <v>9</v>
      </c>
      <c r="H854" s="23" t="str">
        <f>VLOOKUP(A854,Revisión!$A$2:$L$703,6,FALSE)</f>
        <v>Chromolaena squarrulosa</v>
      </c>
      <c r="I854" s="4" t="str">
        <f>VLOOKUP(A854,Revisión!$A$2:$L$703,7,FALSE)</f>
        <v>Chromolaena squarrulosa</v>
      </c>
      <c r="J854" s="4" t="str">
        <f>VLOOKUP(A854,Revisión!$A$2:$L$703,8,FALSE)</f>
        <v>-</v>
      </c>
      <c r="K854" s="4" t="str">
        <f>VLOOKUP(A854,Revisión!$A$2:$L$703,9,FALSE)</f>
        <v>Chromolaena squarrulosa</v>
      </c>
      <c r="L854" s="4" t="str">
        <f>VLOOKUP(A854,Revisión!$A$2:$L$703,10,FALSE)</f>
        <v>Chromolaena squarrulosa</v>
      </c>
      <c r="M854" s="18">
        <f>VLOOKUP(A854,Revisión!$A$2:$L$703,11,FALSE)</f>
        <v>4</v>
      </c>
      <c r="N854" s="30" t="str">
        <f>IF(E854="Coinciden",D854,IF(E854="Revisar",VLOOKUP(A854,Revisión!$A$2:$L$703,12,FALSE),""))</f>
        <v>Chromolaena squarrulosa</v>
      </c>
    </row>
    <row r="855" spans="1:14" x14ac:dyDescent="0.3">
      <c r="A855" t="s">
        <v>1775</v>
      </c>
      <c r="B855" t="s">
        <v>1776</v>
      </c>
      <c r="C855" t="s">
        <v>1776</v>
      </c>
      <c r="D855" t="s">
        <v>1776</v>
      </c>
      <c r="E855" t="s">
        <v>18</v>
      </c>
      <c r="F855" t="s">
        <v>19</v>
      </c>
      <c r="H855" s="23" t="e">
        <f>VLOOKUP(A855,Revisión!$A$2:$L$703,6,FALSE)</f>
        <v>#N/A</v>
      </c>
      <c r="I855" s="4" t="e">
        <f>VLOOKUP(A855,Revisión!$A$2:$L$703,7,FALSE)</f>
        <v>#N/A</v>
      </c>
      <c r="J855" s="4" t="e">
        <f>VLOOKUP(A855,Revisión!$A$2:$L$703,8,FALSE)</f>
        <v>#N/A</v>
      </c>
      <c r="K855" s="4" t="e">
        <f>VLOOKUP(A855,Revisión!$A$2:$L$703,9,FALSE)</f>
        <v>#N/A</v>
      </c>
      <c r="L855" s="4" t="e">
        <f>VLOOKUP(A855,Revisión!$A$2:$L$703,10,FALSE)</f>
        <v>#N/A</v>
      </c>
      <c r="M855" s="18" t="e">
        <f>VLOOKUP(A855,Revisión!$A$2:$L$703,11,FALSE)</f>
        <v>#N/A</v>
      </c>
      <c r="N855" s="30" t="str">
        <f>IF(E855="Coinciden",D855,IF(E855="Revisar",VLOOKUP(A855,Revisión!$A$2:$L$703,12,FALSE),""))</f>
        <v>Euphorbia acanthothamnos</v>
      </c>
    </row>
    <row r="856" spans="1:14" x14ac:dyDescent="0.3">
      <c r="A856" t="s">
        <v>1777</v>
      </c>
      <c r="B856" t="s">
        <v>1778</v>
      </c>
      <c r="C856" t="s">
        <v>1778</v>
      </c>
      <c r="D856" t="s">
        <v>1778</v>
      </c>
      <c r="E856" t="s">
        <v>18</v>
      </c>
      <c r="F856" t="s">
        <v>19</v>
      </c>
      <c r="H856" s="23" t="e">
        <f>VLOOKUP(A856,Revisión!$A$2:$L$703,6,FALSE)</f>
        <v>#N/A</v>
      </c>
      <c r="I856" s="4" t="e">
        <f>VLOOKUP(A856,Revisión!$A$2:$L$703,7,FALSE)</f>
        <v>#N/A</v>
      </c>
      <c r="J856" s="4" t="e">
        <f>VLOOKUP(A856,Revisión!$A$2:$L$703,8,FALSE)</f>
        <v>#N/A</v>
      </c>
      <c r="K856" s="4" t="e">
        <f>VLOOKUP(A856,Revisión!$A$2:$L$703,9,FALSE)</f>
        <v>#N/A</v>
      </c>
      <c r="L856" s="4" t="e">
        <f>VLOOKUP(A856,Revisión!$A$2:$L$703,10,FALSE)</f>
        <v>#N/A</v>
      </c>
      <c r="M856" s="18" t="e">
        <f>VLOOKUP(A856,Revisión!$A$2:$L$703,11,FALSE)</f>
        <v>#N/A</v>
      </c>
      <c r="N856" s="30" t="str">
        <f>IF(E856="Coinciden",D856,IF(E856="Revisar",VLOOKUP(A856,Revisión!$A$2:$L$703,12,FALSE),""))</f>
        <v>Euphorbia hyssopifolia</v>
      </c>
    </row>
    <row r="857" spans="1:14" x14ac:dyDescent="0.3">
      <c r="A857" t="s">
        <v>1779</v>
      </c>
      <c r="D857" t="s">
        <v>1780</v>
      </c>
      <c r="E857" t="s">
        <v>8</v>
      </c>
      <c r="F857" t="s">
        <v>9</v>
      </c>
      <c r="H857" s="23" t="str">
        <f>VLOOKUP(A857,Revisión!$A$2:$L$703,6,FALSE)</f>
        <v>Euphorbia terracina</v>
      </c>
      <c r="I857" s="4" t="str">
        <f>VLOOKUP(A857,Revisión!$A$2:$L$703,7,FALSE)</f>
        <v>Euphorbia terracina</v>
      </c>
      <c r="J857" s="4" t="str">
        <f>VLOOKUP(A857,Revisión!$A$2:$L$703,8,FALSE)</f>
        <v>-</v>
      </c>
      <c r="K857" s="4" t="str">
        <f>VLOOKUP(A857,Revisión!$A$2:$L$703,9,FALSE)</f>
        <v>Euphorbia terracina</v>
      </c>
      <c r="L857" s="4" t="str">
        <f>VLOOKUP(A857,Revisión!$A$2:$L$703,10,FALSE)</f>
        <v>Euphorbia terracina</v>
      </c>
      <c r="M857" s="18">
        <f>VLOOKUP(A857,Revisión!$A$2:$L$703,11,FALSE)</f>
        <v>4</v>
      </c>
      <c r="N857" s="30" t="str">
        <f>IF(E857="Coinciden",D857,IF(E857="Revisar",VLOOKUP(A857,Revisión!$A$2:$L$703,12,FALSE),""))</f>
        <v>Euphorbia terracina</v>
      </c>
    </row>
    <row r="858" spans="1:14" x14ac:dyDescent="0.3">
      <c r="A858" t="s">
        <v>1781</v>
      </c>
      <c r="B858" t="s">
        <v>1782</v>
      </c>
      <c r="C858" t="s">
        <v>1782</v>
      </c>
      <c r="D858" t="s">
        <v>1782</v>
      </c>
      <c r="E858" t="s">
        <v>18</v>
      </c>
      <c r="F858" t="s">
        <v>19</v>
      </c>
      <c r="H858" s="23" t="e">
        <f>VLOOKUP(A858,Revisión!$A$2:$L$703,6,FALSE)</f>
        <v>#N/A</v>
      </c>
      <c r="I858" s="4" t="e">
        <f>VLOOKUP(A858,Revisión!$A$2:$L$703,7,FALSE)</f>
        <v>#N/A</v>
      </c>
      <c r="J858" s="4" t="e">
        <f>VLOOKUP(A858,Revisión!$A$2:$L$703,8,FALSE)</f>
        <v>#N/A</v>
      </c>
      <c r="K858" s="4" t="e">
        <f>VLOOKUP(A858,Revisión!$A$2:$L$703,9,FALSE)</f>
        <v>#N/A</v>
      </c>
      <c r="L858" s="4" t="e">
        <f>VLOOKUP(A858,Revisión!$A$2:$L$703,10,FALSE)</f>
        <v>#N/A</v>
      </c>
      <c r="M858" s="18" t="e">
        <f>VLOOKUP(A858,Revisión!$A$2:$L$703,11,FALSE)</f>
        <v>#N/A</v>
      </c>
      <c r="N858" s="30" t="str">
        <f>IF(E858="Coinciden",D858,IF(E858="Revisar",VLOOKUP(A858,Revisión!$A$2:$L$703,12,FALSE),""))</f>
        <v>Euphorbia pyrifolia</v>
      </c>
    </row>
    <row r="859" spans="1:14" x14ac:dyDescent="0.3">
      <c r="A859" t="s">
        <v>1783</v>
      </c>
      <c r="D859" t="s">
        <v>1784</v>
      </c>
      <c r="E859" t="s">
        <v>8</v>
      </c>
      <c r="F859" t="s">
        <v>9</v>
      </c>
      <c r="H859" s="23" t="str">
        <f>VLOOKUP(A859,Revisión!$A$2:$L$703,6,FALSE)</f>
        <v>Euphorbia nutans</v>
      </c>
      <c r="I859" s="4" t="str">
        <f>VLOOKUP(A859,Revisión!$A$2:$L$703,7,FALSE)</f>
        <v>Euphorbia nutans</v>
      </c>
      <c r="J859" s="4" t="str">
        <f>VLOOKUP(A859,Revisión!$A$2:$L$703,8,FALSE)</f>
        <v>-</v>
      </c>
      <c r="K859" s="4" t="str">
        <f>VLOOKUP(A859,Revisión!$A$2:$L$703,9,FALSE)</f>
        <v>Euphorbia nutans</v>
      </c>
      <c r="L859" s="4" t="str">
        <f>VLOOKUP(A859,Revisión!$A$2:$L$703,10,FALSE)</f>
        <v>Euphorbia nutans</v>
      </c>
      <c r="M859" s="18">
        <f>VLOOKUP(A859,Revisión!$A$2:$L$703,11,FALSE)</f>
        <v>4</v>
      </c>
      <c r="N859" s="30" t="str">
        <f>IF(E859="Coinciden",D859,IF(E859="Revisar",VLOOKUP(A859,Revisión!$A$2:$L$703,12,FALSE),""))</f>
        <v>Euphorbia nutans</v>
      </c>
    </row>
    <row r="860" spans="1:14" x14ac:dyDescent="0.3">
      <c r="A860" t="s">
        <v>1785</v>
      </c>
      <c r="B860" t="s">
        <v>1786</v>
      </c>
      <c r="C860" t="s">
        <v>1786</v>
      </c>
      <c r="D860" t="s">
        <v>1786</v>
      </c>
      <c r="E860" t="s">
        <v>18</v>
      </c>
      <c r="F860" t="s">
        <v>19</v>
      </c>
      <c r="H860" s="23" t="e">
        <f>VLOOKUP(A860,Revisión!$A$2:$L$703,6,FALSE)</f>
        <v>#N/A</v>
      </c>
      <c r="I860" s="4" t="e">
        <f>VLOOKUP(A860,Revisión!$A$2:$L$703,7,FALSE)</f>
        <v>#N/A</v>
      </c>
      <c r="J860" s="4" t="e">
        <f>VLOOKUP(A860,Revisión!$A$2:$L$703,8,FALSE)</f>
        <v>#N/A</v>
      </c>
      <c r="K860" s="4" t="e">
        <f>VLOOKUP(A860,Revisión!$A$2:$L$703,9,FALSE)</f>
        <v>#N/A</v>
      </c>
      <c r="L860" s="4" t="e">
        <f>VLOOKUP(A860,Revisión!$A$2:$L$703,10,FALSE)</f>
        <v>#N/A</v>
      </c>
      <c r="M860" s="18" t="e">
        <f>VLOOKUP(A860,Revisión!$A$2:$L$703,11,FALSE)</f>
        <v>#N/A</v>
      </c>
      <c r="N860" s="30" t="str">
        <f>IF(E860="Coinciden",D860,IF(E860="Revisar",VLOOKUP(A860,Revisión!$A$2:$L$703,12,FALSE),""))</f>
        <v>Euphorbia portulacoides</v>
      </c>
    </row>
    <row r="861" spans="1:14" x14ac:dyDescent="0.3">
      <c r="A861" t="s">
        <v>1787</v>
      </c>
      <c r="B861" t="s">
        <v>1788</v>
      </c>
      <c r="C861" t="s">
        <v>1788</v>
      </c>
      <c r="D861" t="s">
        <v>1788</v>
      </c>
      <c r="E861" t="s">
        <v>18</v>
      </c>
      <c r="F861" t="s">
        <v>19</v>
      </c>
      <c r="H861" s="23" t="e">
        <f>VLOOKUP(A861,Revisión!$A$2:$L$703,6,FALSE)</f>
        <v>#N/A</v>
      </c>
      <c r="I861" s="4" t="e">
        <f>VLOOKUP(A861,Revisión!$A$2:$L$703,7,FALSE)</f>
        <v>#N/A</v>
      </c>
      <c r="J861" s="4" t="e">
        <f>VLOOKUP(A861,Revisión!$A$2:$L$703,8,FALSE)</f>
        <v>#N/A</v>
      </c>
      <c r="K861" s="4" t="e">
        <f>VLOOKUP(A861,Revisión!$A$2:$L$703,9,FALSE)</f>
        <v>#N/A</v>
      </c>
      <c r="L861" s="4" t="e">
        <f>VLOOKUP(A861,Revisión!$A$2:$L$703,10,FALSE)</f>
        <v>#N/A</v>
      </c>
      <c r="M861" s="18" t="e">
        <f>VLOOKUP(A861,Revisión!$A$2:$L$703,11,FALSE)</f>
        <v>#N/A</v>
      </c>
      <c r="N861" s="30" t="str">
        <f>IF(E861="Coinciden",D861,IF(E861="Revisar",VLOOKUP(A861,Revisión!$A$2:$L$703,12,FALSE),""))</f>
        <v>Euphorbia heterophylla var. cyathophora</v>
      </c>
    </row>
    <row r="862" spans="1:14" x14ac:dyDescent="0.3">
      <c r="A862" t="s">
        <v>1789</v>
      </c>
      <c r="B862" t="s">
        <v>1790</v>
      </c>
      <c r="C862" t="s">
        <v>1790</v>
      </c>
      <c r="D862" t="s">
        <v>1790</v>
      </c>
      <c r="E862" t="s">
        <v>18</v>
      </c>
      <c r="F862" t="s">
        <v>19</v>
      </c>
      <c r="H862" s="23" t="e">
        <f>VLOOKUP(A862,Revisión!$A$2:$L$703,6,FALSE)</f>
        <v>#N/A</v>
      </c>
      <c r="I862" s="4" t="e">
        <f>VLOOKUP(A862,Revisión!$A$2:$L$703,7,FALSE)</f>
        <v>#N/A</v>
      </c>
      <c r="J862" s="4" t="e">
        <f>VLOOKUP(A862,Revisión!$A$2:$L$703,8,FALSE)</f>
        <v>#N/A</v>
      </c>
      <c r="K862" s="4" t="e">
        <f>VLOOKUP(A862,Revisión!$A$2:$L$703,9,FALSE)</f>
        <v>#N/A</v>
      </c>
      <c r="L862" s="4" t="e">
        <f>VLOOKUP(A862,Revisión!$A$2:$L$703,10,FALSE)</f>
        <v>#N/A</v>
      </c>
      <c r="M862" s="18" t="e">
        <f>VLOOKUP(A862,Revisión!$A$2:$L$703,11,FALSE)</f>
        <v>#N/A</v>
      </c>
      <c r="N862" s="30" t="str">
        <f>IF(E862="Coinciden",D862,IF(E862="Revisar",VLOOKUP(A862,Revisión!$A$2:$L$703,12,FALSE),""))</f>
        <v>Euphorbia corollata</v>
      </c>
    </row>
    <row r="863" spans="1:14" x14ac:dyDescent="0.3">
      <c r="A863" t="s">
        <v>1791</v>
      </c>
      <c r="B863" t="s">
        <v>1792</v>
      </c>
      <c r="D863" t="s">
        <v>1792</v>
      </c>
      <c r="E863" t="s">
        <v>8</v>
      </c>
      <c r="F863" t="s">
        <v>34</v>
      </c>
      <c r="H863" s="23" t="str">
        <f>VLOOKUP(A863,Revisión!$A$2:$L$703,6,FALSE)</f>
        <v>Euphorbia heterophylla</v>
      </c>
      <c r="I863" s="4" t="str">
        <f>VLOOKUP(A863,Revisión!$A$2:$L$703,7,FALSE)</f>
        <v>Euphorbia heterophylla</v>
      </c>
      <c r="J863" s="4" t="str">
        <f>VLOOKUP(A863,Revisión!$A$2:$L$703,8,FALSE)</f>
        <v>-</v>
      </c>
      <c r="K863" s="4" t="str">
        <f>VLOOKUP(A863,Revisión!$A$2:$L$703,9,FALSE)</f>
        <v>Euphorbia heterophylla</v>
      </c>
      <c r="L863" s="4" t="str">
        <f>VLOOKUP(A863,Revisión!$A$2:$L$703,10,FALSE)</f>
        <v>Euphorbia heterophylla</v>
      </c>
      <c r="M863" s="18">
        <f>VLOOKUP(A863,Revisión!$A$2:$L$703,11,FALSE)</f>
        <v>4</v>
      </c>
      <c r="N863" s="30" t="str">
        <f>IF(E863="Coinciden",D863,IF(E863="Revisar",VLOOKUP(A863,Revisión!$A$2:$L$703,12,FALSE),""))</f>
        <v>Euphorbia heterophylla</v>
      </c>
    </row>
    <row r="864" spans="1:14" x14ac:dyDescent="0.3">
      <c r="A864" t="s">
        <v>1793</v>
      </c>
      <c r="C864" t="s">
        <v>1794</v>
      </c>
      <c r="D864" t="s">
        <v>1794</v>
      </c>
      <c r="E864" t="s">
        <v>8</v>
      </c>
      <c r="F864" t="s">
        <v>49</v>
      </c>
      <c r="H864" s="23" t="str">
        <f>VLOOKUP(A864,Revisión!$A$2:$L$703,6,FALSE)</f>
        <v>Euphorbia segetalis</v>
      </c>
      <c r="I864" s="4" t="str">
        <f>VLOOKUP(A864,Revisión!$A$2:$L$703,7,FALSE)</f>
        <v>Euphorbia segetalis</v>
      </c>
      <c r="J864" s="4" t="str">
        <f>VLOOKUP(A864,Revisión!$A$2:$L$703,8,FALSE)</f>
        <v>-</v>
      </c>
      <c r="K864" s="4" t="str">
        <f>VLOOKUP(A864,Revisión!$A$2:$L$703,9,FALSE)</f>
        <v>Euphorbia segetalis</v>
      </c>
      <c r="L864" s="4" t="str">
        <f>VLOOKUP(A864,Revisión!$A$2:$L$703,10,FALSE)</f>
        <v>Euphorbia segetalis</v>
      </c>
      <c r="M864" s="18">
        <f>VLOOKUP(A864,Revisión!$A$2:$L$703,11,FALSE)</f>
        <v>4</v>
      </c>
      <c r="N864" s="30" t="str">
        <f>IF(E864="Coinciden",D864,IF(E864="Revisar",VLOOKUP(A864,Revisión!$A$2:$L$703,12,FALSE),""))</f>
        <v>Euphorbia segetalis</v>
      </c>
    </row>
    <row r="865" spans="1:14" x14ac:dyDescent="0.3">
      <c r="A865" t="s">
        <v>1795</v>
      </c>
      <c r="B865" t="s">
        <v>1796</v>
      </c>
      <c r="C865" t="s">
        <v>1796</v>
      </c>
      <c r="D865" t="s">
        <v>1796</v>
      </c>
      <c r="E865" t="s">
        <v>18</v>
      </c>
      <c r="F865" t="s">
        <v>19</v>
      </c>
      <c r="H865" s="23" t="e">
        <f>VLOOKUP(A865,Revisión!$A$2:$L$703,6,FALSE)</f>
        <v>#N/A</v>
      </c>
      <c r="I865" s="4" t="e">
        <f>VLOOKUP(A865,Revisión!$A$2:$L$703,7,FALSE)</f>
        <v>#N/A</v>
      </c>
      <c r="J865" s="4" t="e">
        <f>VLOOKUP(A865,Revisión!$A$2:$L$703,8,FALSE)</f>
        <v>#N/A</v>
      </c>
      <c r="K865" s="4" t="e">
        <f>VLOOKUP(A865,Revisión!$A$2:$L$703,9,FALSE)</f>
        <v>#N/A</v>
      </c>
      <c r="L865" s="4" t="e">
        <f>VLOOKUP(A865,Revisión!$A$2:$L$703,10,FALSE)</f>
        <v>#N/A</v>
      </c>
      <c r="M865" s="18" t="e">
        <f>VLOOKUP(A865,Revisión!$A$2:$L$703,11,FALSE)</f>
        <v>#N/A</v>
      </c>
      <c r="N865" s="30" t="str">
        <f>IF(E865="Coinciden",D865,IF(E865="Revisar",VLOOKUP(A865,Revisión!$A$2:$L$703,12,FALSE),""))</f>
        <v>Euphorbia canariensis</v>
      </c>
    </row>
    <row r="866" spans="1:14" x14ac:dyDescent="0.3">
      <c r="A866" t="s">
        <v>1797</v>
      </c>
      <c r="B866" t="s">
        <v>1798</v>
      </c>
      <c r="C866" t="s">
        <v>1798</v>
      </c>
      <c r="D866" t="s">
        <v>1798</v>
      </c>
      <c r="E866" t="s">
        <v>18</v>
      </c>
      <c r="F866" t="s">
        <v>19</v>
      </c>
      <c r="H866" s="23" t="e">
        <f>VLOOKUP(A866,Revisión!$A$2:$L$703,6,FALSE)</f>
        <v>#N/A</v>
      </c>
      <c r="I866" s="4" t="e">
        <f>VLOOKUP(A866,Revisión!$A$2:$L$703,7,FALSE)</f>
        <v>#N/A</v>
      </c>
      <c r="J866" s="4" t="e">
        <f>VLOOKUP(A866,Revisión!$A$2:$L$703,8,FALSE)</f>
        <v>#N/A</v>
      </c>
      <c r="K866" s="4" t="e">
        <f>VLOOKUP(A866,Revisión!$A$2:$L$703,9,FALSE)</f>
        <v>#N/A</v>
      </c>
      <c r="L866" s="4" t="e">
        <f>VLOOKUP(A866,Revisión!$A$2:$L$703,10,FALSE)</f>
        <v>#N/A</v>
      </c>
      <c r="M866" s="18" t="e">
        <f>VLOOKUP(A866,Revisión!$A$2:$L$703,11,FALSE)</f>
        <v>#N/A</v>
      </c>
      <c r="N866" s="30" t="str">
        <f>IF(E866="Coinciden",D866,IF(E866="Revisar",VLOOKUP(A866,Revisión!$A$2:$L$703,12,FALSE),""))</f>
        <v>Euphrasia zelandica</v>
      </c>
    </row>
    <row r="867" spans="1:14" x14ac:dyDescent="0.3">
      <c r="A867" t="s">
        <v>1799</v>
      </c>
      <c r="B867" t="s">
        <v>1800</v>
      </c>
      <c r="C867" t="s">
        <v>1800</v>
      </c>
      <c r="D867" t="s">
        <v>1800</v>
      </c>
      <c r="E867" t="s">
        <v>18</v>
      </c>
      <c r="F867" t="s">
        <v>19</v>
      </c>
      <c r="H867" s="23" t="e">
        <f>VLOOKUP(A867,Revisión!$A$2:$L$703,6,FALSE)</f>
        <v>#N/A</v>
      </c>
      <c r="I867" s="4" t="e">
        <f>VLOOKUP(A867,Revisión!$A$2:$L$703,7,FALSE)</f>
        <v>#N/A</v>
      </c>
      <c r="J867" s="4" t="e">
        <f>VLOOKUP(A867,Revisión!$A$2:$L$703,8,FALSE)</f>
        <v>#N/A</v>
      </c>
      <c r="K867" s="4" t="e">
        <f>VLOOKUP(A867,Revisión!$A$2:$L$703,9,FALSE)</f>
        <v>#N/A</v>
      </c>
      <c r="L867" s="4" t="e">
        <f>VLOOKUP(A867,Revisión!$A$2:$L$703,10,FALSE)</f>
        <v>#N/A</v>
      </c>
      <c r="M867" s="18" t="e">
        <f>VLOOKUP(A867,Revisión!$A$2:$L$703,11,FALSE)</f>
        <v>#N/A</v>
      </c>
      <c r="N867" s="30" t="str">
        <f>IF(E867="Coinciden",D867,IF(E867="Revisar",VLOOKUP(A867,Revisión!$A$2:$L$703,12,FALSE),""))</f>
        <v>Euphrasia maximowiczii</v>
      </c>
    </row>
    <row r="868" spans="1:14" x14ac:dyDescent="0.3">
      <c r="A868" t="s">
        <v>1801</v>
      </c>
      <c r="B868" t="s">
        <v>1802</v>
      </c>
      <c r="C868" t="s">
        <v>1802</v>
      </c>
      <c r="D868" t="s">
        <v>1802</v>
      </c>
      <c r="E868" t="s">
        <v>18</v>
      </c>
      <c r="F868" t="s">
        <v>19</v>
      </c>
      <c r="H868" s="23" t="e">
        <f>VLOOKUP(A868,Revisión!$A$2:$L$703,6,FALSE)</f>
        <v>#N/A</v>
      </c>
      <c r="I868" s="4" t="e">
        <f>VLOOKUP(A868,Revisión!$A$2:$L$703,7,FALSE)</f>
        <v>#N/A</v>
      </c>
      <c r="J868" s="4" t="e">
        <f>VLOOKUP(A868,Revisión!$A$2:$L$703,8,FALSE)</f>
        <v>#N/A</v>
      </c>
      <c r="K868" s="4" t="e">
        <f>VLOOKUP(A868,Revisión!$A$2:$L$703,9,FALSE)</f>
        <v>#N/A</v>
      </c>
      <c r="L868" s="4" t="e">
        <f>VLOOKUP(A868,Revisión!$A$2:$L$703,10,FALSE)</f>
        <v>#N/A</v>
      </c>
      <c r="M868" s="18" t="e">
        <f>VLOOKUP(A868,Revisión!$A$2:$L$703,11,FALSE)</f>
        <v>#N/A</v>
      </c>
      <c r="N868" s="30" t="str">
        <f>IF(E868="Coinciden",D868,IF(E868="Revisar",VLOOKUP(A868,Revisión!$A$2:$L$703,12,FALSE),""))</f>
        <v>Euphrasia officinalis</v>
      </c>
    </row>
    <row r="869" spans="1:14" x14ac:dyDescent="0.3">
      <c r="A869" t="s">
        <v>1803</v>
      </c>
      <c r="B869" t="s">
        <v>1804</v>
      </c>
      <c r="C869" t="s">
        <v>1804</v>
      </c>
      <c r="D869" t="s">
        <v>1804</v>
      </c>
      <c r="E869" t="s">
        <v>18</v>
      </c>
      <c r="F869" t="s">
        <v>19</v>
      </c>
      <c r="H869" s="23" t="e">
        <f>VLOOKUP(A869,Revisión!$A$2:$L$703,6,FALSE)</f>
        <v>#N/A</v>
      </c>
      <c r="I869" s="4" t="e">
        <f>VLOOKUP(A869,Revisión!$A$2:$L$703,7,FALSE)</f>
        <v>#N/A</v>
      </c>
      <c r="J869" s="4" t="e">
        <f>VLOOKUP(A869,Revisión!$A$2:$L$703,8,FALSE)</f>
        <v>#N/A</v>
      </c>
      <c r="K869" s="4" t="e">
        <f>VLOOKUP(A869,Revisión!$A$2:$L$703,9,FALSE)</f>
        <v>#N/A</v>
      </c>
      <c r="L869" s="4" t="e">
        <f>VLOOKUP(A869,Revisión!$A$2:$L$703,10,FALSE)</f>
        <v>#N/A</v>
      </c>
      <c r="M869" s="18" t="e">
        <f>VLOOKUP(A869,Revisión!$A$2:$L$703,11,FALSE)</f>
        <v>#N/A</v>
      </c>
      <c r="N869" s="30" t="str">
        <f>IF(E869="Coinciden",D869,IF(E869="Revisar",VLOOKUP(A869,Revisión!$A$2:$L$703,12,FALSE),""))</f>
        <v>Euphrasia collina</v>
      </c>
    </row>
    <row r="870" spans="1:14" x14ac:dyDescent="0.3">
      <c r="A870" t="s">
        <v>1805</v>
      </c>
      <c r="B870" t="s">
        <v>1806</v>
      </c>
      <c r="C870" t="s">
        <v>1806</v>
      </c>
      <c r="D870" t="s">
        <v>1806</v>
      </c>
      <c r="E870" t="s">
        <v>18</v>
      </c>
      <c r="F870" t="s">
        <v>19</v>
      </c>
      <c r="H870" s="23" t="e">
        <f>VLOOKUP(A870,Revisión!$A$2:$L$703,6,FALSE)</f>
        <v>#N/A</v>
      </c>
      <c r="I870" s="4" t="e">
        <f>VLOOKUP(A870,Revisión!$A$2:$L$703,7,FALSE)</f>
        <v>#N/A</v>
      </c>
      <c r="J870" s="4" t="e">
        <f>VLOOKUP(A870,Revisión!$A$2:$L$703,8,FALSE)</f>
        <v>#N/A</v>
      </c>
      <c r="K870" s="4" t="e">
        <f>VLOOKUP(A870,Revisión!$A$2:$L$703,9,FALSE)</f>
        <v>#N/A</v>
      </c>
      <c r="L870" s="4" t="e">
        <f>VLOOKUP(A870,Revisión!$A$2:$L$703,10,FALSE)</f>
        <v>#N/A</v>
      </c>
      <c r="M870" s="18" t="e">
        <f>VLOOKUP(A870,Revisión!$A$2:$L$703,11,FALSE)</f>
        <v>#N/A</v>
      </c>
      <c r="N870" s="30" t="str">
        <f>IF(E870="Coinciden",D870,IF(E870="Revisar",VLOOKUP(A870,Revisión!$A$2:$L$703,12,FALSE),""))</f>
        <v>Euphrasia revoluta</v>
      </c>
    </row>
    <row r="871" spans="1:14" x14ac:dyDescent="0.3">
      <c r="A871" t="s">
        <v>1807</v>
      </c>
      <c r="B871" t="s">
        <v>1808</v>
      </c>
      <c r="C871" t="s">
        <v>1808</v>
      </c>
      <c r="D871" t="s">
        <v>1808</v>
      </c>
      <c r="E871" t="s">
        <v>18</v>
      </c>
      <c r="F871" t="s">
        <v>19</v>
      </c>
      <c r="H871" s="23" t="e">
        <f>VLOOKUP(A871,Revisión!$A$2:$L$703,6,FALSE)</f>
        <v>#N/A</v>
      </c>
      <c r="I871" s="4" t="e">
        <f>VLOOKUP(A871,Revisión!$A$2:$L$703,7,FALSE)</f>
        <v>#N/A</v>
      </c>
      <c r="J871" s="4" t="e">
        <f>VLOOKUP(A871,Revisión!$A$2:$L$703,8,FALSE)</f>
        <v>#N/A</v>
      </c>
      <c r="K871" s="4" t="e">
        <f>VLOOKUP(A871,Revisión!$A$2:$L$703,9,FALSE)</f>
        <v>#N/A</v>
      </c>
      <c r="L871" s="4" t="e">
        <f>VLOOKUP(A871,Revisión!$A$2:$L$703,10,FALSE)</f>
        <v>#N/A</v>
      </c>
      <c r="M871" s="18" t="e">
        <f>VLOOKUP(A871,Revisión!$A$2:$L$703,11,FALSE)</f>
        <v>#N/A</v>
      </c>
      <c r="N871" s="30" t="str">
        <f>IF(E871="Coinciden",D871,IF(E871="Revisar",VLOOKUP(A871,Revisión!$A$2:$L$703,12,FALSE),""))</f>
        <v>Euptelea polyandra</v>
      </c>
    </row>
    <row r="872" spans="1:14" x14ac:dyDescent="0.3">
      <c r="A872" t="s">
        <v>1809</v>
      </c>
      <c r="B872" t="s">
        <v>1810</v>
      </c>
      <c r="C872" t="s">
        <v>1810</v>
      </c>
      <c r="D872" t="s">
        <v>1810</v>
      </c>
      <c r="E872" t="s">
        <v>18</v>
      </c>
      <c r="F872" t="s">
        <v>19</v>
      </c>
      <c r="H872" s="23" t="e">
        <f>VLOOKUP(A872,Revisión!$A$2:$L$703,6,FALSE)</f>
        <v>#N/A</v>
      </c>
      <c r="I872" s="4" t="e">
        <f>VLOOKUP(A872,Revisión!$A$2:$L$703,7,FALSE)</f>
        <v>#N/A</v>
      </c>
      <c r="J872" s="4" t="e">
        <f>VLOOKUP(A872,Revisión!$A$2:$L$703,8,FALSE)</f>
        <v>#N/A</v>
      </c>
      <c r="K872" s="4" t="e">
        <f>VLOOKUP(A872,Revisión!$A$2:$L$703,9,FALSE)</f>
        <v>#N/A</v>
      </c>
      <c r="L872" s="4" t="e">
        <f>VLOOKUP(A872,Revisión!$A$2:$L$703,10,FALSE)</f>
        <v>#N/A</v>
      </c>
      <c r="M872" s="18" t="e">
        <f>VLOOKUP(A872,Revisión!$A$2:$L$703,11,FALSE)</f>
        <v>#N/A</v>
      </c>
      <c r="N872" s="30" t="str">
        <f>IF(E872="Coinciden",D872,IF(E872="Revisar",VLOOKUP(A872,Revisión!$A$2:$L$703,12,FALSE),""))</f>
        <v>Eurya japonica</v>
      </c>
    </row>
    <row r="873" spans="1:14" x14ac:dyDescent="0.3">
      <c r="A873" t="s">
        <v>1811</v>
      </c>
      <c r="B873" t="s">
        <v>1812</v>
      </c>
      <c r="C873" t="s">
        <v>1812</v>
      </c>
      <c r="D873" t="s">
        <v>1812</v>
      </c>
      <c r="E873" t="s">
        <v>18</v>
      </c>
      <c r="F873" t="s">
        <v>19</v>
      </c>
      <c r="H873" s="23" t="e">
        <f>VLOOKUP(A873,Revisión!$A$2:$L$703,6,FALSE)</f>
        <v>#N/A</v>
      </c>
      <c r="I873" s="4" t="e">
        <f>VLOOKUP(A873,Revisión!$A$2:$L$703,7,FALSE)</f>
        <v>#N/A</v>
      </c>
      <c r="J873" s="4" t="e">
        <f>VLOOKUP(A873,Revisión!$A$2:$L$703,8,FALSE)</f>
        <v>#N/A</v>
      </c>
      <c r="K873" s="4" t="e">
        <f>VLOOKUP(A873,Revisión!$A$2:$L$703,9,FALSE)</f>
        <v>#N/A</v>
      </c>
      <c r="L873" s="4" t="e">
        <f>VLOOKUP(A873,Revisión!$A$2:$L$703,10,FALSE)</f>
        <v>#N/A</v>
      </c>
      <c r="M873" s="18" t="e">
        <f>VLOOKUP(A873,Revisión!$A$2:$L$703,11,FALSE)</f>
        <v>#N/A</v>
      </c>
      <c r="N873" s="30" t="str">
        <f>IF(E873="Coinciden",D873,IF(E873="Revisar",VLOOKUP(A873,Revisión!$A$2:$L$703,12,FALSE),""))</f>
        <v>Staphylea japonica</v>
      </c>
    </row>
    <row r="874" spans="1:14" x14ac:dyDescent="0.3">
      <c r="A874" t="s">
        <v>1813</v>
      </c>
      <c r="C874" t="s">
        <v>1814</v>
      </c>
      <c r="D874" t="s">
        <v>1814</v>
      </c>
      <c r="E874" t="s">
        <v>8</v>
      </c>
      <c r="F874" t="s">
        <v>49</v>
      </c>
      <c r="H874" s="23" t="str">
        <f>VLOOKUP(A874,Revisión!$A$2:$L$703,6,FALSE)</f>
        <v>Pogostemon yatabeanus</v>
      </c>
      <c r="I874" s="4" t="str">
        <f>VLOOKUP(A874,Revisión!$A$2:$L$703,7,FALSE)</f>
        <v>Pogostemon yatabeanus</v>
      </c>
      <c r="J874" s="4" t="str">
        <f>VLOOKUP(A874,Revisión!$A$2:$L$703,8,FALSE)</f>
        <v>-</v>
      </c>
      <c r="K874" s="4" t="str">
        <f>VLOOKUP(A874,Revisión!$A$2:$L$703,9,FALSE)</f>
        <v>Pogostemon yatabeanus</v>
      </c>
      <c r="L874" s="4" t="str">
        <f>VLOOKUP(A874,Revisión!$A$2:$L$703,10,FALSE)</f>
        <v>Pogostemon yatabeanus</v>
      </c>
      <c r="M874" s="18">
        <f>VLOOKUP(A874,Revisión!$A$2:$L$703,11,FALSE)</f>
        <v>4</v>
      </c>
      <c r="N874" s="30" t="str">
        <f>IF(E874="Coinciden",D874,IF(E874="Revisar",VLOOKUP(A874,Revisión!$A$2:$L$703,12,FALSE),""))</f>
        <v>Pogostemon yatabeanus</v>
      </c>
    </row>
    <row r="875" spans="1:14" x14ac:dyDescent="0.3">
      <c r="A875" t="s">
        <v>1815</v>
      </c>
      <c r="B875" t="s">
        <v>1816</v>
      </c>
      <c r="C875" t="s">
        <v>1816</v>
      </c>
      <c r="D875" t="s">
        <v>1816</v>
      </c>
      <c r="E875" t="s">
        <v>18</v>
      </c>
      <c r="F875" t="s">
        <v>19</v>
      </c>
      <c r="H875" s="23" t="e">
        <f>VLOOKUP(A875,Revisión!$A$2:$L$703,6,FALSE)</f>
        <v>#N/A</v>
      </c>
      <c r="I875" s="4" t="e">
        <f>VLOOKUP(A875,Revisión!$A$2:$L$703,7,FALSE)</f>
        <v>#N/A</v>
      </c>
      <c r="J875" s="4" t="e">
        <f>VLOOKUP(A875,Revisión!$A$2:$L$703,8,FALSE)</f>
        <v>#N/A</v>
      </c>
      <c r="K875" s="4" t="e">
        <f>VLOOKUP(A875,Revisión!$A$2:$L$703,9,FALSE)</f>
        <v>#N/A</v>
      </c>
      <c r="L875" s="4" t="e">
        <f>VLOOKUP(A875,Revisión!$A$2:$L$703,10,FALSE)</f>
        <v>#N/A</v>
      </c>
      <c r="M875" s="18" t="e">
        <f>VLOOKUP(A875,Revisión!$A$2:$L$703,11,FALSE)</f>
        <v>#N/A</v>
      </c>
      <c r="N875" s="30" t="str">
        <f>IF(E875="Coinciden",D875,IF(E875="Revisar",VLOOKUP(A875,Revisión!$A$2:$L$703,12,FALSE),""))</f>
        <v>Evolvulus nummularius</v>
      </c>
    </row>
    <row r="876" spans="1:14" x14ac:dyDescent="0.3">
      <c r="A876" t="s">
        <v>1817</v>
      </c>
      <c r="D876" t="s">
        <v>1818</v>
      </c>
      <c r="E876" t="s">
        <v>8</v>
      </c>
      <c r="F876" t="s">
        <v>9</v>
      </c>
      <c r="H876" s="23" t="str">
        <f>VLOOKUP(A876,Revisión!$A$2:$L$703,6,FALSE)</f>
        <v>Euonymus atropurpureus</v>
      </c>
      <c r="I876" s="4" t="str">
        <f>VLOOKUP(A876,Revisión!$A$2:$L$703,7,FALSE)</f>
        <v>Euonymus atropurpureus</v>
      </c>
      <c r="J876" s="4" t="str">
        <f>VLOOKUP(A876,Revisión!$A$2:$L$703,8,FALSE)</f>
        <v>-</v>
      </c>
      <c r="K876" s="4" t="str">
        <f>VLOOKUP(A876,Revisión!$A$2:$L$703,9,FALSE)</f>
        <v>Euonymus atropurpureus</v>
      </c>
      <c r="L876" s="4" t="str">
        <f>VLOOKUP(A876,Revisión!$A$2:$L$703,10,FALSE)</f>
        <v>Euonymus atropurpureus</v>
      </c>
      <c r="M876" s="18">
        <f>VLOOKUP(A876,Revisión!$A$2:$L$703,11,FALSE)</f>
        <v>4</v>
      </c>
      <c r="N876" s="30" t="str">
        <f>IF(E876="Coinciden",D876,IF(E876="Revisar",VLOOKUP(A876,Revisión!$A$2:$L$703,12,FALSE),""))</f>
        <v>Euonymus atropurpureus</v>
      </c>
    </row>
    <row r="877" spans="1:14" x14ac:dyDescent="0.3">
      <c r="A877" t="s">
        <v>1819</v>
      </c>
      <c r="C877" t="s">
        <v>1820</v>
      </c>
      <c r="D877" t="s">
        <v>1820</v>
      </c>
      <c r="E877" t="s">
        <v>8</v>
      </c>
      <c r="F877" t="s">
        <v>49</v>
      </c>
      <c r="H877" s="23" t="str">
        <f>VLOOKUP(A877,Revisión!$A$2:$L$703,6,FALSE)</f>
        <v>Excoecaria benthamiana</v>
      </c>
      <c r="I877" s="4" t="str">
        <f>VLOOKUP(A877,Revisión!$A$2:$L$703,7,FALSE)</f>
        <v>Excoecaria benthamiana</v>
      </c>
      <c r="J877" s="4" t="str">
        <f>VLOOKUP(A877,Revisión!$A$2:$L$703,8,FALSE)</f>
        <v>-</v>
      </c>
      <c r="K877" s="4" t="str">
        <f>VLOOKUP(A877,Revisión!$A$2:$L$703,9,FALSE)</f>
        <v>Excoecaria benthamiana</v>
      </c>
      <c r="L877" s="4" t="str">
        <f>VLOOKUP(A877,Revisión!$A$2:$L$703,10,FALSE)</f>
        <v>Excoecaria benthamiana</v>
      </c>
      <c r="M877" s="18">
        <f>VLOOKUP(A877,Revisión!$A$2:$L$703,11,FALSE)</f>
        <v>4</v>
      </c>
      <c r="N877" s="30" t="str">
        <f>IF(E877="Coinciden",D877,IF(E877="Revisar",VLOOKUP(A877,Revisión!$A$2:$L$703,12,FALSE),""))</f>
        <v>Excoecaria benthamiana</v>
      </c>
    </row>
    <row r="878" spans="1:14" x14ac:dyDescent="0.3">
      <c r="A878" t="s">
        <v>1821</v>
      </c>
      <c r="B878" t="s">
        <v>1822</v>
      </c>
      <c r="C878" t="s">
        <v>1823</v>
      </c>
      <c r="D878" t="s">
        <v>1823</v>
      </c>
      <c r="E878" t="s">
        <v>8</v>
      </c>
      <c r="F878" t="s">
        <v>23</v>
      </c>
      <c r="H878" s="23" t="str">
        <f>VLOOKUP(A878,Revisión!$A$2:$L$703,6,FALSE)</f>
        <v>Fagonia scabra</v>
      </c>
      <c r="I878" s="4" t="str">
        <f>VLOOKUP(A878,Revisión!$A$2:$L$703,7,FALSE)</f>
        <v>Zygophyllum scabrum</v>
      </c>
      <c r="J878" s="4" t="str">
        <f>VLOOKUP(A878,Revisión!$A$2:$L$703,8,FALSE)</f>
        <v>-</v>
      </c>
      <c r="K878" s="4" t="str">
        <f>VLOOKUP(A878,Revisión!$A$2:$L$703,9,FALSE)</f>
        <v>Fagonia scabra </v>
      </c>
      <c r="L878" s="4" t="str">
        <f>VLOOKUP(A878,Revisión!$A$2:$L$703,10,FALSE)</f>
        <v>Fagonia scabra </v>
      </c>
      <c r="M878" s="18">
        <f>VLOOKUP(A878,Revisión!$A$2:$L$703,11,FALSE)</f>
        <v>3</v>
      </c>
      <c r="N878" s="30" t="str">
        <f>IF(E878="Coinciden",D878,IF(E878="Revisar",VLOOKUP(A878,Revisión!$A$2:$L$703,12,FALSE),""))</f>
        <v>Fagonia scabra </v>
      </c>
    </row>
    <row r="879" spans="1:14" x14ac:dyDescent="0.3">
      <c r="A879" t="s">
        <v>1824</v>
      </c>
      <c r="C879" t="s">
        <v>1825</v>
      </c>
      <c r="D879" t="s">
        <v>1825</v>
      </c>
      <c r="E879" t="s">
        <v>8</v>
      </c>
      <c r="F879" t="s">
        <v>49</v>
      </c>
      <c r="H879" s="23" t="str">
        <f>VLOOKUP(A879,Revisión!$A$2:$L$703,6,FALSE)</f>
        <v>Farfugium japonicum</v>
      </c>
      <c r="I879" s="4" t="str">
        <f>VLOOKUP(A879,Revisión!$A$2:$L$703,7,FALSE)</f>
        <v>Farfugium japonicum</v>
      </c>
      <c r="J879" s="4" t="str">
        <f>VLOOKUP(A879,Revisión!$A$2:$L$703,8,FALSE)</f>
        <v>-</v>
      </c>
      <c r="K879" s="4" t="str">
        <f>VLOOKUP(A879,Revisión!$A$2:$L$703,9,FALSE)</f>
        <v>Farfugium japonicum</v>
      </c>
      <c r="L879" s="4" t="str">
        <f>VLOOKUP(A879,Revisión!$A$2:$L$703,10,FALSE)</f>
        <v>Farfugium japonicum</v>
      </c>
      <c r="M879" s="18">
        <f>VLOOKUP(A879,Revisión!$A$2:$L$703,11,FALSE)</f>
        <v>4</v>
      </c>
      <c r="N879" s="30" t="str">
        <f>IF(E879="Coinciden",D879,IF(E879="Revisar",VLOOKUP(A879,Revisión!$A$2:$L$703,12,FALSE),""))</f>
        <v>Farfugium japonicum</v>
      </c>
    </row>
    <row r="880" spans="1:14" x14ac:dyDescent="0.3">
      <c r="A880" t="s">
        <v>1826</v>
      </c>
      <c r="B880" t="s">
        <v>1827</v>
      </c>
      <c r="C880" t="s">
        <v>1827</v>
      </c>
      <c r="D880" t="s">
        <v>1827</v>
      </c>
      <c r="E880" t="s">
        <v>18</v>
      </c>
      <c r="F880" t="s">
        <v>19</v>
      </c>
      <c r="H880" s="23" t="e">
        <f>VLOOKUP(A880,Revisión!$A$2:$L$703,6,FALSE)</f>
        <v>#N/A</v>
      </c>
      <c r="I880" s="4" t="e">
        <f>VLOOKUP(A880,Revisión!$A$2:$L$703,7,FALSE)</f>
        <v>#N/A</v>
      </c>
      <c r="J880" s="4" t="e">
        <f>VLOOKUP(A880,Revisión!$A$2:$L$703,8,FALSE)</f>
        <v>#N/A</v>
      </c>
      <c r="K880" s="4" t="e">
        <f>VLOOKUP(A880,Revisión!$A$2:$L$703,9,FALSE)</f>
        <v>#N/A</v>
      </c>
      <c r="L880" s="4" t="e">
        <f>VLOOKUP(A880,Revisión!$A$2:$L$703,10,FALSE)</f>
        <v>#N/A</v>
      </c>
      <c r="M880" s="18" t="e">
        <f>VLOOKUP(A880,Revisión!$A$2:$L$703,11,FALSE)</f>
        <v>#N/A</v>
      </c>
      <c r="N880" s="30" t="str">
        <f>IF(E880="Coinciden",D880,IF(E880="Revisar",VLOOKUP(A880,Revisión!$A$2:$L$703,12,FALSE),""))</f>
        <v>Fatsia japonica</v>
      </c>
    </row>
    <row r="881" spans="1:14" x14ac:dyDescent="0.3">
      <c r="A881" t="s">
        <v>1828</v>
      </c>
      <c r="B881" t="s">
        <v>1829</v>
      </c>
      <c r="C881" t="s">
        <v>1829</v>
      </c>
      <c r="E881" t="s">
        <v>8</v>
      </c>
      <c r="F881" t="s">
        <v>323</v>
      </c>
      <c r="H881" s="23" t="str">
        <f>VLOOKUP(A881,Revisión!$A$2:$L$703,6,FALSE)</f>
        <v>Faujasiopsis flexuosa subsp. erecta</v>
      </c>
      <c r="I881" s="4" t="str">
        <f>VLOOKUP(A881,Revisión!$A$2:$L$703,7,FALSE)</f>
        <v>Faujasiopsis flexuosa subsp. erecta</v>
      </c>
      <c r="J881" s="4" t="str">
        <f>VLOOKUP(A881,Revisión!$A$2:$L$703,8,FALSE)</f>
        <v>-</v>
      </c>
      <c r="K881" s="4" t="str">
        <f>VLOOKUP(A881,Revisión!$A$2:$L$703,9,FALSE)</f>
        <v>Faujasiopsis flexuosa subsp. erecta</v>
      </c>
      <c r="L881" s="4" t="str">
        <f>VLOOKUP(A881,Revisión!$A$2:$L$703,10,FALSE)</f>
        <v>Faujasiopsis flexuosa subsp. erecta</v>
      </c>
      <c r="M881" s="18">
        <f>VLOOKUP(A881,Revisión!$A$2:$L$703,11,FALSE)</f>
        <v>4</v>
      </c>
      <c r="N881" s="30" t="str">
        <f>IF(E881="Coinciden",D881,IF(E881="Revisar",VLOOKUP(A881,Revisión!$A$2:$L$703,12,FALSE),""))</f>
        <v>Faujasiopsis flexuosa subsp. erecta</v>
      </c>
    </row>
    <row r="882" spans="1:14" x14ac:dyDescent="0.3">
      <c r="A882" t="s">
        <v>1830</v>
      </c>
      <c r="B882" t="s">
        <v>1831</v>
      </c>
      <c r="C882" t="s">
        <v>1831</v>
      </c>
      <c r="D882" t="s">
        <v>1832</v>
      </c>
      <c r="E882" t="s">
        <v>8</v>
      </c>
      <c r="F882" t="s">
        <v>15</v>
      </c>
      <c r="H882" s="23" t="str">
        <f>VLOOKUP(A882,Revisión!$A$2:$L$703,6,FALSE)</f>
        <v>Faujasiopsis flexuosa</v>
      </c>
      <c r="I882" s="4" t="str">
        <f>VLOOKUP(A882,Revisión!$A$2:$L$703,7,FALSE)</f>
        <v>Faujasia flexuosa</v>
      </c>
      <c r="J882" s="4" t="str">
        <f>VLOOKUP(A882,Revisión!$A$2:$L$703,8,FALSE)</f>
        <v>-</v>
      </c>
      <c r="K882" s="4" t="str">
        <f>VLOOKUP(A882,Revisión!$A$2:$L$703,9,FALSE)</f>
        <v>Faujasiopsis flexuosa</v>
      </c>
      <c r="L882" s="4" t="str">
        <f>VLOOKUP(A882,Revisión!$A$2:$L$703,10,FALSE)</f>
        <v>Faujasiopsis flexuosa</v>
      </c>
      <c r="M882" s="18">
        <f>VLOOKUP(A882,Revisión!$A$2:$L$703,11,FALSE)</f>
        <v>3</v>
      </c>
      <c r="N882" s="30" t="str">
        <f>IF(E882="Coinciden",D882,IF(E882="Revisar",VLOOKUP(A882,Revisión!$A$2:$L$703,12,FALSE),""))</f>
        <v>Faujasiopsis flexuosa</v>
      </c>
    </row>
    <row r="883" spans="1:14" x14ac:dyDescent="0.3">
      <c r="A883" t="s">
        <v>1833</v>
      </c>
      <c r="B883" t="s">
        <v>1834</v>
      </c>
      <c r="C883" t="s">
        <v>1834</v>
      </c>
      <c r="D883" t="s">
        <v>1834</v>
      </c>
      <c r="E883" t="s">
        <v>18</v>
      </c>
      <c r="F883" t="s">
        <v>19</v>
      </c>
      <c r="H883" s="23" t="e">
        <f>VLOOKUP(A883,Revisión!$A$2:$L$703,6,FALSE)</f>
        <v>#N/A</v>
      </c>
      <c r="I883" s="4" t="e">
        <f>VLOOKUP(A883,Revisión!$A$2:$L$703,7,FALSE)</f>
        <v>#N/A</v>
      </c>
      <c r="J883" s="4" t="e">
        <f>VLOOKUP(A883,Revisión!$A$2:$L$703,8,FALSE)</f>
        <v>#N/A</v>
      </c>
      <c r="K883" s="4" t="e">
        <f>VLOOKUP(A883,Revisión!$A$2:$L$703,9,FALSE)</f>
        <v>#N/A</v>
      </c>
      <c r="L883" s="4" t="e">
        <f>VLOOKUP(A883,Revisión!$A$2:$L$703,10,FALSE)</f>
        <v>#N/A</v>
      </c>
      <c r="M883" s="18" t="e">
        <f>VLOOKUP(A883,Revisión!$A$2:$L$703,11,FALSE)</f>
        <v>#N/A</v>
      </c>
      <c r="N883" s="30" t="str">
        <f>IF(E883="Coinciden",D883,IF(E883="Revisar",VLOOKUP(A883,Revisión!$A$2:$L$703,12,FALSE),""))</f>
        <v>Filipendula ulmaria</v>
      </c>
    </row>
    <row r="884" spans="1:14" x14ac:dyDescent="0.3">
      <c r="A884" t="s">
        <v>1835</v>
      </c>
      <c r="C884" t="s">
        <v>1836</v>
      </c>
      <c r="D884" t="s">
        <v>1836</v>
      </c>
      <c r="E884" t="s">
        <v>8</v>
      </c>
      <c r="F884" t="s">
        <v>49</v>
      </c>
      <c r="H884" s="23" t="str">
        <f>VLOOKUP(A884,Revisión!$A$2:$L$703,6,FALSE)</f>
        <v>Filipendula multijuga</v>
      </c>
      <c r="I884" s="4" t="str">
        <f>VLOOKUP(A884,Revisión!$A$2:$L$703,7,FALSE)</f>
        <v>Filipendula multijuga</v>
      </c>
      <c r="J884" s="4" t="str">
        <f>VLOOKUP(A884,Revisión!$A$2:$L$703,8,FALSE)</f>
        <v>-</v>
      </c>
      <c r="K884" s="4" t="str">
        <f>VLOOKUP(A884,Revisión!$A$2:$L$703,9,FALSE)</f>
        <v>Filipendula multijuga</v>
      </c>
      <c r="L884" s="4" t="str">
        <f>VLOOKUP(A884,Revisión!$A$2:$L$703,10,FALSE)</f>
        <v>Filipendula multijuga</v>
      </c>
      <c r="M884" s="18">
        <f>VLOOKUP(A884,Revisión!$A$2:$L$703,11,FALSE)</f>
        <v>4</v>
      </c>
      <c r="N884" s="30" t="str">
        <f>IF(E884="Coinciden",D884,IF(E884="Revisar",VLOOKUP(A884,Revisión!$A$2:$L$703,12,FALSE),""))</f>
        <v>Filipendula multijuga</v>
      </c>
    </row>
    <row r="885" spans="1:14" x14ac:dyDescent="0.3">
      <c r="A885" t="s">
        <v>1837</v>
      </c>
      <c r="B885" t="s">
        <v>1838</v>
      </c>
      <c r="C885" t="s">
        <v>1838</v>
      </c>
      <c r="D885" t="s">
        <v>1838</v>
      </c>
      <c r="E885" t="s">
        <v>18</v>
      </c>
      <c r="F885" t="s">
        <v>19</v>
      </c>
      <c r="H885" s="23" t="e">
        <f>VLOOKUP(A885,Revisión!$A$2:$L$703,6,FALSE)</f>
        <v>#N/A</v>
      </c>
      <c r="I885" s="4" t="e">
        <f>VLOOKUP(A885,Revisión!$A$2:$L$703,7,FALSE)</f>
        <v>#N/A</v>
      </c>
      <c r="J885" s="4" t="e">
        <f>VLOOKUP(A885,Revisión!$A$2:$L$703,8,FALSE)</f>
        <v>#N/A</v>
      </c>
      <c r="K885" s="4" t="e">
        <f>VLOOKUP(A885,Revisión!$A$2:$L$703,9,FALSE)</f>
        <v>#N/A</v>
      </c>
      <c r="L885" s="4" t="e">
        <f>VLOOKUP(A885,Revisión!$A$2:$L$703,10,FALSE)</f>
        <v>#N/A</v>
      </c>
      <c r="M885" s="18" t="e">
        <f>VLOOKUP(A885,Revisión!$A$2:$L$703,11,FALSE)</f>
        <v>#N/A</v>
      </c>
      <c r="N885" s="30" t="str">
        <f>IF(E885="Coinciden",D885,IF(E885="Revisar",VLOOKUP(A885,Revisión!$A$2:$L$703,12,FALSE),""))</f>
        <v>Flagellaria indica</v>
      </c>
    </row>
    <row r="886" spans="1:14" x14ac:dyDescent="0.3">
      <c r="A886" t="s">
        <v>1839</v>
      </c>
      <c r="B886" t="s">
        <v>1840</v>
      </c>
      <c r="C886" t="s">
        <v>1840</v>
      </c>
      <c r="D886" t="s">
        <v>1840</v>
      </c>
      <c r="E886" t="s">
        <v>18</v>
      </c>
      <c r="F886" t="s">
        <v>19</v>
      </c>
      <c r="H886" s="23" t="e">
        <f>VLOOKUP(A886,Revisión!$A$2:$L$703,6,FALSE)</f>
        <v>#N/A</v>
      </c>
      <c r="I886" s="4" t="e">
        <f>VLOOKUP(A886,Revisión!$A$2:$L$703,7,FALSE)</f>
        <v>#N/A</v>
      </c>
      <c r="J886" s="4" t="e">
        <f>VLOOKUP(A886,Revisión!$A$2:$L$703,8,FALSE)</f>
        <v>#N/A</v>
      </c>
      <c r="K886" s="4" t="e">
        <f>VLOOKUP(A886,Revisión!$A$2:$L$703,9,FALSE)</f>
        <v>#N/A</v>
      </c>
      <c r="L886" s="4" t="e">
        <f>VLOOKUP(A886,Revisión!$A$2:$L$703,10,FALSE)</f>
        <v>#N/A</v>
      </c>
      <c r="M886" s="18" t="e">
        <f>VLOOKUP(A886,Revisión!$A$2:$L$703,11,FALSE)</f>
        <v>#N/A</v>
      </c>
      <c r="N886" s="30" t="str">
        <f>IF(E886="Coinciden",D886,IF(E886="Revisar",VLOOKUP(A886,Revisión!$A$2:$L$703,12,FALSE),""))</f>
        <v>Foeniculum vulgare</v>
      </c>
    </row>
    <row r="887" spans="1:14" x14ac:dyDescent="0.3">
      <c r="A887" t="s">
        <v>1841</v>
      </c>
      <c r="B887" t="s">
        <v>1842</v>
      </c>
      <c r="C887" t="s">
        <v>1842</v>
      </c>
      <c r="D887" t="s">
        <v>1842</v>
      </c>
      <c r="E887" t="s">
        <v>18</v>
      </c>
      <c r="F887" t="s">
        <v>19</v>
      </c>
      <c r="H887" s="23" t="e">
        <f>VLOOKUP(A887,Revisión!$A$2:$L$703,6,FALSE)</f>
        <v>#N/A</v>
      </c>
      <c r="I887" s="4" t="e">
        <f>VLOOKUP(A887,Revisión!$A$2:$L$703,7,FALSE)</f>
        <v>#N/A</v>
      </c>
      <c r="J887" s="4" t="e">
        <f>VLOOKUP(A887,Revisión!$A$2:$L$703,8,FALSE)</f>
        <v>#N/A</v>
      </c>
      <c r="K887" s="4" t="e">
        <f>VLOOKUP(A887,Revisión!$A$2:$L$703,9,FALSE)</f>
        <v>#N/A</v>
      </c>
      <c r="L887" s="4" t="e">
        <f>VLOOKUP(A887,Revisión!$A$2:$L$703,10,FALSE)</f>
        <v>#N/A</v>
      </c>
      <c r="M887" s="18" t="e">
        <f>VLOOKUP(A887,Revisión!$A$2:$L$703,11,FALSE)</f>
        <v>#N/A</v>
      </c>
      <c r="N887" s="30" t="str">
        <f>IF(E887="Coinciden",D887,IF(E887="Revisar",VLOOKUP(A887,Revisión!$A$2:$L$703,12,FALSE),""))</f>
        <v>Forsythia suspensa</v>
      </c>
    </row>
    <row r="888" spans="1:14" x14ac:dyDescent="0.3">
      <c r="A888" t="s">
        <v>1843</v>
      </c>
      <c r="B888" t="s">
        <v>1844</v>
      </c>
      <c r="C888" t="s">
        <v>1844</v>
      </c>
      <c r="D888" t="s">
        <v>1844</v>
      </c>
      <c r="E888" t="s">
        <v>18</v>
      </c>
      <c r="F888" t="s">
        <v>19</v>
      </c>
      <c r="H888" s="23" t="e">
        <f>VLOOKUP(A888,Revisión!$A$2:$L$703,6,FALSE)</f>
        <v>#N/A</v>
      </c>
      <c r="I888" s="4" t="e">
        <f>VLOOKUP(A888,Revisión!$A$2:$L$703,7,FALSE)</f>
        <v>#N/A</v>
      </c>
      <c r="J888" s="4" t="e">
        <f>VLOOKUP(A888,Revisión!$A$2:$L$703,8,FALSE)</f>
        <v>#N/A</v>
      </c>
      <c r="K888" s="4" t="e">
        <f>VLOOKUP(A888,Revisión!$A$2:$L$703,9,FALSE)</f>
        <v>#N/A</v>
      </c>
      <c r="L888" s="4" t="e">
        <f>VLOOKUP(A888,Revisión!$A$2:$L$703,10,FALSE)</f>
        <v>#N/A</v>
      </c>
      <c r="M888" s="18" t="e">
        <f>VLOOKUP(A888,Revisión!$A$2:$L$703,11,FALSE)</f>
        <v>#N/A</v>
      </c>
      <c r="N888" s="30" t="str">
        <f>IF(E888="Coinciden",D888,IF(E888="Revisar",VLOOKUP(A888,Revisión!$A$2:$L$703,12,FALSE),""))</f>
        <v>Fragaria vesca</v>
      </c>
    </row>
    <row r="889" spans="1:14" x14ac:dyDescent="0.3">
      <c r="A889" t="s">
        <v>1845</v>
      </c>
      <c r="B889" t="s">
        <v>1846</v>
      </c>
      <c r="C889" t="s">
        <v>1846</v>
      </c>
      <c r="D889" t="s">
        <v>1846</v>
      </c>
      <c r="E889" t="s">
        <v>18</v>
      </c>
      <c r="F889" t="s">
        <v>19</v>
      </c>
      <c r="H889" s="23" t="e">
        <f>VLOOKUP(A889,Revisión!$A$2:$L$703,6,FALSE)</f>
        <v>#N/A</v>
      </c>
      <c r="I889" s="4" t="e">
        <f>VLOOKUP(A889,Revisión!$A$2:$L$703,7,FALSE)</f>
        <v>#N/A</v>
      </c>
      <c r="J889" s="4" t="e">
        <f>VLOOKUP(A889,Revisión!$A$2:$L$703,8,FALSE)</f>
        <v>#N/A</v>
      </c>
      <c r="K889" s="4" t="e">
        <f>VLOOKUP(A889,Revisión!$A$2:$L$703,9,FALSE)</f>
        <v>#N/A</v>
      </c>
      <c r="L889" s="4" t="e">
        <f>VLOOKUP(A889,Revisión!$A$2:$L$703,10,FALSE)</f>
        <v>#N/A</v>
      </c>
      <c r="M889" s="18" t="e">
        <f>VLOOKUP(A889,Revisión!$A$2:$L$703,11,FALSE)</f>
        <v>#N/A</v>
      </c>
      <c r="N889" s="30" t="str">
        <f>IF(E889="Coinciden",D889,IF(E889="Revisar",VLOOKUP(A889,Revisión!$A$2:$L$703,12,FALSE),""))</f>
        <v>Fragaria nipponica</v>
      </c>
    </row>
    <row r="890" spans="1:14" x14ac:dyDescent="0.3">
      <c r="A890" t="s">
        <v>1847</v>
      </c>
      <c r="B890" t="s">
        <v>1848</v>
      </c>
      <c r="C890" t="s">
        <v>1848</v>
      </c>
      <c r="D890" t="s">
        <v>1849</v>
      </c>
      <c r="E890" t="s">
        <v>8</v>
      </c>
      <c r="F890" t="s">
        <v>15</v>
      </c>
      <c r="H890" s="23" t="str">
        <f>VLOOKUP(A890,Revisión!$A$2:$L$703,6,FALSE)</f>
        <v>Fragaria virginiana subsp. grayana</v>
      </c>
      <c r="I890" s="4" t="str">
        <f>VLOOKUP(A890,Revisión!$A$2:$L$703,7,FALSE)</f>
        <v>Fragaria virginiana subsp. grayana</v>
      </c>
      <c r="J890" s="4" t="str">
        <f>VLOOKUP(A890,Revisión!$A$2:$L$703,8,FALSE)</f>
        <v>-</v>
      </c>
      <c r="K890" s="4" t="str">
        <f>VLOOKUP(A890,Revisión!$A$2:$L$703,9,FALSE)</f>
        <v>Fragaria virginiana subsp. grayana</v>
      </c>
      <c r="L890" s="4" t="str">
        <f>VLOOKUP(A890,Revisión!$A$2:$L$703,10,FALSE)</f>
        <v>Fragaria virginiana subsp. grayana</v>
      </c>
      <c r="M890" s="18">
        <f>VLOOKUP(A890,Revisión!$A$2:$L$703,11,FALSE)</f>
        <v>4</v>
      </c>
      <c r="N890" s="30" t="str">
        <f>IF(E890="Coinciden",D890,IF(E890="Revisar",VLOOKUP(A890,Revisión!$A$2:$L$703,12,FALSE),""))</f>
        <v>Fragaria virginiana subsp. grayana </v>
      </c>
    </row>
    <row r="891" spans="1:14" x14ac:dyDescent="0.3">
      <c r="A891" t="s">
        <v>1850</v>
      </c>
      <c r="B891" t="s">
        <v>1851</v>
      </c>
      <c r="C891" t="s">
        <v>1851</v>
      </c>
      <c r="D891" t="s">
        <v>1851</v>
      </c>
      <c r="E891" t="s">
        <v>18</v>
      </c>
      <c r="F891" t="s">
        <v>19</v>
      </c>
      <c r="H891" s="23" t="e">
        <f>VLOOKUP(A891,Revisión!$A$2:$L$703,6,FALSE)</f>
        <v>#N/A</v>
      </c>
      <c r="I891" s="4" t="e">
        <f>VLOOKUP(A891,Revisión!$A$2:$L$703,7,FALSE)</f>
        <v>#N/A</v>
      </c>
      <c r="J891" s="4" t="e">
        <f>VLOOKUP(A891,Revisión!$A$2:$L$703,8,FALSE)</f>
        <v>#N/A</v>
      </c>
      <c r="K891" s="4" t="e">
        <f>VLOOKUP(A891,Revisión!$A$2:$L$703,9,FALSE)</f>
        <v>#N/A</v>
      </c>
      <c r="L891" s="4" t="e">
        <f>VLOOKUP(A891,Revisión!$A$2:$L$703,10,FALSE)</f>
        <v>#N/A</v>
      </c>
      <c r="M891" s="18" t="e">
        <f>VLOOKUP(A891,Revisión!$A$2:$L$703,11,FALSE)</f>
        <v>#N/A</v>
      </c>
      <c r="N891" s="30" t="str">
        <f>IF(E891="Coinciden",D891,IF(E891="Revisar",VLOOKUP(A891,Revisión!$A$2:$L$703,12,FALSE),""))</f>
        <v>Frasera speciosa</v>
      </c>
    </row>
    <row r="892" spans="1:14" x14ac:dyDescent="0.3">
      <c r="A892" t="s">
        <v>1852</v>
      </c>
      <c r="B892" t="s">
        <v>1853</v>
      </c>
      <c r="C892" t="s">
        <v>1854</v>
      </c>
      <c r="D892" t="s">
        <v>1854</v>
      </c>
      <c r="E892" t="s">
        <v>8</v>
      </c>
      <c r="F892" t="s">
        <v>23</v>
      </c>
      <c r="H892" s="23" t="str">
        <f>VLOOKUP(A892,Revisión!$A$2:$L$703,6,FALSE)</f>
        <v>Frasera carolinensis</v>
      </c>
      <c r="I892" s="4" t="str">
        <f>VLOOKUP(A892,Revisión!$A$2:$L$703,7,FALSE)</f>
        <v>Frasera carolinensis</v>
      </c>
      <c r="J892" s="4" t="str">
        <f>VLOOKUP(A892,Revisión!$A$2:$L$703,8,FALSE)</f>
        <v>-</v>
      </c>
      <c r="K892" s="4" t="str">
        <f>VLOOKUP(A892,Revisión!$A$2:$L$703,9,FALSE)</f>
        <v>Frasera carolinensis</v>
      </c>
      <c r="L892" s="4" t="str">
        <f>VLOOKUP(A892,Revisión!$A$2:$L$703,10,FALSE)</f>
        <v>Frasera carolinensis</v>
      </c>
      <c r="M892" s="18">
        <f>VLOOKUP(A892,Revisión!$A$2:$L$703,11,FALSE)</f>
        <v>4</v>
      </c>
      <c r="N892" s="30" t="str">
        <f>IF(E892="Coinciden",D892,IF(E892="Revisar",VLOOKUP(A892,Revisión!$A$2:$L$703,12,FALSE),""))</f>
        <v>Frasera caroliniensis</v>
      </c>
    </row>
    <row r="893" spans="1:14" x14ac:dyDescent="0.3">
      <c r="A893" t="s">
        <v>1855</v>
      </c>
      <c r="B893" t="s">
        <v>1856</v>
      </c>
      <c r="C893" t="s">
        <v>1856</v>
      </c>
      <c r="D893" t="s">
        <v>1856</v>
      </c>
      <c r="E893" t="s">
        <v>18</v>
      </c>
      <c r="F893" t="s">
        <v>19</v>
      </c>
      <c r="H893" s="23" t="e">
        <f>VLOOKUP(A893,Revisión!$A$2:$L$703,6,FALSE)</f>
        <v>#N/A</v>
      </c>
      <c r="I893" s="4" t="e">
        <f>VLOOKUP(A893,Revisión!$A$2:$L$703,7,FALSE)</f>
        <v>#N/A</v>
      </c>
      <c r="J893" s="4" t="e">
        <f>VLOOKUP(A893,Revisión!$A$2:$L$703,8,FALSE)</f>
        <v>#N/A</v>
      </c>
      <c r="K893" s="4" t="e">
        <f>VLOOKUP(A893,Revisión!$A$2:$L$703,9,FALSE)</f>
        <v>#N/A</v>
      </c>
      <c r="L893" s="4" t="e">
        <f>VLOOKUP(A893,Revisión!$A$2:$L$703,10,FALSE)</f>
        <v>#N/A</v>
      </c>
      <c r="M893" s="18" t="e">
        <f>VLOOKUP(A893,Revisión!$A$2:$L$703,11,FALSE)</f>
        <v>#N/A</v>
      </c>
      <c r="N893" s="30" t="str">
        <f>IF(E893="Coinciden",D893,IF(E893="Revisar",VLOOKUP(A893,Revisión!$A$2:$L$703,12,FALSE),""))</f>
        <v>Fraxinus americana</v>
      </c>
    </row>
    <row r="894" spans="1:14" x14ac:dyDescent="0.3">
      <c r="A894" t="s">
        <v>1857</v>
      </c>
      <c r="B894" t="s">
        <v>1858</v>
      </c>
      <c r="C894" t="s">
        <v>1858</v>
      </c>
      <c r="D894" t="s">
        <v>1858</v>
      </c>
      <c r="E894" t="s">
        <v>18</v>
      </c>
      <c r="F894" t="s">
        <v>19</v>
      </c>
      <c r="H894" s="23" t="e">
        <f>VLOOKUP(A894,Revisión!$A$2:$L$703,6,FALSE)</f>
        <v>#N/A</v>
      </c>
      <c r="I894" s="4" t="e">
        <f>VLOOKUP(A894,Revisión!$A$2:$L$703,7,FALSE)</f>
        <v>#N/A</v>
      </c>
      <c r="J894" s="4" t="e">
        <f>VLOOKUP(A894,Revisión!$A$2:$L$703,8,FALSE)</f>
        <v>#N/A</v>
      </c>
      <c r="K894" s="4" t="e">
        <f>VLOOKUP(A894,Revisión!$A$2:$L$703,9,FALSE)</f>
        <v>#N/A</v>
      </c>
      <c r="L894" s="4" t="e">
        <f>VLOOKUP(A894,Revisión!$A$2:$L$703,10,FALSE)</f>
        <v>#N/A</v>
      </c>
      <c r="M894" s="18" t="e">
        <f>VLOOKUP(A894,Revisión!$A$2:$L$703,11,FALSE)</f>
        <v>#N/A</v>
      </c>
      <c r="N894" s="30" t="str">
        <f>IF(E894="Coinciden",D894,IF(E894="Revisar",VLOOKUP(A894,Revisión!$A$2:$L$703,12,FALSE),""))</f>
        <v>Fraxinus griffithii</v>
      </c>
    </row>
    <row r="895" spans="1:14" x14ac:dyDescent="0.3">
      <c r="A895" t="s">
        <v>1859</v>
      </c>
      <c r="B895" t="s">
        <v>1860</v>
      </c>
      <c r="C895" t="s">
        <v>1860</v>
      </c>
      <c r="D895" t="s">
        <v>1860</v>
      </c>
      <c r="E895" t="s">
        <v>18</v>
      </c>
      <c r="F895" t="s">
        <v>19</v>
      </c>
      <c r="H895" s="23" t="e">
        <f>VLOOKUP(A895,Revisión!$A$2:$L$703,6,FALSE)</f>
        <v>#N/A</v>
      </c>
      <c r="I895" s="4" t="e">
        <f>VLOOKUP(A895,Revisión!$A$2:$L$703,7,FALSE)</f>
        <v>#N/A</v>
      </c>
      <c r="J895" s="4" t="e">
        <f>VLOOKUP(A895,Revisión!$A$2:$L$703,8,FALSE)</f>
        <v>#N/A</v>
      </c>
      <c r="K895" s="4" t="e">
        <f>VLOOKUP(A895,Revisión!$A$2:$L$703,9,FALSE)</f>
        <v>#N/A</v>
      </c>
      <c r="L895" s="4" t="e">
        <f>VLOOKUP(A895,Revisión!$A$2:$L$703,10,FALSE)</f>
        <v>#N/A</v>
      </c>
      <c r="M895" s="18" t="e">
        <f>VLOOKUP(A895,Revisión!$A$2:$L$703,11,FALSE)</f>
        <v>#N/A</v>
      </c>
      <c r="N895" s="30" t="str">
        <f>IF(E895="Coinciden",D895,IF(E895="Revisar",VLOOKUP(A895,Revisión!$A$2:$L$703,12,FALSE),""))</f>
        <v>Freesia refracta</v>
      </c>
    </row>
    <row r="896" spans="1:14" x14ac:dyDescent="0.3">
      <c r="A896" t="s">
        <v>1861</v>
      </c>
      <c r="E896" t="s">
        <v>8</v>
      </c>
      <c r="F896" t="s">
        <v>11</v>
      </c>
      <c r="H896" s="23" t="e">
        <f>VLOOKUP(A896,Revisión!$A$2:$L$703,6,FALSE)</f>
        <v>#N/A</v>
      </c>
      <c r="I896" s="4" t="e">
        <f>VLOOKUP(A896,Revisión!$A$2:$L$703,7,FALSE)</f>
        <v>#N/A</v>
      </c>
      <c r="J896" s="4" t="e">
        <f>VLOOKUP(A896,Revisión!$A$2:$L$703,8,FALSE)</f>
        <v>#N/A</v>
      </c>
      <c r="K896" s="4" t="e">
        <f>VLOOKUP(A896,Revisión!$A$2:$L$703,9,FALSE)</f>
        <v>#N/A</v>
      </c>
      <c r="L896" s="4" t="e">
        <f>VLOOKUP(A896,Revisión!$A$2:$L$703,10,FALSE)</f>
        <v>#N/A</v>
      </c>
      <c r="M896" s="18" t="e">
        <f>VLOOKUP(A896,Revisión!$A$2:$L$703,11,FALSE)</f>
        <v>#N/A</v>
      </c>
      <c r="N896" s="30" t="e">
        <f>IF(E896="Coinciden",D896,IF(E896="Revisar",VLOOKUP(A896,Revisión!$A$2:$L$703,12,FALSE),""))</f>
        <v>#N/A</v>
      </c>
    </row>
    <row r="897" spans="1:14" x14ac:dyDescent="0.3">
      <c r="A897" t="s">
        <v>1862</v>
      </c>
      <c r="B897" t="s">
        <v>1863</v>
      </c>
      <c r="C897" t="s">
        <v>1863</v>
      </c>
      <c r="D897" t="s">
        <v>1863</v>
      </c>
      <c r="E897" t="s">
        <v>18</v>
      </c>
      <c r="F897" t="s">
        <v>19</v>
      </c>
      <c r="H897" s="23" t="e">
        <f>VLOOKUP(A897,Revisión!$A$2:$L$703,6,FALSE)</f>
        <v>#N/A</v>
      </c>
      <c r="I897" s="4" t="e">
        <f>VLOOKUP(A897,Revisión!$A$2:$L$703,7,FALSE)</f>
        <v>#N/A</v>
      </c>
      <c r="J897" s="4" t="e">
        <f>VLOOKUP(A897,Revisión!$A$2:$L$703,8,FALSE)</f>
        <v>#N/A</v>
      </c>
      <c r="K897" s="4" t="e">
        <f>VLOOKUP(A897,Revisión!$A$2:$L$703,9,FALSE)</f>
        <v>#N/A</v>
      </c>
      <c r="L897" s="4" t="e">
        <f>VLOOKUP(A897,Revisión!$A$2:$L$703,10,FALSE)</f>
        <v>#N/A</v>
      </c>
      <c r="M897" s="18" t="e">
        <f>VLOOKUP(A897,Revisión!$A$2:$L$703,11,FALSE)</f>
        <v>#N/A</v>
      </c>
      <c r="N897" s="30" t="str">
        <f>IF(E897="Coinciden",D897,IF(E897="Revisar",VLOOKUP(A897,Revisión!$A$2:$L$703,12,FALSE),""))</f>
        <v>Fritillaria graeca</v>
      </c>
    </row>
    <row r="898" spans="1:14" x14ac:dyDescent="0.3">
      <c r="A898" t="s">
        <v>1864</v>
      </c>
      <c r="B898" t="s">
        <v>1865</v>
      </c>
      <c r="C898" t="s">
        <v>1865</v>
      </c>
      <c r="D898" t="s">
        <v>1865</v>
      </c>
      <c r="E898" t="s">
        <v>18</v>
      </c>
      <c r="F898" t="s">
        <v>19</v>
      </c>
      <c r="H898" s="23" t="e">
        <f>VLOOKUP(A898,Revisión!$A$2:$L$703,6,FALSE)</f>
        <v>#N/A</v>
      </c>
      <c r="I898" s="4" t="e">
        <f>VLOOKUP(A898,Revisión!$A$2:$L$703,7,FALSE)</f>
        <v>#N/A</v>
      </c>
      <c r="J898" s="4" t="e">
        <f>VLOOKUP(A898,Revisión!$A$2:$L$703,8,FALSE)</f>
        <v>#N/A</v>
      </c>
      <c r="K898" s="4" t="e">
        <f>VLOOKUP(A898,Revisión!$A$2:$L$703,9,FALSE)</f>
        <v>#N/A</v>
      </c>
      <c r="L898" s="4" t="e">
        <f>VLOOKUP(A898,Revisión!$A$2:$L$703,10,FALSE)</f>
        <v>#N/A</v>
      </c>
      <c r="M898" s="18" t="e">
        <f>VLOOKUP(A898,Revisión!$A$2:$L$703,11,FALSE)</f>
        <v>#N/A</v>
      </c>
      <c r="N898" s="30" t="str">
        <f>IF(E898="Coinciden",D898,IF(E898="Revisar",VLOOKUP(A898,Revisión!$A$2:$L$703,12,FALSE),""))</f>
        <v>Fumana arabica</v>
      </c>
    </row>
    <row r="899" spans="1:14" x14ac:dyDescent="0.3">
      <c r="A899" t="s">
        <v>1866</v>
      </c>
      <c r="B899" t="s">
        <v>1867</v>
      </c>
      <c r="C899" t="s">
        <v>1867</v>
      </c>
      <c r="D899" t="s">
        <v>1867</v>
      </c>
      <c r="E899" t="s">
        <v>18</v>
      </c>
      <c r="F899" t="s">
        <v>19</v>
      </c>
      <c r="H899" s="23" t="e">
        <f>VLOOKUP(A899,Revisión!$A$2:$L$703,6,FALSE)</f>
        <v>#N/A</v>
      </c>
      <c r="I899" s="4" t="e">
        <f>VLOOKUP(A899,Revisión!$A$2:$L$703,7,FALSE)</f>
        <v>#N/A</v>
      </c>
      <c r="J899" s="4" t="e">
        <f>VLOOKUP(A899,Revisión!$A$2:$L$703,8,FALSE)</f>
        <v>#N/A</v>
      </c>
      <c r="K899" s="4" t="e">
        <f>VLOOKUP(A899,Revisión!$A$2:$L$703,9,FALSE)</f>
        <v>#N/A</v>
      </c>
      <c r="L899" s="4" t="e">
        <f>VLOOKUP(A899,Revisión!$A$2:$L$703,10,FALSE)</f>
        <v>#N/A</v>
      </c>
      <c r="M899" s="18" t="e">
        <f>VLOOKUP(A899,Revisión!$A$2:$L$703,11,FALSE)</f>
        <v>#N/A</v>
      </c>
      <c r="N899" s="30" t="str">
        <f>IF(E899="Coinciden",D899,IF(E899="Revisar",VLOOKUP(A899,Revisión!$A$2:$L$703,12,FALSE),""))</f>
        <v>Fumana thymifolia</v>
      </c>
    </row>
    <row r="900" spans="1:14" x14ac:dyDescent="0.3">
      <c r="A900" t="s">
        <v>1868</v>
      </c>
      <c r="B900" t="s">
        <v>1869</v>
      </c>
      <c r="C900" t="s">
        <v>1869</v>
      </c>
      <c r="D900" t="s">
        <v>1869</v>
      </c>
      <c r="E900" t="s">
        <v>18</v>
      </c>
      <c r="F900" t="s">
        <v>19</v>
      </c>
      <c r="H900" s="23" t="e">
        <f>VLOOKUP(A900,Revisión!$A$2:$L$703,6,FALSE)</f>
        <v>#N/A</v>
      </c>
      <c r="I900" s="4" t="e">
        <f>VLOOKUP(A900,Revisión!$A$2:$L$703,7,FALSE)</f>
        <v>#N/A</v>
      </c>
      <c r="J900" s="4" t="e">
        <f>VLOOKUP(A900,Revisión!$A$2:$L$703,8,FALSE)</f>
        <v>#N/A</v>
      </c>
      <c r="K900" s="4" t="e">
        <f>VLOOKUP(A900,Revisión!$A$2:$L$703,9,FALSE)</f>
        <v>#N/A</v>
      </c>
      <c r="L900" s="4" t="e">
        <f>VLOOKUP(A900,Revisión!$A$2:$L$703,10,FALSE)</f>
        <v>#N/A</v>
      </c>
      <c r="M900" s="18" t="e">
        <f>VLOOKUP(A900,Revisión!$A$2:$L$703,11,FALSE)</f>
        <v>#N/A</v>
      </c>
      <c r="N900" s="30" t="str">
        <f>IF(E900="Coinciden",D900,IF(E900="Revisar",VLOOKUP(A900,Revisión!$A$2:$L$703,12,FALSE),""))</f>
        <v>Fumaria judaica subsp. amarysia</v>
      </c>
    </row>
    <row r="901" spans="1:14" x14ac:dyDescent="0.3">
      <c r="A901" t="s">
        <v>1870</v>
      </c>
      <c r="E901" t="s">
        <v>8</v>
      </c>
      <c r="F901" t="s">
        <v>11</v>
      </c>
      <c r="H901" s="23" t="e">
        <f>VLOOKUP(A901,Revisión!$A$2:$L$703,6,FALSE)</f>
        <v>#N/A</v>
      </c>
      <c r="I901" s="4" t="e">
        <f>VLOOKUP(A901,Revisión!$A$2:$L$703,7,FALSE)</f>
        <v>#N/A</v>
      </c>
      <c r="J901" s="4" t="e">
        <f>VLOOKUP(A901,Revisión!$A$2:$L$703,8,FALSE)</f>
        <v>#N/A</v>
      </c>
      <c r="K901" s="4" t="e">
        <f>VLOOKUP(A901,Revisión!$A$2:$L$703,9,FALSE)</f>
        <v>#N/A</v>
      </c>
      <c r="L901" s="4" t="e">
        <f>VLOOKUP(A901,Revisión!$A$2:$L$703,10,FALSE)</f>
        <v>#N/A</v>
      </c>
      <c r="M901" s="18" t="e">
        <f>VLOOKUP(A901,Revisión!$A$2:$L$703,11,FALSE)</f>
        <v>#N/A</v>
      </c>
      <c r="N901" s="30" t="e">
        <f>IF(E901="Coinciden",D901,IF(E901="Revisar",VLOOKUP(A901,Revisión!$A$2:$L$703,12,FALSE),""))</f>
        <v>#N/A</v>
      </c>
    </row>
    <row r="902" spans="1:14" x14ac:dyDescent="0.3">
      <c r="A902" t="s">
        <v>1871</v>
      </c>
      <c r="E902" t="s">
        <v>8</v>
      </c>
      <c r="F902" t="s">
        <v>11</v>
      </c>
      <c r="H902" s="23" t="e">
        <f>VLOOKUP(A902,Revisión!$A$2:$L$703,6,FALSE)</f>
        <v>#N/A</v>
      </c>
      <c r="I902" s="4" t="e">
        <f>VLOOKUP(A902,Revisión!$A$2:$L$703,7,FALSE)</f>
        <v>#N/A</v>
      </c>
      <c r="J902" s="4" t="e">
        <f>VLOOKUP(A902,Revisión!$A$2:$L$703,8,FALSE)</f>
        <v>#N/A</v>
      </c>
      <c r="K902" s="4" t="e">
        <f>VLOOKUP(A902,Revisión!$A$2:$L$703,9,FALSE)</f>
        <v>#N/A</v>
      </c>
      <c r="L902" s="4" t="e">
        <f>VLOOKUP(A902,Revisión!$A$2:$L$703,10,FALSE)</f>
        <v>#N/A</v>
      </c>
      <c r="M902" s="18" t="e">
        <f>VLOOKUP(A902,Revisión!$A$2:$L$703,11,FALSE)</f>
        <v>#N/A</v>
      </c>
      <c r="N902" s="30" t="e">
        <f>IF(E902="Coinciden",D902,IF(E902="Revisar",VLOOKUP(A902,Revisión!$A$2:$L$703,12,FALSE),""))</f>
        <v>#N/A</v>
      </c>
    </row>
    <row r="903" spans="1:14" x14ac:dyDescent="0.3">
      <c r="A903" t="s">
        <v>1872</v>
      </c>
      <c r="E903" t="s">
        <v>8</v>
      </c>
      <c r="F903" t="s">
        <v>11</v>
      </c>
      <c r="H903" s="23" t="e">
        <f>VLOOKUP(A903,Revisión!$A$2:$L$703,6,FALSE)</f>
        <v>#N/A</v>
      </c>
      <c r="I903" s="4" t="e">
        <f>VLOOKUP(A903,Revisión!$A$2:$L$703,7,FALSE)</f>
        <v>#N/A</v>
      </c>
      <c r="J903" s="4" t="e">
        <f>VLOOKUP(A903,Revisión!$A$2:$L$703,8,FALSE)</f>
        <v>#N/A</v>
      </c>
      <c r="K903" s="4" t="e">
        <f>VLOOKUP(A903,Revisión!$A$2:$L$703,9,FALSE)</f>
        <v>#N/A</v>
      </c>
      <c r="L903" s="4" t="e">
        <f>VLOOKUP(A903,Revisión!$A$2:$L$703,10,FALSE)</f>
        <v>#N/A</v>
      </c>
      <c r="M903" s="18" t="e">
        <f>VLOOKUP(A903,Revisión!$A$2:$L$703,11,FALSE)</f>
        <v>#N/A</v>
      </c>
      <c r="N903" s="30" t="e">
        <f>IF(E903="Coinciden",D903,IF(E903="Revisar",VLOOKUP(A903,Revisión!$A$2:$L$703,12,FALSE),""))</f>
        <v>#N/A</v>
      </c>
    </row>
    <row r="904" spans="1:14" x14ac:dyDescent="0.3">
      <c r="A904" t="s">
        <v>1873</v>
      </c>
      <c r="E904" t="s">
        <v>8</v>
      </c>
      <c r="F904" t="s">
        <v>11</v>
      </c>
      <c r="H904" s="23" t="e">
        <f>VLOOKUP(A904,Revisión!$A$2:$L$703,6,FALSE)</f>
        <v>#N/A</v>
      </c>
      <c r="I904" s="4" t="e">
        <f>VLOOKUP(A904,Revisión!$A$2:$L$703,7,FALSE)</f>
        <v>#N/A</v>
      </c>
      <c r="J904" s="4" t="e">
        <f>VLOOKUP(A904,Revisión!$A$2:$L$703,8,FALSE)</f>
        <v>#N/A</v>
      </c>
      <c r="K904" s="4" t="e">
        <f>VLOOKUP(A904,Revisión!$A$2:$L$703,9,FALSE)</f>
        <v>#N/A</v>
      </c>
      <c r="L904" s="4" t="e">
        <f>VLOOKUP(A904,Revisión!$A$2:$L$703,10,FALSE)</f>
        <v>#N/A</v>
      </c>
      <c r="M904" s="18" t="e">
        <f>VLOOKUP(A904,Revisión!$A$2:$L$703,11,FALSE)</f>
        <v>#N/A</v>
      </c>
      <c r="N904" s="30" t="e">
        <f>IF(E904="Coinciden",D904,IF(E904="Revisar",VLOOKUP(A904,Revisión!$A$2:$L$703,12,FALSE),""))</f>
        <v>#N/A</v>
      </c>
    </row>
    <row r="905" spans="1:14" x14ac:dyDescent="0.3">
      <c r="A905" t="s">
        <v>1874</v>
      </c>
      <c r="E905" t="s">
        <v>8</v>
      </c>
      <c r="F905" t="s">
        <v>11</v>
      </c>
      <c r="H905" s="23" t="e">
        <f>VLOOKUP(A905,Revisión!$A$2:$L$703,6,FALSE)</f>
        <v>#N/A</v>
      </c>
      <c r="I905" s="4" t="e">
        <f>VLOOKUP(A905,Revisión!$A$2:$L$703,7,FALSE)</f>
        <v>#N/A</v>
      </c>
      <c r="J905" s="4" t="e">
        <f>VLOOKUP(A905,Revisión!$A$2:$L$703,8,FALSE)</f>
        <v>#N/A</v>
      </c>
      <c r="K905" s="4" t="e">
        <f>VLOOKUP(A905,Revisión!$A$2:$L$703,9,FALSE)</f>
        <v>#N/A</v>
      </c>
      <c r="L905" s="4" t="e">
        <f>VLOOKUP(A905,Revisión!$A$2:$L$703,10,FALSE)</f>
        <v>#N/A</v>
      </c>
      <c r="M905" s="18" t="e">
        <f>VLOOKUP(A905,Revisión!$A$2:$L$703,11,FALSE)</f>
        <v>#N/A</v>
      </c>
      <c r="N905" s="30" t="e">
        <f>IF(E905="Coinciden",D905,IF(E905="Revisar",VLOOKUP(A905,Revisión!$A$2:$L$703,12,FALSE),""))</f>
        <v>#N/A</v>
      </c>
    </row>
    <row r="906" spans="1:14" x14ac:dyDescent="0.3">
      <c r="A906" t="s">
        <v>1875</v>
      </c>
      <c r="E906" t="s">
        <v>8</v>
      </c>
      <c r="F906" t="s">
        <v>11</v>
      </c>
      <c r="H906" s="23" t="e">
        <f>VLOOKUP(A906,Revisión!$A$2:$L$703,6,FALSE)</f>
        <v>#N/A</v>
      </c>
      <c r="I906" s="4" t="e">
        <f>VLOOKUP(A906,Revisión!$A$2:$L$703,7,FALSE)</f>
        <v>#N/A</v>
      </c>
      <c r="J906" s="4" t="e">
        <f>VLOOKUP(A906,Revisión!$A$2:$L$703,8,FALSE)</f>
        <v>#N/A</v>
      </c>
      <c r="K906" s="4" t="e">
        <f>VLOOKUP(A906,Revisión!$A$2:$L$703,9,FALSE)</f>
        <v>#N/A</v>
      </c>
      <c r="L906" s="4" t="e">
        <f>VLOOKUP(A906,Revisión!$A$2:$L$703,10,FALSE)</f>
        <v>#N/A</v>
      </c>
      <c r="M906" s="18" t="e">
        <f>VLOOKUP(A906,Revisión!$A$2:$L$703,11,FALSE)</f>
        <v>#N/A</v>
      </c>
      <c r="N906" s="30" t="e">
        <f>IF(E906="Coinciden",D906,IF(E906="Revisar",VLOOKUP(A906,Revisión!$A$2:$L$703,12,FALSE),""))</f>
        <v>#N/A</v>
      </c>
    </row>
    <row r="907" spans="1:14" x14ac:dyDescent="0.3">
      <c r="A907" t="s">
        <v>1876</v>
      </c>
      <c r="D907" t="s">
        <v>1877</v>
      </c>
      <c r="E907" t="s">
        <v>8</v>
      </c>
      <c r="F907" t="s">
        <v>9</v>
      </c>
      <c r="H907" s="23" t="str">
        <f>VLOOKUP(A907,Revisión!$A$2:$L$703,6,FALSE)</f>
        <v xml:space="preserve">Gaertnera psychotrioides </v>
      </c>
      <c r="I907" s="4" t="str">
        <f>VLOOKUP(A907,Revisión!$A$2:$L$703,7,FALSE)</f>
        <v xml:space="preserve">Gaertnera psychotrioides </v>
      </c>
      <c r="J907" s="4" t="str">
        <f>VLOOKUP(A907,Revisión!$A$2:$L$703,8,FALSE)</f>
        <v>-</v>
      </c>
      <c r="K907" s="4" t="str">
        <f>VLOOKUP(A907,Revisión!$A$2:$L$703,9,FALSE)</f>
        <v xml:space="preserve">Gaertnera psychotrioides </v>
      </c>
      <c r="L907" s="4" t="str">
        <f>VLOOKUP(A907,Revisión!$A$2:$L$703,10,FALSE)</f>
        <v xml:space="preserve">Gaertnera psychotrioides </v>
      </c>
      <c r="M907" s="18">
        <f>VLOOKUP(A907,Revisión!$A$2:$L$703,11,FALSE)</f>
        <v>4</v>
      </c>
      <c r="N907" s="30" t="str">
        <f>IF(E907="Coinciden",D907,IF(E907="Revisar",VLOOKUP(A907,Revisión!$A$2:$L$703,12,FALSE),""))</f>
        <v>Gaertnera psychotrioides subsp. edentata</v>
      </c>
    </row>
    <row r="908" spans="1:14" x14ac:dyDescent="0.3">
      <c r="A908" t="s">
        <v>1878</v>
      </c>
      <c r="E908" t="s">
        <v>8</v>
      </c>
      <c r="F908" t="s">
        <v>11</v>
      </c>
      <c r="H908" s="23" t="e">
        <f>VLOOKUP(A908,Revisión!$A$2:$L$703,6,FALSE)</f>
        <v>#N/A</v>
      </c>
      <c r="I908" s="4" t="e">
        <f>VLOOKUP(A908,Revisión!$A$2:$L$703,7,FALSE)</f>
        <v>#N/A</v>
      </c>
      <c r="J908" s="4" t="e">
        <f>VLOOKUP(A908,Revisión!$A$2:$L$703,8,FALSE)</f>
        <v>#N/A</v>
      </c>
      <c r="K908" s="4" t="e">
        <f>VLOOKUP(A908,Revisión!$A$2:$L$703,9,FALSE)</f>
        <v>#N/A</v>
      </c>
      <c r="L908" s="4" t="e">
        <f>VLOOKUP(A908,Revisión!$A$2:$L$703,10,FALSE)</f>
        <v>#N/A</v>
      </c>
      <c r="M908" s="18" t="e">
        <f>VLOOKUP(A908,Revisión!$A$2:$L$703,11,FALSE)</f>
        <v>#N/A</v>
      </c>
      <c r="N908" s="30" t="e">
        <f>IF(E908="Coinciden",D908,IF(E908="Revisar",VLOOKUP(A908,Revisión!$A$2:$L$703,12,FALSE),""))</f>
        <v>#N/A</v>
      </c>
    </row>
    <row r="909" spans="1:14" x14ac:dyDescent="0.3">
      <c r="A909" t="s">
        <v>1879</v>
      </c>
      <c r="E909" t="s">
        <v>8</v>
      </c>
      <c r="F909" t="s">
        <v>11</v>
      </c>
      <c r="H909" s="23" t="e">
        <f>VLOOKUP(A909,Revisión!$A$2:$L$703,6,FALSE)</f>
        <v>#N/A</v>
      </c>
      <c r="I909" s="4" t="e">
        <f>VLOOKUP(A909,Revisión!$A$2:$L$703,7,FALSE)</f>
        <v>#N/A</v>
      </c>
      <c r="J909" s="4" t="e">
        <f>VLOOKUP(A909,Revisión!$A$2:$L$703,8,FALSE)</f>
        <v>#N/A</v>
      </c>
      <c r="K909" s="4" t="e">
        <f>VLOOKUP(A909,Revisión!$A$2:$L$703,9,FALSE)</f>
        <v>#N/A</v>
      </c>
      <c r="L909" s="4" t="e">
        <f>VLOOKUP(A909,Revisión!$A$2:$L$703,10,FALSE)</f>
        <v>#N/A</v>
      </c>
      <c r="M909" s="18" t="e">
        <f>VLOOKUP(A909,Revisión!$A$2:$L$703,11,FALSE)</f>
        <v>#N/A</v>
      </c>
      <c r="N909" s="30" t="e">
        <f>IF(E909="Coinciden",D909,IF(E909="Revisar",VLOOKUP(A909,Revisión!$A$2:$L$703,12,FALSE),""))</f>
        <v>#N/A</v>
      </c>
    </row>
    <row r="910" spans="1:14" x14ac:dyDescent="0.3">
      <c r="A910" t="s">
        <v>1880</v>
      </c>
      <c r="B910" t="s">
        <v>1881</v>
      </c>
      <c r="C910" t="s">
        <v>1881</v>
      </c>
      <c r="D910" t="s">
        <v>1881</v>
      </c>
      <c r="E910" t="s">
        <v>18</v>
      </c>
      <c r="F910" t="s">
        <v>19</v>
      </c>
      <c r="H910" s="23" t="e">
        <f>VLOOKUP(A910,Revisión!$A$2:$L$703,6,FALSE)</f>
        <v>#N/A</v>
      </c>
      <c r="I910" s="4" t="e">
        <f>VLOOKUP(A910,Revisión!$A$2:$L$703,7,FALSE)</f>
        <v>#N/A</v>
      </c>
      <c r="J910" s="4" t="e">
        <f>VLOOKUP(A910,Revisión!$A$2:$L$703,8,FALSE)</f>
        <v>#N/A</v>
      </c>
      <c r="K910" s="4" t="e">
        <f>VLOOKUP(A910,Revisión!$A$2:$L$703,9,FALSE)</f>
        <v>#N/A</v>
      </c>
      <c r="L910" s="4" t="e">
        <f>VLOOKUP(A910,Revisión!$A$2:$L$703,10,FALSE)</f>
        <v>#N/A</v>
      </c>
      <c r="M910" s="18" t="e">
        <f>VLOOKUP(A910,Revisión!$A$2:$L$703,11,FALSE)</f>
        <v>#N/A</v>
      </c>
      <c r="N910" s="30" t="str">
        <f>IF(E910="Coinciden",D910,IF(E910="Revisar",VLOOKUP(A910,Revisión!$A$2:$L$703,12,FALSE),""))</f>
        <v>Gaertnera rotundifolia</v>
      </c>
    </row>
    <row r="911" spans="1:14" x14ac:dyDescent="0.3">
      <c r="A911" t="s">
        <v>1882</v>
      </c>
      <c r="E911" t="s">
        <v>8</v>
      </c>
      <c r="F911" t="s">
        <v>11</v>
      </c>
      <c r="H911" s="23" t="e">
        <f>VLOOKUP(A911,Revisión!$A$2:$L$703,6,FALSE)</f>
        <v>#N/A</v>
      </c>
      <c r="I911" s="4" t="e">
        <f>VLOOKUP(A911,Revisión!$A$2:$L$703,7,FALSE)</f>
        <v>#N/A</v>
      </c>
      <c r="J911" s="4" t="e">
        <f>VLOOKUP(A911,Revisión!$A$2:$L$703,8,FALSE)</f>
        <v>#N/A</v>
      </c>
      <c r="K911" s="4" t="e">
        <f>VLOOKUP(A911,Revisión!$A$2:$L$703,9,FALSE)</f>
        <v>#N/A</v>
      </c>
      <c r="L911" s="4" t="e">
        <f>VLOOKUP(A911,Revisión!$A$2:$L$703,10,FALSE)</f>
        <v>#N/A</v>
      </c>
      <c r="M911" s="18" t="e">
        <f>VLOOKUP(A911,Revisión!$A$2:$L$703,11,FALSE)</f>
        <v>#N/A</v>
      </c>
      <c r="N911" s="30" t="e">
        <f>IF(E911="Coinciden",D911,IF(E911="Revisar",VLOOKUP(A911,Revisión!$A$2:$L$703,12,FALSE),""))</f>
        <v>#N/A</v>
      </c>
    </row>
    <row r="912" spans="1:14" x14ac:dyDescent="0.3">
      <c r="A912" t="s">
        <v>1883</v>
      </c>
      <c r="B912" t="s">
        <v>1884</v>
      </c>
      <c r="C912" t="s">
        <v>1884</v>
      </c>
      <c r="D912" t="s">
        <v>1884</v>
      </c>
      <c r="E912" t="s">
        <v>18</v>
      </c>
      <c r="F912" t="s">
        <v>19</v>
      </c>
      <c r="H912" s="23" t="e">
        <f>VLOOKUP(A912,Revisión!$A$2:$L$703,6,FALSE)</f>
        <v>#N/A</v>
      </c>
      <c r="I912" s="4" t="e">
        <f>VLOOKUP(A912,Revisión!$A$2:$L$703,7,FALSE)</f>
        <v>#N/A</v>
      </c>
      <c r="J912" s="4" t="e">
        <f>VLOOKUP(A912,Revisión!$A$2:$L$703,8,FALSE)</f>
        <v>#N/A</v>
      </c>
      <c r="K912" s="4" t="e">
        <f>VLOOKUP(A912,Revisión!$A$2:$L$703,9,FALSE)</f>
        <v>#N/A</v>
      </c>
      <c r="L912" s="4" t="e">
        <f>VLOOKUP(A912,Revisión!$A$2:$L$703,10,FALSE)</f>
        <v>#N/A</v>
      </c>
      <c r="M912" s="18" t="e">
        <f>VLOOKUP(A912,Revisión!$A$2:$L$703,11,FALSE)</f>
        <v>#N/A</v>
      </c>
      <c r="N912" s="30" t="str">
        <f>IF(E912="Coinciden",D912,IF(E912="Revisar",VLOOKUP(A912,Revisión!$A$2:$L$703,12,FALSE),""))</f>
        <v>Gaertnera edentata</v>
      </c>
    </row>
    <row r="913" spans="1:14" x14ac:dyDescent="0.3">
      <c r="A913" t="s">
        <v>1885</v>
      </c>
      <c r="E913" t="s">
        <v>8</v>
      </c>
      <c r="F913" t="s">
        <v>11</v>
      </c>
      <c r="H913" s="23" t="e">
        <f>VLOOKUP(A913,Revisión!$A$2:$L$703,6,FALSE)</f>
        <v>#N/A</v>
      </c>
      <c r="I913" s="4" t="e">
        <f>VLOOKUP(A913,Revisión!$A$2:$L$703,7,FALSE)</f>
        <v>#N/A</v>
      </c>
      <c r="J913" s="4" t="e">
        <f>VLOOKUP(A913,Revisión!$A$2:$L$703,8,FALSE)</f>
        <v>#N/A</v>
      </c>
      <c r="K913" s="4" t="e">
        <f>VLOOKUP(A913,Revisión!$A$2:$L$703,9,FALSE)</f>
        <v>#N/A</v>
      </c>
      <c r="L913" s="4" t="e">
        <f>VLOOKUP(A913,Revisión!$A$2:$L$703,10,FALSE)</f>
        <v>#N/A</v>
      </c>
      <c r="M913" s="18" t="e">
        <f>VLOOKUP(A913,Revisión!$A$2:$L$703,11,FALSE)</f>
        <v>#N/A</v>
      </c>
      <c r="N913" s="30" t="e">
        <f>IF(E913="Coinciden",D913,IF(E913="Revisar",VLOOKUP(A913,Revisión!$A$2:$L$703,12,FALSE),""))</f>
        <v>#N/A</v>
      </c>
    </row>
    <row r="914" spans="1:14" x14ac:dyDescent="0.3">
      <c r="A914" t="s">
        <v>1886</v>
      </c>
      <c r="E914" t="s">
        <v>8</v>
      </c>
      <c r="F914" t="s">
        <v>11</v>
      </c>
      <c r="H914" s="23" t="e">
        <f>VLOOKUP(A914,Revisión!$A$2:$L$703,6,FALSE)</f>
        <v>#N/A</v>
      </c>
      <c r="I914" s="4" t="e">
        <f>VLOOKUP(A914,Revisión!$A$2:$L$703,7,FALSE)</f>
        <v>#N/A</v>
      </c>
      <c r="J914" s="4" t="e">
        <f>VLOOKUP(A914,Revisión!$A$2:$L$703,8,FALSE)</f>
        <v>#N/A</v>
      </c>
      <c r="K914" s="4" t="e">
        <f>VLOOKUP(A914,Revisión!$A$2:$L$703,9,FALSE)</f>
        <v>#N/A</v>
      </c>
      <c r="L914" s="4" t="e">
        <f>VLOOKUP(A914,Revisión!$A$2:$L$703,10,FALSE)</f>
        <v>#N/A</v>
      </c>
      <c r="M914" s="18" t="e">
        <f>VLOOKUP(A914,Revisión!$A$2:$L$703,11,FALSE)</f>
        <v>#N/A</v>
      </c>
      <c r="N914" s="30" t="e">
        <f>IF(E914="Coinciden",D914,IF(E914="Revisar",VLOOKUP(A914,Revisión!$A$2:$L$703,12,FALSE),""))</f>
        <v>#N/A</v>
      </c>
    </row>
    <row r="915" spans="1:14" x14ac:dyDescent="0.3">
      <c r="A915" t="s">
        <v>1887</v>
      </c>
      <c r="B915" t="s">
        <v>1888</v>
      </c>
      <c r="C915" t="s">
        <v>1889</v>
      </c>
      <c r="D915" t="s">
        <v>1888</v>
      </c>
      <c r="E915" t="s">
        <v>8</v>
      </c>
      <c r="F915" t="s">
        <v>493</v>
      </c>
      <c r="H915" s="23" t="str">
        <f>VLOOKUP(A915,Revisión!$A$2:$L$703,6,FALSE)</f>
        <v>Gagea granatellii</v>
      </c>
      <c r="I915" s="4" t="str">
        <f>VLOOKUP(A915,Revisión!$A$2:$L$703,7,FALSE)</f>
        <v>Gagea granatellii</v>
      </c>
      <c r="J915" s="4" t="str">
        <f>VLOOKUP(A915,Revisión!$A$2:$L$703,8,FALSE)</f>
        <v>-</v>
      </c>
      <c r="K915" s="4" t="str">
        <f>VLOOKUP(A915,Revisión!$A$2:$L$703,9,FALSE)</f>
        <v>Gagea granatellii</v>
      </c>
      <c r="L915" s="4" t="str">
        <f>VLOOKUP(A915,Revisión!$A$2:$L$703,10,FALSE)</f>
        <v>Gagea granatellii</v>
      </c>
      <c r="M915" s="18">
        <f>VLOOKUP(A915,Revisión!$A$2:$L$703,11,FALSE)</f>
        <v>4</v>
      </c>
      <c r="N915" s="30" t="str">
        <f>IF(E915="Coinciden",D915,IF(E915="Revisar",VLOOKUP(A915,Revisión!$A$2:$L$703,12,FALSE),""))</f>
        <v>Gagea granatellii</v>
      </c>
    </row>
    <row r="916" spans="1:14" x14ac:dyDescent="0.3">
      <c r="A916" t="s">
        <v>1890</v>
      </c>
      <c r="C916" t="s">
        <v>1891</v>
      </c>
      <c r="D916" t="s">
        <v>1891</v>
      </c>
      <c r="E916" t="s">
        <v>8</v>
      </c>
      <c r="F916" t="s">
        <v>49</v>
      </c>
      <c r="H916" s="23" t="str">
        <f>VLOOKUP(A916,Revisión!$A$2:$L$703,6,FALSE)</f>
        <v>Galactia striata</v>
      </c>
      <c r="I916" s="4" t="str">
        <f>VLOOKUP(A916,Revisión!$A$2:$L$703,7,FALSE)</f>
        <v>Galactia striata</v>
      </c>
      <c r="J916" s="4" t="str">
        <f>VLOOKUP(A916,Revisión!$A$2:$L$703,8,FALSE)</f>
        <v>-</v>
      </c>
      <c r="K916" s="4" t="str">
        <f>VLOOKUP(A916,Revisión!$A$2:$L$703,9,FALSE)</f>
        <v>Galactia striata</v>
      </c>
      <c r="L916" s="4" t="str">
        <f>VLOOKUP(A916,Revisión!$A$2:$L$703,10,FALSE)</f>
        <v>Galactia striata</v>
      </c>
      <c r="M916" s="18">
        <f>VLOOKUP(A916,Revisión!$A$2:$L$703,11,FALSE)</f>
        <v>4</v>
      </c>
      <c r="N916" s="30" t="str">
        <f>IF(E916="Coinciden",D916,IF(E916="Revisar",VLOOKUP(A916,Revisión!$A$2:$L$703,12,FALSE),""))</f>
        <v>Galactia striata</v>
      </c>
    </row>
    <row r="917" spans="1:14" x14ac:dyDescent="0.3">
      <c r="A917" t="s">
        <v>1892</v>
      </c>
      <c r="B917" t="s">
        <v>1893</v>
      </c>
      <c r="C917" t="s">
        <v>1894</v>
      </c>
      <c r="D917" t="s">
        <v>1893</v>
      </c>
      <c r="E917" t="s">
        <v>8</v>
      </c>
      <c r="F917" t="s">
        <v>493</v>
      </c>
      <c r="H917" s="23" t="str">
        <f>VLOOKUP(A917,Revisión!$A$2:$L$703,6,FALSE)</f>
        <v>Galactites tomentosa</v>
      </c>
      <c r="I917" s="4" t="str">
        <f>VLOOKUP(A917,Revisión!$A$2:$L$703,7,FALSE)</f>
        <v>Galactites tomentosa</v>
      </c>
      <c r="J917" s="4" t="str">
        <f>VLOOKUP(A917,Revisión!$A$2:$L$703,8,FALSE)</f>
        <v>-</v>
      </c>
      <c r="K917" s="4" t="str">
        <f>VLOOKUP(A917,Revisión!$A$2:$L$703,9,FALSE)</f>
        <v>Galactites tomentosa</v>
      </c>
      <c r="L917" s="4" t="str">
        <f>VLOOKUP(A917,Revisión!$A$2:$L$703,10,FALSE)</f>
        <v>Galactites tomentosa</v>
      </c>
      <c r="M917" s="18">
        <f>VLOOKUP(A917,Revisión!$A$2:$L$703,11,FALSE)</f>
        <v>4</v>
      </c>
      <c r="N917" s="30" t="str">
        <f>IF(E917="Coinciden",D917,IF(E917="Revisar",VLOOKUP(A917,Revisión!$A$2:$L$703,12,FALSE),""))</f>
        <v>Galactites tomentosa</v>
      </c>
    </row>
    <row r="918" spans="1:14" x14ac:dyDescent="0.3">
      <c r="A918" t="s">
        <v>1895</v>
      </c>
      <c r="B918" t="s">
        <v>1896</v>
      </c>
      <c r="C918" t="s">
        <v>1896</v>
      </c>
      <c r="D918" t="s">
        <v>1896</v>
      </c>
      <c r="E918" t="s">
        <v>18</v>
      </c>
      <c r="F918" t="s">
        <v>19</v>
      </c>
      <c r="H918" s="23" t="e">
        <f>VLOOKUP(A918,Revisión!$A$2:$L$703,6,FALSE)</f>
        <v>#N/A</v>
      </c>
      <c r="I918" s="4" t="e">
        <f>VLOOKUP(A918,Revisión!$A$2:$L$703,7,FALSE)</f>
        <v>#N/A</v>
      </c>
      <c r="J918" s="4" t="e">
        <f>VLOOKUP(A918,Revisión!$A$2:$L$703,8,FALSE)</f>
        <v>#N/A</v>
      </c>
      <c r="K918" s="4" t="e">
        <f>VLOOKUP(A918,Revisión!$A$2:$L$703,9,FALSE)</f>
        <v>#N/A</v>
      </c>
      <c r="L918" s="4" t="e">
        <f>VLOOKUP(A918,Revisión!$A$2:$L$703,10,FALSE)</f>
        <v>#N/A</v>
      </c>
      <c r="M918" s="18" t="e">
        <f>VLOOKUP(A918,Revisión!$A$2:$L$703,11,FALSE)</f>
        <v>#N/A</v>
      </c>
      <c r="N918" s="30" t="str">
        <f>IF(E918="Coinciden",D918,IF(E918="Revisar",VLOOKUP(A918,Revisión!$A$2:$L$703,12,FALSE),""))</f>
        <v>Galactophora schomburgkiana</v>
      </c>
    </row>
    <row r="919" spans="1:14" x14ac:dyDescent="0.3">
      <c r="A919" t="s">
        <v>1897</v>
      </c>
      <c r="C919" t="s">
        <v>1898</v>
      </c>
      <c r="D919" t="s">
        <v>1898</v>
      </c>
      <c r="E919" t="s">
        <v>8</v>
      </c>
      <c r="F919" t="s">
        <v>49</v>
      </c>
      <c r="H919" s="23" t="str">
        <f>VLOOKUP(A919,Revisión!$A$2:$L$703,6,FALSE)</f>
        <v>Galium aparine</v>
      </c>
      <c r="I919" s="4" t="str">
        <f>VLOOKUP(A919,Revisión!$A$2:$L$703,7,FALSE)</f>
        <v>Galium aparine</v>
      </c>
      <c r="J919" s="4" t="str">
        <f>VLOOKUP(A919,Revisión!$A$2:$L$703,8,FALSE)</f>
        <v>-</v>
      </c>
      <c r="K919" s="4" t="str">
        <f>VLOOKUP(A919,Revisión!$A$2:$L$703,9,FALSE)</f>
        <v>Galium aparine</v>
      </c>
      <c r="L919" s="4" t="str">
        <f>VLOOKUP(A919,Revisión!$A$2:$L$703,10,FALSE)</f>
        <v>Galium aparine</v>
      </c>
      <c r="M919" s="18">
        <f>VLOOKUP(A919,Revisión!$A$2:$L$703,11,FALSE)</f>
        <v>4</v>
      </c>
      <c r="N919" s="30" t="str">
        <f>IF(E919="Coinciden",D919,IF(E919="Revisar",VLOOKUP(A919,Revisión!$A$2:$L$703,12,FALSE),""))</f>
        <v>Galium aparine</v>
      </c>
    </row>
    <row r="920" spans="1:14" x14ac:dyDescent="0.3">
      <c r="A920" t="s">
        <v>1899</v>
      </c>
      <c r="B920" t="s">
        <v>1900</v>
      </c>
      <c r="D920" t="s">
        <v>1900</v>
      </c>
      <c r="E920" t="s">
        <v>8</v>
      </c>
      <c r="F920" t="s">
        <v>34</v>
      </c>
      <c r="H920" s="23" t="str">
        <f>VLOOKUP(A920,Revisión!$A$2:$L$703,6,FALSE)</f>
        <v>Galium palustre</v>
      </c>
      <c r="I920" s="4" t="str">
        <f>VLOOKUP(A920,Revisión!$A$2:$L$703,7,FALSE)</f>
        <v>Galium palustre</v>
      </c>
      <c r="J920" s="4" t="str">
        <f>VLOOKUP(A920,Revisión!$A$2:$L$703,8,FALSE)</f>
        <v>-</v>
      </c>
      <c r="K920" s="4" t="str">
        <f>VLOOKUP(A920,Revisión!$A$2:$L$703,9,FALSE)</f>
        <v>Hydrogalium elongatum</v>
      </c>
      <c r="L920" s="4" t="str">
        <f>VLOOKUP(A920,Revisión!$A$2:$L$703,10,FALSE)</f>
        <v>Galium palustre</v>
      </c>
      <c r="M920" s="18">
        <f>VLOOKUP(A920,Revisión!$A$2:$L$703,11,FALSE)</f>
        <v>3</v>
      </c>
      <c r="N920" s="30" t="str">
        <f>IF(E920="Coinciden",D920,IF(E920="Revisar",VLOOKUP(A920,Revisión!$A$2:$L$703,12,FALSE),""))</f>
        <v>Galium palustre</v>
      </c>
    </row>
    <row r="921" spans="1:14" x14ac:dyDescent="0.3">
      <c r="A921" t="s">
        <v>1901</v>
      </c>
      <c r="B921" t="s">
        <v>1902</v>
      </c>
      <c r="C921" t="s">
        <v>1902</v>
      </c>
      <c r="D921" t="s">
        <v>1902</v>
      </c>
      <c r="E921" t="s">
        <v>18</v>
      </c>
      <c r="F921" t="s">
        <v>19</v>
      </c>
      <c r="H921" s="23" t="e">
        <f>VLOOKUP(A921,Revisión!$A$2:$L$703,6,FALSE)</f>
        <v>#N/A</v>
      </c>
      <c r="I921" s="4" t="e">
        <f>VLOOKUP(A921,Revisión!$A$2:$L$703,7,FALSE)</f>
        <v>#N/A</v>
      </c>
      <c r="J921" s="4" t="e">
        <f>VLOOKUP(A921,Revisión!$A$2:$L$703,8,FALSE)</f>
        <v>#N/A</v>
      </c>
      <c r="K921" s="4" t="e">
        <f>VLOOKUP(A921,Revisión!$A$2:$L$703,9,FALSE)</f>
        <v>#N/A</v>
      </c>
      <c r="L921" s="4" t="e">
        <f>VLOOKUP(A921,Revisión!$A$2:$L$703,10,FALSE)</f>
        <v>#N/A</v>
      </c>
      <c r="M921" s="18" t="e">
        <f>VLOOKUP(A921,Revisión!$A$2:$L$703,11,FALSE)</f>
        <v>#N/A</v>
      </c>
      <c r="N921" s="30" t="str">
        <f>IF(E921="Coinciden",D921,IF(E921="Revisar",VLOOKUP(A921,Revisión!$A$2:$L$703,12,FALSE),""))</f>
        <v>Galium trifidum</v>
      </c>
    </row>
    <row r="922" spans="1:14" x14ac:dyDescent="0.3">
      <c r="A922" t="s">
        <v>1903</v>
      </c>
      <c r="B922" t="s">
        <v>1904</v>
      </c>
      <c r="C922" t="s">
        <v>1904</v>
      </c>
      <c r="D922" t="s">
        <v>1904</v>
      </c>
      <c r="E922" t="s">
        <v>18</v>
      </c>
      <c r="F922" t="s">
        <v>19</v>
      </c>
      <c r="H922" s="23" t="e">
        <f>VLOOKUP(A922,Revisión!$A$2:$L$703,6,FALSE)</f>
        <v>#N/A</v>
      </c>
      <c r="I922" s="4" t="e">
        <f>VLOOKUP(A922,Revisión!$A$2:$L$703,7,FALSE)</f>
        <v>#N/A</v>
      </c>
      <c r="J922" s="4" t="e">
        <f>VLOOKUP(A922,Revisión!$A$2:$L$703,8,FALSE)</f>
        <v>#N/A</v>
      </c>
      <c r="K922" s="4" t="e">
        <f>VLOOKUP(A922,Revisión!$A$2:$L$703,9,FALSE)</f>
        <v>#N/A</v>
      </c>
      <c r="L922" s="4" t="e">
        <f>VLOOKUP(A922,Revisión!$A$2:$L$703,10,FALSE)</f>
        <v>#N/A</v>
      </c>
      <c r="M922" s="18" t="e">
        <f>VLOOKUP(A922,Revisión!$A$2:$L$703,11,FALSE)</f>
        <v>#N/A</v>
      </c>
      <c r="N922" s="30" t="str">
        <f>IF(E922="Coinciden",D922,IF(E922="Revisar",VLOOKUP(A922,Revisión!$A$2:$L$703,12,FALSE),""))</f>
        <v>Galium saxatile</v>
      </c>
    </row>
    <row r="923" spans="1:14" x14ac:dyDescent="0.3">
      <c r="A923" t="s">
        <v>1905</v>
      </c>
      <c r="B923" t="s">
        <v>1906</v>
      </c>
      <c r="D923" t="s">
        <v>1906</v>
      </c>
      <c r="E923" t="s">
        <v>8</v>
      </c>
      <c r="F923" t="s">
        <v>34</v>
      </c>
      <c r="H923" s="23" t="str">
        <f>VLOOKUP(A923,Revisión!$A$2:$L$703,6,FALSE)</f>
        <v>Galium boreale</v>
      </c>
      <c r="I923" s="4" t="str">
        <f>VLOOKUP(A923,Revisión!$A$2:$L$703,7,FALSE)</f>
        <v>Galium boreale</v>
      </c>
      <c r="J923" s="4" t="str">
        <f>VLOOKUP(A923,Revisión!$A$2:$L$703,8,FALSE)</f>
        <v>Trichogalium boreale</v>
      </c>
      <c r="K923" s="4" t="str">
        <f>VLOOKUP(A923,Revisión!$A$2:$L$703,9,FALSE)</f>
        <v>Trichogalium boreale</v>
      </c>
      <c r="L923" s="4" t="str">
        <f>VLOOKUP(A923,Revisión!$A$2:$L$703,10,FALSE)</f>
        <v>Trichogalium boreale</v>
      </c>
      <c r="M923" s="18">
        <f>VLOOKUP(A923,Revisión!$A$2:$L$703,11,FALSE)</f>
        <v>3</v>
      </c>
      <c r="N923" s="30" t="str">
        <f>IF(E923="Coinciden",D923,IF(E923="Revisar",VLOOKUP(A923,Revisión!$A$2:$L$703,12,FALSE),""))</f>
        <v>Trichogalium boreale</v>
      </c>
    </row>
    <row r="924" spans="1:14" x14ac:dyDescent="0.3">
      <c r="A924" t="s">
        <v>1907</v>
      </c>
      <c r="D924" t="s">
        <v>1908</v>
      </c>
      <c r="E924" t="s">
        <v>8</v>
      </c>
      <c r="F924" t="s">
        <v>9</v>
      </c>
      <c r="H924" s="23" t="str">
        <f>VLOOKUP(A924,Revisión!$A$2:$L$703,6,FALSE)</f>
        <v>Asperula perpusilla</v>
      </c>
      <c r="I924" s="4" t="str">
        <f>VLOOKUP(A924,Revisión!$A$2:$L$703,7,FALSE)</f>
        <v>Asperula perpusilla</v>
      </c>
      <c r="J924" s="4" t="str">
        <f>VLOOKUP(A924,Revisión!$A$2:$L$703,8,FALSE)</f>
        <v>Asperula perpusilla</v>
      </c>
      <c r="K924" s="4" t="str">
        <f>VLOOKUP(A924,Revisión!$A$2:$L$703,9,FALSE)</f>
        <v>Hydrogalium perpusillum</v>
      </c>
      <c r="L924" s="4" t="str">
        <f>VLOOKUP(A924,Revisión!$A$2:$L$703,10,FALSE)</f>
        <v>Hydrogalium perpusillum</v>
      </c>
      <c r="M924" s="18">
        <f>VLOOKUP(A924,Revisión!$A$2:$L$703,11,FALSE)</f>
        <v>3</v>
      </c>
      <c r="N924" s="30" t="str">
        <f>IF(E924="Coinciden",D924,IF(E924="Revisar",VLOOKUP(A924,Revisión!$A$2:$L$703,12,FALSE),""))</f>
        <v>Asperula perpusilla</v>
      </c>
    </row>
    <row r="925" spans="1:14" x14ac:dyDescent="0.3">
      <c r="A925" t="s">
        <v>1909</v>
      </c>
      <c r="B925" t="s">
        <v>1910</v>
      </c>
      <c r="C925" t="s">
        <v>1910</v>
      </c>
      <c r="D925" t="s">
        <v>1910</v>
      </c>
      <c r="E925" t="s">
        <v>18</v>
      </c>
      <c r="F925" t="s">
        <v>19</v>
      </c>
      <c r="H925" s="23" t="e">
        <f>VLOOKUP(A925,Revisión!$A$2:$L$703,6,FALSE)</f>
        <v>#N/A</v>
      </c>
      <c r="I925" s="4" t="e">
        <f>VLOOKUP(A925,Revisión!$A$2:$L$703,7,FALSE)</f>
        <v>#N/A</v>
      </c>
      <c r="J925" s="4" t="e">
        <f>VLOOKUP(A925,Revisión!$A$2:$L$703,8,FALSE)</f>
        <v>#N/A</v>
      </c>
      <c r="K925" s="4" t="e">
        <f>VLOOKUP(A925,Revisión!$A$2:$L$703,9,FALSE)</f>
        <v>#N/A</v>
      </c>
      <c r="L925" s="4" t="e">
        <f>VLOOKUP(A925,Revisión!$A$2:$L$703,10,FALSE)</f>
        <v>#N/A</v>
      </c>
      <c r="M925" s="18" t="e">
        <f>VLOOKUP(A925,Revisión!$A$2:$L$703,11,FALSE)</f>
        <v>#N/A</v>
      </c>
      <c r="N925" s="30" t="str">
        <f>IF(E925="Coinciden",D925,IF(E925="Revisar",VLOOKUP(A925,Revisión!$A$2:$L$703,12,FALSE),""))</f>
        <v>Galium verum</v>
      </c>
    </row>
    <row r="926" spans="1:14" x14ac:dyDescent="0.3">
      <c r="A926" t="s">
        <v>1911</v>
      </c>
      <c r="B926" t="s">
        <v>1912</v>
      </c>
      <c r="D926" t="s">
        <v>1912</v>
      </c>
      <c r="E926" t="s">
        <v>8</v>
      </c>
      <c r="F926" t="s">
        <v>34</v>
      </c>
      <c r="H926" s="23" t="str">
        <f>VLOOKUP(A926,Revisión!$A$2:$L$703,6,FALSE)</f>
        <v>Galium japonicum</v>
      </c>
      <c r="I926" s="4" t="str">
        <f>VLOOKUP(A926,Revisión!$A$2:$L$703,7,FALSE)</f>
        <v>Galium japonicum</v>
      </c>
      <c r="J926" s="4" t="str">
        <f>VLOOKUP(A926,Revisión!$A$2:$L$703,8,FALSE)</f>
        <v>-</v>
      </c>
      <c r="K926" s="4" t="str">
        <f>VLOOKUP(A926,Revisión!$A$2:$L$703,9,FALSE)</f>
        <v>Galium japonicum</v>
      </c>
      <c r="L926" s="4" t="str">
        <f>VLOOKUP(A926,Revisión!$A$2:$L$703,10,FALSE)</f>
        <v>Galium japonicum</v>
      </c>
      <c r="M926" s="18">
        <f>VLOOKUP(A926,Revisión!$A$2:$L$703,11,FALSE)</f>
        <v>4</v>
      </c>
      <c r="N926" s="30" t="str">
        <f>IF(E926="Coinciden",D926,IF(E926="Revisar",VLOOKUP(A926,Revisión!$A$2:$L$703,12,FALSE),""))</f>
        <v>Galium japonicum</v>
      </c>
    </row>
    <row r="927" spans="1:14" x14ac:dyDescent="0.3">
      <c r="A927" t="s">
        <v>1913</v>
      </c>
      <c r="B927" t="s">
        <v>1914</v>
      </c>
      <c r="C927" t="s">
        <v>1914</v>
      </c>
      <c r="D927" t="s">
        <v>1914</v>
      </c>
      <c r="E927" t="s">
        <v>18</v>
      </c>
      <c r="F927" t="s">
        <v>19</v>
      </c>
      <c r="H927" s="23" t="e">
        <f>VLOOKUP(A927,Revisión!$A$2:$L$703,6,FALSE)</f>
        <v>#N/A</v>
      </c>
      <c r="I927" s="4" t="e">
        <f>VLOOKUP(A927,Revisión!$A$2:$L$703,7,FALSE)</f>
        <v>#N/A</v>
      </c>
      <c r="J927" s="4" t="e">
        <f>VLOOKUP(A927,Revisión!$A$2:$L$703,8,FALSE)</f>
        <v>#N/A</v>
      </c>
      <c r="K927" s="4" t="e">
        <f>VLOOKUP(A927,Revisión!$A$2:$L$703,9,FALSE)</f>
        <v>#N/A</v>
      </c>
      <c r="L927" s="4" t="e">
        <f>VLOOKUP(A927,Revisión!$A$2:$L$703,10,FALSE)</f>
        <v>#N/A</v>
      </c>
      <c r="M927" s="18" t="e">
        <f>VLOOKUP(A927,Revisión!$A$2:$L$703,11,FALSE)</f>
        <v>#N/A</v>
      </c>
      <c r="N927" s="30" t="str">
        <f>IF(E927="Coinciden",D927,IF(E927="Revisar",VLOOKUP(A927,Revisión!$A$2:$L$703,12,FALSE),""))</f>
        <v>Galium propinquum</v>
      </c>
    </row>
    <row r="928" spans="1:14" x14ac:dyDescent="0.3">
      <c r="A928" t="s">
        <v>1915</v>
      </c>
      <c r="B928" t="s">
        <v>1916</v>
      </c>
      <c r="C928" t="s">
        <v>1916</v>
      </c>
      <c r="D928" t="s">
        <v>1916</v>
      </c>
      <c r="E928" t="s">
        <v>18</v>
      </c>
      <c r="F928" t="s">
        <v>19</v>
      </c>
      <c r="H928" s="23" t="e">
        <f>VLOOKUP(A928,Revisión!$A$2:$L$703,6,FALSE)</f>
        <v>#N/A</v>
      </c>
      <c r="I928" s="4" t="e">
        <f>VLOOKUP(A928,Revisión!$A$2:$L$703,7,FALSE)</f>
        <v>#N/A</v>
      </c>
      <c r="J928" s="4" t="e">
        <f>VLOOKUP(A928,Revisión!$A$2:$L$703,8,FALSE)</f>
        <v>#N/A</v>
      </c>
      <c r="K928" s="4" t="e">
        <f>VLOOKUP(A928,Revisión!$A$2:$L$703,9,FALSE)</f>
        <v>#N/A</v>
      </c>
      <c r="L928" s="4" t="e">
        <f>VLOOKUP(A928,Revisión!$A$2:$L$703,10,FALSE)</f>
        <v>#N/A</v>
      </c>
      <c r="M928" s="18" t="e">
        <f>VLOOKUP(A928,Revisión!$A$2:$L$703,11,FALSE)</f>
        <v>#N/A</v>
      </c>
      <c r="N928" s="30" t="str">
        <f>IF(E928="Coinciden",D928,IF(E928="Revisar",VLOOKUP(A928,Revisión!$A$2:$L$703,12,FALSE),""))</f>
        <v>Galvezia leucantha</v>
      </c>
    </row>
    <row r="929" spans="1:14" x14ac:dyDescent="0.3">
      <c r="A929" t="s">
        <v>1917</v>
      </c>
      <c r="C929" t="s">
        <v>1918</v>
      </c>
      <c r="D929" t="s">
        <v>1916</v>
      </c>
      <c r="E929" t="s">
        <v>8</v>
      </c>
      <c r="F929" t="s">
        <v>9</v>
      </c>
      <c r="H929" s="23" t="str">
        <f>VLOOKUP(A929,Revisión!$A$2:$L$703,6,FALSE)</f>
        <v>Galvezia leucantha subsp. pubescens</v>
      </c>
      <c r="I929" s="4" t="str">
        <f>VLOOKUP(A929,Revisión!$A$2:$L$703,7,FALSE)</f>
        <v>Galvezia leucantha subsp. Leucantha</v>
      </c>
      <c r="J929" s="4" t="str">
        <f>VLOOKUP(A929,Revisión!$A$2:$L$703,8,FALSE)</f>
        <v>-</v>
      </c>
      <c r="K929" s="4" t="str">
        <f>VLOOKUP(A929,Revisión!$A$2:$L$703,9,FALSE)</f>
        <v>Galvezia leucantha subsp. pubescens</v>
      </c>
      <c r="L929" s="4" t="str">
        <f>VLOOKUP(A929,Revisión!$A$2:$L$703,10,FALSE)</f>
        <v>Galvezia leucantha subsp. pubescens</v>
      </c>
      <c r="M929" s="18">
        <f>VLOOKUP(A929,Revisión!$A$2:$L$703,11,FALSE)</f>
        <v>3</v>
      </c>
      <c r="N929" s="30" t="str">
        <f>IF(E929="Coinciden",D929,IF(E929="Revisar",VLOOKUP(A929,Revisión!$A$2:$L$703,12,FALSE),""))</f>
        <v>Galvezia leucantha subsp. pubescens</v>
      </c>
    </row>
    <row r="930" spans="1:14" x14ac:dyDescent="0.3">
      <c r="A930" t="s">
        <v>1919</v>
      </c>
      <c r="B930" t="s">
        <v>1920</v>
      </c>
      <c r="C930" t="s">
        <v>1920</v>
      </c>
      <c r="D930" t="s">
        <v>1920</v>
      </c>
      <c r="E930" t="s">
        <v>18</v>
      </c>
      <c r="F930" t="s">
        <v>19</v>
      </c>
      <c r="H930" s="23" t="e">
        <f>VLOOKUP(A930,Revisión!$A$2:$L$703,6,FALSE)</f>
        <v>#N/A</v>
      </c>
      <c r="I930" s="4" t="e">
        <f>VLOOKUP(A930,Revisión!$A$2:$L$703,7,FALSE)</f>
        <v>#N/A</v>
      </c>
      <c r="J930" s="4" t="e">
        <f>VLOOKUP(A930,Revisión!$A$2:$L$703,8,FALSE)</f>
        <v>#N/A</v>
      </c>
      <c r="K930" s="4" t="e">
        <f>VLOOKUP(A930,Revisión!$A$2:$L$703,9,FALSE)</f>
        <v>#N/A</v>
      </c>
      <c r="L930" s="4" t="e">
        <f>VLOOKUP(A930,Revisión!$A$2:$L$703,10,FALSE)</f>
        <v>#N/A</v>
      </c>
      <c r="M930" s="18" t="e">
        <f>VLOOKUP(A930,Revisión!$A$2:$L$703,11,FALSE)</f>
        <v>#N/A</v>
      </c>
      <c r="N930" s="30" t="str">
        <f>IF(E930="Coinciden",D930,IF(E930="Revisar",VLOOKUP(A930,Revisión!$A$2:$L$703,12,FALSE),""))</f>
        <v>Gamochaeta argentina</v>
      </c>
    </row>
    <row r="931" spans="1:14" x14ac:dyDescent="0.3">
      <c r="A931" t="s">
        <v>1921</v>
      </c>
      <c r="B931" t="s">
        <v>1922</v>
      </c>
      <c r="C931" t="s">
        <v>1922</v>
      </c>
      <c r="D931" t="s">
        <v>1923</v>
      </c>
      <c r="E931" t="s">
        <v>8</v>
      </c>
      <c r="F931" t="s">
        <v>15</v>
      </c>
      <c r="H931" s="23" t="str">
        <f>VLOOKUP(A931,Revisión!$A$2:$L$703,6,FALSE)</f>
        <v>Gamochaeta stachidifolia</v>
      </c>
      <c r="I931" s="4" t="str">
        <f>VLOOKUP(A931,Revisión!$A$2:$L$703,7,FALSE)</f>
        <v>Gamochaeta stachydifolia </v>
      </c>
      <c r="J931" s="4" t="str">
        <f>VLOOKUP(A931,Revisión!$A$2:$L$703,8,FALSE)</f>
        <v>-</v>
      </c>
      <c r="K931" s="4" t="str">
        <f>VLOOKUP(A931,Revisión!$A$2:$L$703,9,FALSE)</f>
        <v>Gamochaeta stachidifolia </v>
      </c>
      <c r="L931" s="4" t="str">
        <f>VLOOKUP(A931,Revisión!$A$2:$L$703,10,FALSE)</f>
        <v>Gamochaeta stachidifolia </v>
      </c>
      <c r="M931" s="18">
        <f>VLOOKUP(A931,Revisión!$A$2:$L$703,11,FALSE)</f>
        <v>3</v>
      </c>
      <c r="N931" s="30" t="str">
        <f>IF(E931="Coinciden",D931,IF(E931="Revisar",VLOOKUP(A931,Revisión!$A$2:$L$703,12,FALSE),""))</f>
        <v>Gamochaeta stachidifolia </v>
      </c>
    </row>
    <row r="932" spans="1:14" x14ac:dyDescent="0.3">
      <c r="A932" t="s">
        <v>1924</v>
      </c>
      <c r="B932" t="s">
        <v>1925</v>
      </c>
      <c r="C932" t="s">
        <v>1925</v>
      </c>
      <c r="D932" t="s">
        <v>1925</v>
      </c>
      <c r="E932" t="s">
        <v>18</v>
      </c>
      <c r="F932" t="s">
        <v>19</v>
      </c>
      <c r="H932" s="23" t="e">
        <f>VLOOKUP(A932,Revisión!$A$2:$L$703,6,FALSE)</f>
        <v>#N/A</v>
      </c>
      <c r="I932" s="4" t="e">
        <f>VLOOKUP(A932,Revisión!$A$2:$L$703,7,FALSE)</f>
        <v>#N/A</v>
      </c>
      <c r="J932" s="4" t="e">
        <f>VLOOKUP(A932,Revisión!$A$2:$L$703,8,FALSE)</f>
        <v>#N/A</v>
      </c>
      <c r="K932" s="4" t="e">
        <f>VLOOKUP(A932,Revisión!$A$2:$L$703,9,FALSE)</f>
        <v>#N/A</v>
      </c>
      <c r="L932" s="4" t="e">
        <f>VLOOKUP(A932,Revisión!$A$2:$L$703,10,FALSE)</f>
        <v>#N/A</v>
      </c>
      <c r="M932" s="18" t="e">
        <f>VLOOKUP(A932,Revisión!$A$2:$L$703,11,FALSE)</f>
        <v>#N/A</v>
      </c>
      <c r="N932" s="30" t="str">
        <f>IF(E932="Coinciden",D932,IF(E932="Revisar",VLOOKUP(A932,Revisión!$A$2:$L$703,12,FALSE),""))</f>
        <v>Polyscias crassa</v>
      </c>
    </row>
    <row r="933" spans="1:14" x14ac:dyDescent="0.3">
      <c r="A933" t="s">
        <v>1926</v>
      </c>
      <c r="B933" t="s">
        <v>1927</v>
      </c>
      <c r="C933" t="s">
        <v>1927</v>
      </c>
      <c r="D933" t="s">
        <v>1927</v>
      </c>
      <c r="E933" t="s">
        <v>18</v>
      </c>
      <c r="F933" t="s">
        <v>19</v>
      </c>
      <c r="H933" s="23" t="e">
        <f>VLOOKUP(A933,Revisión!$A$2:$L$703,6,FALSE)</f>
        <v>#N/A</v>
      </c>
      <c r="I933" s="4" t="e">
        <f>VLOOKUP(A933,Revisión!$A$2:$L$703,7,FALSE)</f>
        <v>#N/A</v>
      </c>
      <c r="J933" s="4" t="e">
        <f>VLOOKUP(A933,Revisión!$A$2:$L$703,8,FALSE)</f>
        <v>#N/A</v>
      </c>
      <c r="K933" s="4" t="e">
        <f>VLOOKUP(A933,Revisión!$A$2:$L$703,9,FALSE)</f>
        <v>#N/A</v>
      </c>
      <c r="L933" s="4" t="e">
        <f>VLOOKUP(A933,Revisión!$A$2:$L$703,10,FALSE)</f>
        <v>#N/A</v>
      </c>
      <c r="M933" s="18" t="e">
        <f>VLOOKUP(A933,Revisión!$A$2:$L$703,11,FALSE)</f>
        <v>#N/A</v>
      </c>
      <c r="N933" s="30" t="str">
        <f>IF(E933="Coinciden",D933,IF(E933="Revisar",VLOOKUP(A933,Revisión!$A$2:$L$703,12,FALSE),""))</f>
        <v>Polyscias maraisiana</v>
      </c>
    </row>
    <row r="934" spans="1:14" x14ac:dyDescent="0.3">
      <c r="A934" t="s">
        <v>1928</v>
      </c>
      <c r="B934" t="s">
        <v>1929</v>
      </c>
      <c r="C934" t="s">
        <v>1929</v>
      </c>
      <c r="D934" t="s">
        <v>1929</v>
      </c>
      <c r="E934" t="s">
        <v>18</v>
      </c>
      <c r="F934" t="s">
        <v>19</v>
      </c>
      <c r="H934" s="23" t="e">
        <f>VLOOKUP(A934,Revisión!$A$2:$L$703,6,FALSE)</f>
        <v>#N/A</v>
      </c>
      <c r="I934" s="4" t="e">
        <f>VLOOKUP(A934,Revisión!$A$2:$L$703,7,FALSE)</f>
        <v>#N/A</v>
      </c>
      <c r="J934" s="4" t="e">
        <f>VLOOKUP(A934,Revisión!$A$2:$L$703,8,FALSE)</f>
        <v>#N/A</v>
      </c>
      <c r="K934" s="4" t="e">
        <f>VLOOKUP(A934,Revisión!$A$2:$L$703,9,FALSE)</f>
        <v>#N/A</v>
      </c>
      <c r="L934" s="4" t="e">
        <f>VLOOKUP(A934,Revisión!$A$2:$L$703,10,FALSE)</f>
        <v>#N/A</v>
      </c>
      <c r="M934" s="18" t="e">
        <f>VLOOKUP(A934,Revisión!$A$2:$L$703,11,FALSE)</f>
        <v>#N/A</v>
      </c>
      <c r="N934" s="30" t="str">
        <f>IF(E934="Coinciden",D934,IF(E934="Revisar",VLOOKUP(A934,Revisión!$A$2:$L$703,12,FALSE),""))</f>
        <v>Gaultheria phillyreifolia</v>
      </c>
    </row>
    <row r="935" spans="1:14" x14ac:dyDescent="0.3">
      <c r="A935" t="s">
        <v>1930</v>
      </c>
      <c r="B935" t="s">
        <v>1931</v>
      </c>
      <c r="D935" t="s">
        <v>1931</v>
      </c>
      <c r="E935" t="s">
        <v>8</v>
      </c>
      <c r="F935" t="s">
        <v>34</v>
      </c>
      <c r="H935" s="23" t="str">
        <f>VLOOKUP(A935,Revisión!$A$2:$L$703,6,FALSE)</f>
        <v>Gaultheria mucronata</v>
      </c>
      <c r="I935" s="4" t="str">
        <f>VLOOKUP(A935,Revisión!$A$2:$L$703,7,FALSE)</f>
        <v>Gaultheria mucronata</v>
      </c>
      <c r="J935" s="4" t="str">
        <f>VLOOKUP(A935,Revisión!$A$2:$L$703,8,FALSE)</f>
        <v>-</v>
      </c>
      <c r="K935" s="4" t="str">
        <f>VLOOKUP(A935,Revisión!$A$2:$L$703,9,FALSE)</f>
        <v>Gaultheria mucronata</v>
      </c>
      <c r="L935" s="4" t="str">
        <f>VLOOKUP(A935,Revisión!$A$2:$L$703,10,FALSE)</f>
        <v>Gaultheria mucronata</v>
      </c>
      <c r="M935" s="18">
        <f>VLOOKUP(A935,Revisión!$A$2:$L$703,11,FALSE)</f>
        <v>4</v>
      </c>
      <c r="N935" s="30" t="str">
        <f>IF(E935="Coinciden",D935,IF(E935="Revisar",VLOOKUP(A935,Revisión!$A$2:$L$703,12,FALSE),""))</f>
        <v>Gaultheria mucronata</v>
      </c>
    </row>
    <row r="936" spans="1:14" x14ac:dyDescent="0.3">
      <c r="A936" t="s">
        <v>1932</v>
      </c>
      <c r="B936" t="s">
        <v>1933</v>
      </c>
      <c r="C936" t="s">
        <v>1933</v>
      </c>
      <c r="D936" t="s">
        <v>1933</v>
      </c>
      <c r="E936" t="s">
        <v>18</v>
      </c>
      <c r="F936" t="s">
        <v>19</v>
      </c>
      <c r="H936" s="23" t="e">
        <f>VLOOKUP(A936,Revisión!$A$2:$L$703,6,FALSE)</f>
        <v>#N/A</v>
      </c>
      <c r="I936" s="4" t="e">
        <f>VLOOKUP(A936,Revisión!$A$2:$L$703,7,FALSE)</f>
        <v>#N/A</v>
      </c>
      <c r="J936" s="4" t="e">
        <f>VLOOKUP(A936,Revisión!$A$2:$L$703,8,FALSE)</f>
        <v>#N/A</v>
      </c>
      <c r="K936" s="4" t="e">
        <f>VLOOKUP(A936,Revisión!$A$2:$L$703,9,FALSE)</f>
        <v>#N/A</v>
      </c>
      <c r="L936" s="4" t="e">
        <f>VLOOKUP(A936,Revisión!$A$2:$L$703,10,FALSE)</f>
        <v>#N/A</v>
      </c>
      <c r="M936" s="18" t="e">
        <f>VLOOKUP(A936,Revisión!$A$2:$L$703,11,FALSE)</f>
        <v>#N/A</v>
      </c>
      <c r="N936" s="30" t="str">
        <f>IF(E936="Coinciden",D936,IF(E936="Revisar",VLOOKUP(A936,Revisión!$A$2:$L$703,12,FALSE),""))</f>
        <v>Oenothera gaura</v>
      </c>
    </row>
    <row r="937" spans="1:14" x14ac:dyDescent="0.3">
      <c r="A937" t="s">
        <v>1934</v>
      </c>
      <c r="B937" t="s">
        <v>1935</v>
      </c>
      <c r="C937" t="s">
        <v>1935</v>
      </c>
      <c r="D937" t="s">
        <v>1935</v>
      </c>
      <c r="E937" t="s">
        <v>18</v>
      </c>
      <c r="F937" t="s">
        <v>19</v>
      </c>
      <c r="H937" s="23" t="e">
        <f>VLOOKUP(A937,Revisión!$A$2:$L$703,6,FALSE)</f>
        <v>#N/A</v>
      </c>
      <c r="I937" s="4" t="e">
        <f>VLOOKUP(A937,Revisión!$A$2:$L$703,7,FALSE)</f>
        <v>#N/A</v>
      </c>
      <c r="J937" s="4" t="e">
        <f>VLOOKUP(A937,Revisión!$A$2:$L$703,8,FALSE)</f>
        <v>#N/A</v>
      </c>
      <c r="K937" s="4" t="e">
        <f>VLOOKUP(A937,Revisión!$A$2:$L$703,9,FALSE)</f>
        <v>#N/A</v>
      </c>
      <c r="L937" s="4" t="e">
        <f>VLOOKUP(A937,Revisión!$A$2:$L$703,10,FALSE)</f>
        <v>#N/A</v>
      </c>
      <c r="M937" s="18" t="e">
        <f>VLOOKUP(A937,Revisión!$A$2:$L$703,11,FALSE)</f>
        <v>#N/A</v>
      </c>
      <c r="N937" s="30" t="str">
        <f>IF(E937="Coinciden",D937,IF(E937="Revisar",VLOOKUP(A937,Revisión!$A$2:$L$703,12,FALSE),""))</f>
        <v>Gavilea odoratissima</v>
      </c>
    </row>
    <row r="938" spans="1:14" x14ac:dyDescent="0.3">
      <c r="A938" t="s">
        <v>1936</v>
      </c>
      <c r="B938" t="s">
        <v>1937</v>
      </c>
      <c r="C938" t="s">
        <v>1937</v>
      </c>
      <c r="D938" t="s">
        <v>1937</v>
      </c>
      <c r="E938" t="s">
        <v>18</v>
      </c>
      <c r="F938" t="s">
        <v>19</v>
      </c>
      <c r="H938" s="23" t="e">
        <f>VLOOKUP(A938,Revisión!$A$2:$L$703,6,FALSE)</f>
        <v>#N/A</v>
      </c>
      <c r="I938" s="4" t="e">
        <f>VLOOKUP(A938,Revisión!$A$2:$L$703,7,FALSE)</f>
        <v>#N/A</v>
      </c>
      <c r="J938" s="4" t="e">
        <f>VLOOKUP(A938,Revisión!$A$2:$L$703,8,FALSE)</f>
        <v>#N/A</v>
      </c>
      <c r="K938" s="4" t="e">
        <f>VLOOKUP(A938,Revisión!$A$2:$L$703,9,FALSE)</f>
        <v>#N/A</v>
      </c>
      <c r="L938" s="4" t="e">
        <f>VLOOKUP(A938,Revisión!$A$2:$L$703,10,FALSE)</f>
        <v>#N/A</v>
      </c>
      <c r="M938" s="18" t="e">
        <f>VLOOKUP(A938,Revisión!$A$2:$L$703,11,FALSE)</f>
        <v>#N/A</v>
      </c>
      <c r="N938" s="30" t="str">
        <f>IF(E938="Coinciden",D938,IF(E938="Revisar",VLOOKUP(A938,Revisión!$A$2:$L$703,12,FALSE),""))</f>
        <v>Gaylussacia baccata</v>
      </c>
    </row>
    <row r="939" spans="1:14" x14ac:dyDescent="0.3">
      <c r="A939" t="s">
        <v>1938</v>
      </c>
      <c r="B939" t="s">
        <v>1939</v>
      </c>
      <c r="C939" t="s">
        <v>1939</v>
      </c>
      <c r="D939" t="s">
        <v>1939</v>
      </c>
      <c r="E939" t="s">
        <v>18</v>
      </c>
      <c r="F939" t="s">
        <v>19</v>
      </c>
      <c r="H939" s="23" t="e">
        <f>VLOOKUP(A939,Revisión!$A$2:$L$703,6,FALSE)</f>
        <v>#N/A</v>
      </c>
      <c r="I939" s="4" t="e">
        <f>VLOOKUP(A939,Revisión!$A$2:$L$703,7,FALSE)</f>
        <v>#N/A</v>
      </c>
      <c r="J939" s="4" t="e">
        <f>VLOOKUP(A939,Revisión!$A$2:$L$703,8,FALSE)</f>
        <v>#N/A</v>
      </c>
      <c r="K939" s="4" t="e">
        <f>VLOOKUP(A939,Revisión!$A$2:$L$703,9,FALSE)</f>
        <v>#N/A</v>
      </c>
      <c r="L939" s="4" t="e">
        <f>VLOOKUP(A939,Revisión!$A$2:$L$703,10,FALSE)</f>
        <v>#N/A</v>
      </c>
      <c r="M939" s="18" t="e">
        <f>VLOOKUP(A939,Revisión!$A$2:$L$703,11,FALSE)</f>
        <v>#N/A</v>
      </c>
      <c r="N939" s="30" t="str">
        <f>IF(E939="Coinciden",D939,IF(E939="Revisar",VLOOKUP(A939,Revisión!$A$2:$L$703,12,FALSE),""))</f>
        <v>Gelasine elongata</v>
      </c>
    </row>
    <row r="940" spans="1:14" x14ac:dyDescent="0.3">
      <c r="A940" t="s">
        <v>1940</v>
      </c>
      <c r="B940" t="s">
        <v>1941</v>
      </c>
      <c r="C940" t="s">
        <v>1941</v>
      </c>
      <c r="D940" t="s">
        <v>1941</v>
      </c>
      <c r="E940" t="s">
        <v>18</v>
      </c>
      <c r="F940" t="s">
        <v>19</v>
      </c>
      <c r="H940" s="23" t="e">
        <f>VLOOKUP(A940,Revisión!$A$2:$L$703,6,FALSE)</f>
        <v>#N/A</v>
      </c>
      <c r="I940" s="4" t="e">
        <f>VLOOKUP(A940,Revisión!$A$2:$L$703,7,FALSE)</f>
        <v>#N/A</v>
      </c>
      <c r="J940" s="4" t="e">
        <f>VLOOKUP(A940,Revisión!$A$2:$L$703,8,FALSE)</f>
        <v>#N/A</v>
      </c>
      <c r="K940" s="4" t="e">
        <f>VLOOKUP(A940,Revisión!$A$2:$L$703,9,FALSE)</f>
        <v>#N/A</v>
      </c>
      <c r="L940" s="4" t="e">
        <f>VLOOKUP(A940,Revisión!$A$2:$L$703,10,FALSE)</f>
        <v>#N/A</v>
      </c>
      <c r="M940" s="18" t="e">
        <f>VLOOKUP(A940,Revisión!$A$2:$L$703,11,FALSE)</f>
        <v>#N/A</v>
      </c>
      <c r="N940" s="30" t="str">
        <f>IF(E940="Coinciden",D940,IF(E940="Revisar",VLOOKUP(A940,Revisión!$A$2:$L$703,12,FALSE),""))</f>
        <v>Geniostoma borbonicum</v>
      </c>
    </row>
    <row r="941" spans="1:14" x14ac:dyDescent="0.3">
      <c r="A941" t="s">
        <v>1942</v>
      </c>
      <c r="B941" t="s">
        <v>1943</v>
      </c>
      <c r="C941" t="s">
        <v>1943</v>
      </c>
      <c r="D941" t="s">
        <v>1943</v>
      </c>
      <c r="E941" t="s">
        <v>18</v>
      </c>
      <c r="F941" t="s">
        <v>19</v>
      </c>
      <c r="H941" s="23" t="e">
        <f>VLOOKUP(A941,Revisión!$A$2:$L$703,6,FALSE)</f>
        <v>#N/A</v>
      </c>
      <c r="I941" s="4" t="e">
        <f>VLOOKUP(A941,Revisión!$A$2:$L$703,7,FALSE)</f>
        <v>#N/A</v>
      </c>
      <c r="J941" s="4" t="e">
        <f>VLOOKUP(A941,Revisión!$A$2:$L$703,8,FALSE)</f>
        <v>#N/A</v>
      </c>
      <c r="K941" s="4" t="e">
        <f>VLOOKUP(A941,Revisión!$A$2:$L$703,9,FALSE)</f>
        <v>#N/A</v>
      </c>
      <c r="L941" s="4" t="e">
        <f>VLOOKUP(A941,Revisión!$A$2:$L$703,10,FALSE)</f>
        <v>#N/A</v>
      </c>
      <c r="M941" s="18" t="e">
        <f>VLOOKUP(A941,Revisión!$A$2:$L$703,11,FALSE)</f>
        <v>#N/A</v>
      </c>
      <c r="N941" s="30" t="str">
        <f>IF(E941="Coinciden",D941,IF(E941="Revisar",VLOOKUP(A941,Revisión!$A$2:$L$703,12,FALSE),""))</f>
        <v>Genista anglica</v>
      </c>
    </row>
    <row r="942" spans="1:14" x14ac:dyDescent="0.3">
      <c r="A942" t="s">
        <v>1944</v>
      </c>
      <c r="B942" t="s">
        <v>1945</v>
      </c>
      <c r="C942" t="s">
        <v>1945</v>
      </c>
      <c r="D942" t="s">
        <v>1945</v>
      </c>
      <c r="E942" t="s">
        <v>18</v>
      </c>
      <c r="F942" t="s">
        <v>19</v>
      </c>
      <c r="H942" s="23" t="e">
        <f>VLOOKUP(A942,Revisión!$A$2:$L$703,6,FALSE)</f>
        <v>#N/A</v>
      </c>
      <c r="I942" s="4" t="e">
        <f>VLOOKUP(A942,Revisión!$A$2:$L$703,7,FALSE)</f>
        <v>#N/A</v>
      </c>
      <c r="J942" s="4" t="e">
        <f>VLOOKUP(A942,Revisión!$A$2:$L$703,8,FALSE)</f>
        <v>#N/A</v>
      </c>
      <c r="K942" s="4" t="e">
        <f>VLOOKUP(A942,Revisión!$A$2:$L$703,9,FALSE)</f>
        <v>#N/A</v>
      </c>
      <c r="L942" s="4" t="e">
        <f>VLOOKUP(A942,Revisión!$A$2:$L$703,10,FALSE)</f>
        <v>#N/A</v>
      </c>
      <c r="M942" s="18" t="e">
        <f>VLOOKUP(A942,Revisión!$A$2:$L$703,11,FALSE)</f>
        <v>#N/A</v>
      </c>
      <c r="N942" s="30" t="str">
        <f>IF(E942="Coinciden",D942,IF(E942="Revisar",VLOOKUP(A942,Revisión!$A$2:$L$703,12,FALSE),""))</f>
        <v>Gentiana andrewsii</v>
      </c>
    </row>
    <row r="943" spans="1:14" x14ac:dyDescent="0.3">
      <c r="A943" t="s">
        <v>1946</v>
      </c>
      <c r="B943" t="s">
        <v>1947</v>
      </c>
      <c r="C943" t="s">
        <v>1947</v>
      </c>
      <c r="D943" t="s">
        <v>1947</v>
      </c>
      <c r="E943" t="s">
        <v>18</v>
      </c>
      <c r="F943" t="s">
        <v>19</v>
      </c>
      <c r="H943" s="23" t="e">
        <f>VLOOKUP(A943,Revisión!$A$2:$L$703,6,FALSE)</f>
        <v>#N/A</v>
      </c>
      <c r="I943" s="4" t="e">
        <f>VLOOKUP(A943,Revisión!$A$2:$L$703,7,FALSE)</f>
        <v>#N/A</v>
      </c>
      <c r="J943" s="4" t="e">
        <f>VLOOKUP(A943,Revisión!$A$2:$L$703,8,FALSE)</f>
        <v>#N/A</v>
      </c>
      <c r="K943" s="4" t="e">
        <f>VLOOKUP(A943,Revisión!$A$2:$L$703,9,FALSE)</f>
        <v>#N/A</v>
      </c>
      <c r="L943" s="4" t="e">
        <f>VLOOKUP(A943,Revisión!$A$2:$L$703,10,FALSE)</f>
        <v>#N/A</v>
      </c>
      <c r="M943" s="18" t="e">
        <f>VLOOKUP(A943,Revisión!$A$2:$L$703,11,FALSE)</f>
        <v>#N/A</v>
      </c>
      <c r="N943" s="30" t="str">
        <f>IF(E943="Coinciden",D943,IF(E943="Revisar",VLOOKUP(A943,Revisión!$A$2:$L$703,12,FALSE),""))</f>
        <v>Gentianella corymbifera</v>
      </c>
    </row>
    <row r="944" spans="1:14" x14ac:dyDescent="0.3">
      <c r="A944" t="s">
        <v>1948</v>
      </c>
      <c r="D944" t="s">
        <v>1949</v>
      </c>
      <c r="E944" t="s">
        <v>8</v>
      </c>
      <c r="F944" t="s">
        <v>9</v>
      </c>
      <c r="H944" s="23" t="str">
        <f>VLOOKUP(A944,Revisión!$A$2:$L$703,6,FALSE)</f>
        <v>Gentiana pubigera subsp. pubigera</v>
      </c>
      <c r="I944" s="4" t="str">
        <f>VLOOKUP(A944,Revisión!$A$2:$L$703,7,FALSE)</f>
        <v>Gentiana saponaria</v>
      </c>
      <c r="J944" s="4" t="str">
        <f>VLOOKUP(A944,Revisión!$A$2:$L$703,8,FALSE)</f>
        <v>Gentiana pubigera </v>
      </c>
      <c r="K944" s="4" t="str">
        <f>VLOOKUP(A944,Revisión!$A$2:$L$703,9,FALSE)</f>
        <v>Gentiana saponaria</v>
      </c>
      <c r="L944" s="4" t="str">
        <f>VLOOKUP(A944,Revisión!$A$2:$L$703,10,FALSE)</f>
        <v>Gentiana pubigera subsp. pubigera</v>
      </c>
      <c r="M944" s="18">
        <f>VLOOKUP(A944,Revisión!$A$2:$L$703,11,FALSE)</f>
        <v>3</v>
      </c>
      <c r="N944" s="30" t="str">
        <f>IF(E944="Coinciden",D944,IF(E944="Revisar",VLOOKUP(A944,Revisión!$A$2:$L$703,12,FALSE),""))</f>
        <v>Gentiana pubigera </v>
      </c>
    </row>
    <row r="945" spans="1:14" x14ac:dyDescent="0.3">
      <c r="A945" t="s">
        <v>1950</v>
      </c>
      <c r="B945" t="s">
        <v>1951</v>
      </c>
      <c r="C945" t="s">
        <v>1951</v>
      </c>
      <c r="D945" t="s">
        <v>1951</v>
      </c>
      <c r="E945" t="s">
        <v>18</v>
      </c>
      <c r="F945" t="s">
        <v>19</v>
      </c>
      <c r="H945" s="23" t="e">
        <f>VLOOKUP(A945,Revisión!$A$2:$L$703,6,FALSE)</f>
        <v>#N/A</v>
      </c>
      <c r="I945" s="4" t="e">
        <f>VLOOKUP(A945,Revisión!$A$2:$L$703,7,FALSE)</f>
        <v>#N/A</v>
      </c>
      <c r="J945" s="4" t="e">
        <f>VLOOKUP(A945,Revisión!$A$2:$L$703,8,FALSE)</f>
        <v>#N/A</v>
      </c>
      <c r="K945" s="4" t="e">
        <f>VLOOKUP(A945,Revisión!$A$2:$L$703,9,FALSE)</f>
        <v>#N/A</v>
      </c>
      <c r="L945" s="4" t="e">
        <f>VLOOKUP(A945,Revisión!$A$2:$L$703,10,FALSE)</f>
        <v>#N/A</v>
      </c>
      <c r="M945" s="18" t="e">
        <f>VLOOKUP(A945,Revisión!$A$2:$L$703,11,FALSE)</f>
        <v>#N/A</v>
      </c>
      <c r="N945" s="30" t="str">
        <f>IF(E945="Coinciden",D945,IF(E945="Revisar",VLOOKUP(A945,Revisión!$A$2:$L$703,12,FALSE),""))</f>
        <v>Gentiana zollingeri</v>
      </c>
    </row>
    <row r="946" spans="1:14" x14ac:dyDescent="0.3">
      <c r="A946" t="s">
        <v>1952</v>
      </c>
      <c r="B946" t="s">
        <v>1953</v>
      </c>
      <c r="C946" t="s">
        <v>1953</v>
      </c>
      <c r="D946" t="s">
        <v>1953</v>
      </c>
      <c r="E946" t="s">
        <v>18</v>
      </c>
      <c r="F946" t="s">
        <v>19</v>
      </c>
      <c r="H946" s="23" t="e">
        <f>VLOOKUP(A946,Revisión!$A$2:$L$703,6,FALSE)</f>
        <v>#N/A</v>
      </c>
      <c r="I946" s="4" t="e">
        <f>VLOOKUP(A946,Revisión!$A$2:$L$703,7,FALSE)</f>
        <v>#N/A</v>
      </c>
      <c r="J946" s="4" t="e">
        <f>VLOOKUP(A946,Revisión!$A$2:$L$703,8,FALSE)</f>
        <v>#N/A</v>
      </c>
      <c r="K946" s="4" t="e">
        <f>VLOOKUP(A946,Revisión!$A$2:$L$703,9,FALSE)</f>
        <v>#N/A</v>
      </c>
      <c r="L946" s="4" t="e">
        <f>VLOOKUP(A946,Revisión!$A$2:$L$703,10,FALSE)</f>
        <v>#N/A</v>
      </c>
      <c r="M946" s="18" t="e">
        <f>VLOOKUP(A946,Revisión!$A$2:$L$703,11,FALSE)</f>
        <v>#N/A</v>
      </c>
      <c r="N946" s="30" t="str">
        <f>IF(E946="Coinciden",D946,IF(E946="Revisar",VLOOKUP(A946,Revisión!$A$2:$L$703,12,FALSE),""))</f>
        <v>Gentiana parryi</v>
      </c>
    </row>
    <row r="947" spans="1:14" x14ac:dyDescent="0.3">
      <c r="A947" t="s">
        <v>1954</v>
      </c>
      <c r="D947" t="s">
        <v>1955</v>
      </c>
      <c r="E947" t="s">
        <v>8</v>
      </c>
      <c r="F947" t="s">
        <v>9</v>
      </c>
      <c r="H947" s="23" t="str">
        <f>VLOOKUP(A947,Revisión!$A$2:$L$703,6,FALSE)</f>
        <v>Gentianella montana subsp. Montana</v>
      </c>
      <c r="I947" s="4" t="str">
        <f>VLOOKUP(A947,Revisión!$A$2:$L$703,7,FALSE)</f>
        <v>Gentianella montana</v>
      </c>
      <c r="J947" s="4" t="str">
        <f>VLOOKUP(A947,Revisión!$A$2:$L$703,8,FALSE)</f>
        <v>-</v>
      </c>
      <c r="K947" s="4" t="str">
        <f>VLOOKUP(A947,Revisión!$A$2:$L$703,9,FALSE)</f>
        <v>Gentianella montana subsp. Montana</v>
      </c>
      <c r="L947" s="4" t="str">
        <f>VLOOKUP(A947,Revisión!$A$2:$L$703,10,FALSE)</f>
        <v>Gentianella montana subsp. Montana</v>
      </c>
      <c r="M947" s="18">
        <f>VLOOKUP(A947,Revisión!$A$2:$L$703,11,FALSE)</f>
        <v>3</v>
      </c>
      <c r="N947" s="30" t="str">
        <f>IF(E947="Coinciden",D947,IF(E947="Revisar",VLOOKUP(A947,Revisión!$A$2:$L$703,12,FALSE),""))</f>
        <v>Gentianella montana subsp. Montana</v>
      </c>
    </row>
    <row r="948" spans="1:14" x14ac:dyDescent="0.3">
      <c r="A948" t="s">
        <v>1956</v>
      </c>
      <c r="B948" t="s">
        <v>1957</v>
      </c>
      <c r="C948" t="s">
        <v>1957</v>
      </c>
      <c r="D948" t="s">
        <v>1957</v>
      </c>
      <c r="E948" t="s">
        <v>18</v>
      </c>
      <c r="F948" t="s">
        <v>19</v>
      </c>
      <c r="H948" s="23" t="e">
        <f>VLOOKUP(A948,Revisión!$A$2:$L$703,6,FALSE)</f>
        <v>#N/A</v>
      </c>
      <c r="I948" s="4" t="e">
        <f>VLOOKUP(A948,Revisión!$A$2:$L$703,7,FALSE)</f>
        <v>#N/A</v>
      </c>
      <c r="J948" s="4" t="e">
        <f>VLOOKUP(A948,Revisión!$A$2:$L$703,8,FALSE)</f>
        <v>#N/A</v>
      </c>
      <c r="K948" s="4" t="e">
        <f>VLOOKUP(A948,Revisión!$A$2:$L$703,9,FALSE)</f>
        <v>#N/A</v>
      </c>
      <c r="L948" s="4" t="e">
        <f>VLOOKUP(A948,Revisión!$A$2:$L$703,10,FALSE)</f>
        <v>#N/A</v>
      </c>
      <c r="M948" s="18" t="e">
        <f>VLOOKUP(A948,Revisión!$A$2:$L$703,11,FALSE)</f>
        <v>#N/A</v>
      </c>
      <c r="N948" s="30" t="str">
        <f>IF(E948="Coinciden",D948,IF(E948="Revisar",VLOOKUP(A948,Revisión!$A$2:$L$703,12,FALSE),""))</f>
        <v>Gentianella diemensis</v>
      </c>
    </row>
    <row r="949" spans="1:14" x14ac:dyDescent="0.3">
      <c r="A949" t="s">
        <v>1958</v>
      </c>
      <c r="B949" t="s">
        <v>1959</v>
      </c>
      <c r="D949" t="s">
        <v>1959</v>
      </c>
      <c r="E949" t="s">
        <v>8</v>
      </c>
      <c r="F949" t="s">
        <v>34</v>
      </c>
      <c r="H949" s="23" t="str">
        <f>VLOOKUP(A949,Revisión!$A$2:$L$703,6,FALSE)</f>
        <v>Geoffroea spinosa</v>
      </c>
      <c r="I949" s="4" t="str">
        <f>VLOOKUP(A949,Revisión!$A$2:$L$703,7,FALSE)</f>
        <v>Geoffroea spinosa</v>
      </c>
      <c r="J949" s="4" t="str">
        <f>VLOOKUP(A949,Revisión!$A$2:$L$703,8,FALSE)</f>
        <v>-</v>
      </c>
      <c r="K949" s="4" t="str">
        <f>VLOOKUP(A949,Revisión!$A$2:$L$703,9,FALSE)</f>
        <v>Geoffroea spinosa</v>
      </c>
      <c r="L949" s="4" t="str">
        <f>VLOOKUP(A949,Revisión!$A$2:$L$703,10,FALSE)</f>
        <v>Geoffroea spinosa</v>
      </c>
      <c r="M949" s="18">
        <f>VLOOKUP(A949,Revisión!$A$2:$L$703,11,FALSE)</f>
        <v>4</v>
      </c>
      <c r="N949" s="30" t="str">
        <f>IF(E949="Coinciden",D949,IF(E949="Revisar",VLOOKUP(A949,Revisión!$A$2:$L$703,12,FALSE),""))</f>
        <v>Geoffroea spinosa</v>
      </c>
    </row>
    <row r="950" spans="1:14" x14ac:dyDescent="0.3">
      <c r="A950" t="s">
        <v>1960</v>
      </c>
      <c r="B950" t="s">
        <v>1961</v>
      </c>
      <c r="C950" t="s">
        <v>1961</v>
      </c>
      <c r="D950" t="s">
        <v>1961</v>
      </c>
      <c r="E950" t="s">
        <v>18</v>
      </c>
      <c r="F950" t="s">
        <v>19</v>
      </c>
      <c r="H950" s="23" t="e">
        <f>VLOOKUP(A950,Revisión!$A$2:$L$703,6,FALSE)</f>
        <v>#N/A</v>
      </c>
      <c r="I950" s="4" t="e">
        <f>VLOOKUP(A950,Revisión!$A$2:$L$703,7,FALSE)</f>
        <v>#N/A</v>
      </c>
      <c r="J950" s="4" t="e">
        <f>VLOOKUP(A950,Revisión!$A$2:$L$703,8,FALSE)</f>
        <v>#N/A</v>
      </c>
      <c r="K950" s="4" t="e">
        <f>VLOOKUP(A950,Revisión!$A$2:$L$703,9,FALSE)</f>
        <v>#N/A</v>
      </c>
      <c r="L950" s="4" t="e">
        <f>VLOOKUP(A950,Revisión!$A$2:$L$703,10,FALSE)</f>
        <v>#N/A</v>
      </c>
      <c r="M950" s="18" t="e">
        <f>VLOOKUP(A950,Revisión!$A$2:$L$703,11,FALSE)</f>
        <v>#N/A</v>
      </c>
      <c r="N950" s="30" t="str">
        <f>IF(E950="Coinciden",D950,IF(E950="Revisar",VLOOKUP(A950,Revisión!$A$2:$L$703,12,FALSE),""))</f>
        <v>Geranium shikokianum</v>
      </c>
    </row>
    <row r="951" spans="1:14" x14ac:dyDescent="0.3">
      <c r="A951" t="s">
        <v>1962</v>
      </c>
      <c r="B951" t="s">
        <v>1963</v>
      </c>
      <c r="C951" t="s">
        <v>1963</v>
      </c>
      <c r="D951" t="s">
        <v>1963</v>
      </c>
      <c r="E951" t="s">
        <v>18</v>
      </c>
      <c r="F951" t="s">
        <v>19</v>
      </c>
      <c r="H951" s="23" t="e">
        <f>VLOOKUP(A951,Revisión!$A$2:$L$703,6,FALSE)</f>
        <v>#N/A</v>
      </c>
      <c r="I951" s="4" t="e">
        <f>VLOOKUP(A951,Revisión!$A$2:$L$703,7,FALSE)</f>
        <v>#N/A</v>
      </c>
      <c r="J951" s="4" t="e">
        <f>VLOOKUP(A951,Revisión!$A$2:$L$703,8,FALSE)</f>
        <v>#N/A</v>
      </c>
      <c r="K951" s="4" t="e">
        <f>VLOOKUP(A951,Revisión!$A$2:$L$703,9,FALSE)</f>
        <v>#N/A</v>
      </c>
      <c r="L951" s="4" t="e">
        <f>VLOOKUP(A951,Revisión!$A$2:$L$703,10,FALSE)</f>
        <v>#N/A</v>
      </c>
      <c r="M951" s="18" t="e">
        <f>VLOOKUP(A951,Revisión!$A$2:$L$703,11,FALSE)</f>
        <v>#N/A</v>
      </c>
      <c r="N951" s="30" t="str">
        <f>IF(E951="Coinciden",D951,IF(E951="Revisar",VLOOKUP(A951,Revisión!$A$2:$L$703,12,FALSE),""))</f>
        <v>Geranium rotundifolium</v>
      </c>
    </row>
    <row r="952" spans="1:14" x14ac:dyDescent="0.3">
      <c r="A952" t="s">
        <v>1964</v>
      </c>
      <c r="B952" t="s">
        <v>1965</v>
      </c>
      <c r="D952" t="s">
        <v>1965</v>
      </c>
      <c r="E952" t="s">
        <v>8</v>
      </c>
      <c r="F952" t="s">
        <v>34</v>
      </c>
      <c r="H952" s="23" t="str">
        <f>VLOOKUP(A952,Revisión!$A$2:$L$703,6,FALSE)</f>
        <v>Geranium caespitosum</v>
      </c>
      <c r="I952" s="4" t="str">
        <f>VLOOKUP(A952,Revisión!$A$2:$L$703,7,FALSE)</f>
        <v>Geranium caespitosum</v>
      </c>
      <c r="J952" s="4" t="str">
        <f>VLOOKUP(A952,Revisión!$A$2:$L$703,8,FALSE)</f>
        <v>-</v>
      </c>
      <c r="K952" s="4" t="str">
        <f>VLOOKUP(A952,Revisión!$A$2:$L$703,9,FALSE)</f>
        <v>Geranium caespitosum</v>
      </c>
      <c r="L952" s="4" t="str">
        <f>VLOOKUP(A952,Revisión!$A$2:$L$703,10,FALSE)</f>
        <v>Geranium caespitosum</v>
      </c>
      <c r="M952" s="18">
        <f>VLOOKUP(A952,Revisión!$A$2:$L$703,11,FALSE)</f>
        <v>4</v>
      </c>
      <c r="N952" s="30" t="str">
        <f>IF(E952="Coinciden",D952,IF(E952="Revisar",VLOOKUP(A952,Revisión!$A$2:$L$703,12,FALSE),""))</f>
        <v>Geranium caespitosum</v>
      </c>
    </row>
    <row r="953" spans="1:14" x14ac:dyDescent="0.3">
      <c r="A953" t="s">
        <v>1966</v>
      </c>
      <c r="B953" t="s">
        <v>1967</v>
      </c>
      <c r="C953" t="s">
        <v>1967</v>
      </c>
      <c r="D953" t="s">
        <v>1967</v>
      </c>
      <c r="E953" t="s">
        <v>18</v>
      </c>
      <c r="F953" t="s">
        <v>19</v>
      </c>
      <c r="H953" s="23" t="e">
        <f>VLOOKUP(A953,Revisión!$A$2:$L$703,6,FALSE)</f>
        <v>#N/A</v>
      </c>
      <c r="I953" s="4" t="e">
        <f>VLOOKUP(A953,Revisión!$A$2:$L$703,7,FALSE)</f>
        <v>#N/A</v>
      </c>
      <c r="J953" s="4" t="e">
        <f>VLOOKUP(A953,Revisión!$A$2:$L$703,8,FALSE)</f>
        <v>#N/A</v>
      </c>
      <c r="K953" s="4" t="e">
        <f>VLOOKUP(A953,Revisión!$A$2:$L$703,9,FALSE)</f>
        <v>#N/A</v>
      </c>
      <c r="L953" s="4" t="e">
        <f>VLOOKUP(A953,Revisión!$A$2:$L$703,10,FALSE)</f>
        <v>#N/A</v>
      </c>
      <c r="M953" s="18" t="e">
        <f>VLOOKUP(A953,Revisión!$A$2:$L$703,11,FALSE)</f>
        <v>#N/A</v>
      </c>
      <c r="N953" s="30" t="str">
        <f>IF(E953="Coinciden",D953,IF(E953="Revisar",VLOOKUP(A953,Revisión!$A$2:$L$703,12,FALSE),""))</f>
        <v>Geranium richardsonii</v>
      </c>
    </row>
    <row r="954" spans="1:14" x14ac:dyDescent="0.3">
      <c r="A954" t="s">
        <v>1968</v>
      </c>
      <c r="B954" t="s">
        <v>1969</v>
      </c>
      <c r="C954" t="s">
        <v>1969</v>
      </c>
      <c r="D954" t="s">
        <v>1969</v>
      </c>
      <c r="E954" t="s">
        <v>18</v>
      </c>
      <c r="F954" t="s">
        <v>19</v>
      </c>
      <c r="H954" s="23" t="e">
        <f>VLOOKUP(A954,Revisión!$A$2:$L$703,6,FALSE)</f>
        <v>#N/A</v>
      </c>
      <c r="I954" s="4" t="e">
        <f>VLOOKUP(A954,Revisión!$A$2:$L$703,7,FALSE)</f>
        <v>#N/A</v>
      </c>
      <c r="J954" s="4" t="e">
        <f>VLOOKUP(A954,Revisión!$A$2:$L$703,8,FALSE)</f>
        <v>#N/A</v>
      </c>
      <c r="K954" s="4" t="e">
        <f>VLOOKUP(A954,Revisión!$A$2:$L$703,9,FALSE)</f>
        <v>#N/A</v>
      </c>
      <c r="L954" s="4" t="e">
        <f>VLOOKUP(A954,Revisión!$A$2:$L$703,10,FALSE)</f>
        <v>#N/A</v>
      </c>
      <c r="M954" s="18" t="e">
        <f>VLOOKUP(A954,Revisión!$A$2:$L$703,11,FALSE)</f>
        <v>#N/A</v>
      </c>
      <c r="N954" s="30" t="str">
        <f>IF(E954="Coinciden",D954,IF(E954="Revisar",VLOOKUP(A954,Revisión!$A$2:$L$703,12,FALSE),""))</f>
        <v>Geranium robertianum</v>
      </c>
    </row>
    <row r="955" spans="1:14" x14ac:dyDescent="0.3">
      <c r="A955" t="s">
        <v>1970</v>
      </c>
      <c r="D955" t="s">
        <v>1971</v>
      </c>
      <c r="E955" t="s">
        <v>8</v>
      </c>
      <c r="F955" t="s">
        <v>9</v>
      </c>
      <c r="H955" s="23" t="str">
        <f>VLOOKUP(A955,Revisión!$A$2:$L$703,6,FALSE)</f>
        <v>Pelargonium candicans</v>
      </c>
      <c r="I955" s="4" t="str">
        <f>VLOOKUP(A955,Revisión!$A$2:$L$703,7,FALSE)</f>
        <v>Pelargonium candicans</v>
      </c>
      <c r="J955" s="4" t="str">
        <f>VLOOKUP(A955,Revisión!$A$2:$L$703,8,FALSE)</f>
        <v>-</v>
      </c>
      <c r="K955" s="4" t="str">
        <f>VLOOKUP(A955,Revisión!$A$2:$L$703,9,FALSE)</f>
        <v>Pelargonium candicans</v>
      </c>
      <c r="L955" s="4" t="str">
        <f>VLOOKUP(A955,Revisión!$A$2:$L$703,10,FALSE)</f>
        <v>Pelargonium candicans</v>
      </c>
      <c r="M955" s="18">
        <f>VLOOKUP(A955,Revisión!$A$2:$L$703,11,FALSE)</f>
        <v>4</v>
      </c>
      <c r="N955" s="30" t="str">
        <f>IF(E955="Coinciden",D955,IF(E955="Revisar",VLOOKUP(A955,Revisión!$A$2:$L$703,12,FALSE),""))</f>
        <v>Pelargonium candicans</v>
      </c>
    </row>
    <row r="956" spans="1:14" x14ac:dyDescent="0.3">
      <c r="A956" t="s">
        <v>1972</v>
      </c>
      <c r="B956" t="s">
        <v>1973</v>
      </c>
      <c r="C956" t="s">
        <v>1973</v>
      </c>
      <c r="D956" t="s">
        <v>1973</v>
      </c>
      <c r="E956" t="s">
        <v>18</v>
      </c>
      <c r="F956" t="s">
        <v>19</v>
      </c>
      <c r="H956" s="23" t="e">
        <f>VLOOKUP(A956,Revisión!$A$2:$L$703,6,FALSE)</f>
        <v>#N/A</v>
      </c>
      <c r="I956" s="4" t="e">
        <f>VLOOKUP(A956,Revisión!$A$2:$L$703,7,FALSE)</f>
        <v>#N/A</v>
      </c>
      <c r="J956" s="4" t="e">
        <f>VLOOKUP(A956,Revisión!$A$2:$L$703,8,FALSE)</f>
        <v>#N/A</v>
      </c>
      <c r="K956" s="4" t="e">
        <f>VLOOKUP(A956,Revisión!$A$2:$L$703,9,FALSE)</f>
        <v>#N/A</v>
      </c>
      <c r="L956" s="4" t="e">
        <f>VLOOKUP(A956,Revisión!$A$2:$L$703,10,FALSE)</f>
        <v>#N/A</v>
      </c>
      <c r="M956" s="18" t="e">
        <f>VLOOKUP(A956,Revisión!$A$2:$L$703,11,FALSE)</f>
        <v>#N/A</v>
      </c>
      <c r="N956" s="30" t="str">
        <f>IF(E956="Coinciden",D956,IF(E956="Revisar",VLOOKUP(A956,Revisión!$A$2:$L$703,12,FALSE),""))</f>
        <v>Geranium dissectum</v>
      </c>
    </row>
    <row r="957" spans="1:14" x14ac:dyDescent="0.3">
      <c r="A957" t="s">
        <v>1974</v>
      </c>
      <c r="B957" t="s">
        <v>1975</v>
      </c>
      <c r="C957" t="s">
        <v>1975</v>
      </c>
      <c r="D957" t="s">
        <v>1975</v>
      </c>
      <c r="E957" t="s">
        <v>18</v>
      </c>
      <c r="F957" t="s">
        <v>19</v>
      </c>
      <c r="H957" s="23" t="e">
        <f>VLOOKUP(A957,Revisión!$A$2:$L$703,6,FALSE)</f>
        <v>#N/A</v>
      </c>
      <c r="I957" s="4" t="e">
        <f>VLOOKUP(A957,Revisión!$A$2:$L$703,7,FALSE)</f>
        <v>#N/A</v>
      </c>
      <c r="J957" s="4" t="e">
        <f>VLOOKUP(A957,Revisión!$A$2:$L$703,8,FALSE)</f>
        <v>#N/A</v>
      </c>
      <c r="K957" s="4" t="e">
        <f>VLOOKUP(A957,Revisión!$A$2:$L$703,9,FALSE)</f>
        <v>#N/A</v>
      </c>
      <c r="L957" s="4" t="e">
        <f>VLOOKUP(A957,Revisión!$A$2:$L$703,10,FALSE)</f>
        <v>#N/A</v>
      </c>
      <c r="M957" s="18" t="e">
        <f>VLOOKUP(A957,Revisión!$A$2:$L$703,11,FALSE)</f>
        <v>#N/A</v>
      </c>
      <c r="N957" s="30" t="str">
        <f>IF(E957="Coinciden",D957,IF(E957="Revisar",VLOOKUP(A957,Revisión!$A$2:$L$703,12,FALSE),""))</f>
        <v>Geranium nepalense</v>
      </c>
    </row>
    <row r="958" spans="1:14" x14ac:dyDescent="0.3">
      <c r="A958" t="s">
        <v>1976</v>
      </c>
      <c r="B958" t="s">
        <v>1977</v>
      </c>
      <c r="C958" t="s">
        <v>1977</v>
      </c>
      <c r="D958" t="s">
        <v>1977</v>
      </c>
      <c r="E958" t="s">
        <v>18</v>
      </c>
      <c r="F958" t="s">
        <v>19</v>
      </c>
      <c r="H958" s="23" t="e">
        <f>VLOOKUP(A958,Revisión!$A$2:$L$703,6,FALSE)</f>
        <v>#N/A</v>
      </c>
      <c r="I958" s="4" t="e">
        <f>VLOOKUP(A958,Revisión!$A$2:$L$703,7,FALSE)</f>
        <v>#N/A</v>
      </c>
      <c r="J958" s="4" t="e">
        <f>VLOOKUP(A958,Revisión!$A$2:$L$703,8,FALSE)</f>
        <v>#N/A</v>
      </c>
      <c r="K958" s="4" t="e">
        <f>VLOOKUP(A958,Revisión!$A$2:$L$703,9,FALSE)</f>
        <v>#N/A</v>
      </c>
      <c r="L958" s="4" t="e">
        <f>VLOOKUP(A958,Revisión!$A$2:$L$703,10,FALSE)</f>
        <v>#N/A</v>
      </c>
      <c r="M958" s="18" t="e">
        <f>VLOOKUP(A958,Revisión!$A$2:$L$703,11,FALSE)</f>
        <v>#N/A</v>
      </c>
      <c r="N958" s="30" t="str">
        <f>IF(E958="Coinciden",D958,IF(E958="Revisar",VLOOKUP(A958,Revisión!$A$2:$L$703,12,FALSE),""))</f>
        <v>Geranium carolinianum</v>
      </c>
    </row>
    <row r="959" spans="1:14" x14ac:dyDescent="0.3">
      <c r="A959" t="s">
        <v>1978</v>
      </c>
      <c r="D959" t="s">
        <v>1979</v>
      </c>
      <c r="E959" t="s">
        <v>8</v>
      </c>
      <c r="F959" t="s">
        <v>9</v>
      </c>
      <c r="H959" s="23" t="str">
        <f>VLOOKUP(A959,Revisión!$A$2:$L$703,6,FALSE)</f>
        <v>Geranium lamberti subsp. lamberti</v>
      </c>
      <c r="I959" s="4" t="str">
        <f>VLOOKUP(A959,Revisión!$A$2:$L$703,7,FALSE)</f>
        <v>Geranium lamberti subsp. lamberti</v>
      </c>
      <c r="J959" s="4" t="str">
        <f>VLOOKUP(A959,Revisión!$A$2:$L$703,8,FALSE)</f>
        <v>-</v>
      </c>
      <c r="K959" s="4" t="str">
        <f>VLOOKUP(A959,Revisión!$A$2:$L$703,9,FALSE)</f>
        <v>Geranium lamberti subsp. lamberti</v>
      </c>
      <c r="L959" s="4" t="str">
        <f>VLOOKUP(A959,Revisión!$A$2:$L$703,10,FALSE)</f>
        <v>Geranium platyanthum</v>
      </c>
      <c r="M959" s="18">
        <f>VLOOKUP(A959,Revisión!$A$2:$L$703,11,FALSE)</f>
        <v>3</v>
      </c>
      <c r="N959" s="30" t="str">
        <f>IF(E959="Coinciden",D959,IF(E959="Revisar",VLOOKUP(A959,Revisión!$A$2:$L$703,12,FALSE),""))</f>
        <v>Geranium lamberti subsp. lamberti</v>
      </c>
    </row>
    <row r="960" spans="1:14" x14ac:dyDescent="0.3">
      <c r="A960" t="s">
        <v>1980</v>
      </c>
      <c r="B960" t="s">
        <v>1981</v>
      </c>
      <c r="C960" t="s">
        <v>1981</v>
      </c>
      <c r="D960" t="s">
        <v>1981</v>
      </c>
      <c r="E960" t="s">
        <v>18</v>
      </c>
      <c r="F960" t="s">
        <v>19</v>
      </c>
      <c r="H960" s="23" t="e">
        <f>VLOOKUP(A960,Revisión!$A$2:$L$703,6,FALSE)</f>
        <v>#N/A</v>
      </c>
      <c r="I960" s="4" t="e">
        <f>VLOOKUP(A960,Revisión!$A$2:$L$703,7,FALSE)</f>
        <v>#N/A</v>
      </c>
      <c r="J960" s="4" t="e">
        <f>VLOOKUP(A960,Revisión!$A$2:$L$703,8,FALSE)</f>
        <v>#N/A</v>
      </c>
      <c r="K960" s="4" t="e">
        <f>VLOOKUP(A960,Revisión!$A$2:$L$703,9,FALSE)</f>
        <v>#N/A</v>
      </c>
      <c r="L960" s="4" t="e">
        <f>VLOOKUP(A960,Revisión!$A$2:$L$703,10,FALSE)</f>
        <v>#N/A</v>
      </c>
      <c r="M960" s="18" t="e">
        <f>VLOOKUP(A960,Revisión!$A$2:$L$703,11,FALSE)</f>
        <v>#N/A</v>
      </c>
      <c r="N960" s="30" t="str">
        <f>IF(E960="Coinciden",D960,IF(E960="Revisar",VLOOKUP(A960,Revisión!$A$2:$L$703,12,FALSE),""))</f>
        <v>Geranium maculatum</v>
      </c>
    </row>
    <row r="961" spans="1:14" x14ac:dyDescent="0.3">
      <c r="A961" t="s">
        <v>1982</v>
      </c>
      <c r="B961" t="s">
        <v>1983</v>
      </c>
      <c r="C961" t="s">
        <v>1983</v>
      </c>
      <c r="D961" t="s">
        <v>1983</v>
      </c>
      <c r="E961" t="s">
        <v>18</v>
      </c>
      <c r="F961" t="s">
        <v>19</v>
      </c>
      <c r="H961" s="23" t="e">
        <f>VLOOKUP(A961,Revisión!$A$2:$L$703,6,FALSE)</f>
        <v>#N/A</v>
      </c>
      <c r="I961" s="4" t="e">
        <f>VLOOKUP(A961,Revisión!$A$2:$L$703,7,FALSE)</f>
        <v>#N/A</v>
      </c>
      <c r="J961" s="4" t="e">
        <f>VLOOKUP(A961,Revisión!$A$2:$L$703,8,FALSE)</f>
        <v>#N/A</v>
      </c>
      <c r="K961" s="4" t="e">
        <f>VLOOKUP(A961,Revisión!$A$2:$L$703,9,FALSE)</f>
        <v>#N/A</v>
      </c>
      <c r="L961" s="4" t="e">
        <f>VLOOKUP(A961,Revisión!$A$2:$L$703,10,FALSE)</f>
        <v>#N/A</v>
      </c>
      <c r="M961" s="18" t="e">
        <f>VLOOKUP(A961,Revisión!$A$2:$L$703,11,FALSE)</f>
        <v>#N/A</v>
      </c>
      <c r="N961" s="30" t="str">
        <f>IF(E961="Coinciden",D961,IF(E961="Revisar",VLOOKUP(A961,Revisión!$A$2:$L$703,12,FALSE),""))</f>
        <v>Agalinis genistifolia</v>
      </c>
    </row>
    <row r="962" spans="1:14" x14ac:dyDescent="0.3">
      <c r="A962" t="s">
        <v>1984</v>
      </c>
      <c r="B962" t="s">
        <v>1985</v>
      </c>
      <c r="C962" t="s">
        <v>1985</v>
      </c>
      <c r="D962" t="s">
        <v>1985</v>
      </c>
      <c r="E962" t="s">
        <v>18</v>
      </c>
      <c r="F962" t="s">
        <v>19</v>
      </c>
      <c r="H962" s="23" t="e">
        <f>VLOOKUP(A962,Revisión!$A$2:$L$703,6,FALSE)</f>
        <v>#N/A</v>
      </c>
      <c r="I962" s="4" t="e">
        <f>VLOOKUP(A962,Revisión!$A$2:$L$703,7,FALSE)</f>
        <v>#N/A</v>
      </c>
      <c r="J962" s="4" t="e">
        <f>VLOOKUP(A962,Revisión!$A$2:$L$703,8,FALSE)</f>
        <v>#N/A</v>
      </c>
      <c r="K962" s="4" t="e">
        <f>VLOOKUP(A962,Revisión!$A$2:$L$703,9,FALSE)</f>
        <v>#N/A</v>
      </c>
      <c r="L962" s="4" t="e">
        <f>VLOOKUP(A962,Revisión!$A$2:$L$703,10,FALSE)</f>
        <v>#N/A</v>
      </c>
      <c r="M962" s="18" t="e">
        <f>VLOOKUP(A962,Revisión!$A$2:$L$703,11,FALSE)</f>
        <v>#N/A</v>
      </c>
      <c r="N962" s="30" t="str">
        <f>IF(E962="Coinciden",D962,IF(E962="Revisar",VLOOKUP(A962,Revisión!$A$2:$L$703,12,FALSE),""))</f>
        <v>Aureolaria grandiflora</v>
      </c>
    </row>
    <row r="963" spans="1:14" x14ac:dyDescent="0.3">
      <c r="A963" t="s">
        <v>1986</v>
      </c>
      <c r="C963" t="s">
        <v>1987</v>
      </c>
      <c r="D963" t="s">
        <v>1987</v>
      </c>
      <c r="E963" t="s">
        <v>8</v>
      </c>
      <c r="F963" t="s">
        <v>49</v>
      </c>
      <c r="H963" s="23" t="str">
        <f>VLOOKUP(A963,Revisión!$A$2:$L$703,6,FALSE)</f>
        <v>Agalinis purpurea</v>
      </c>
      <c r="I963" s="4" t="str">
        <f>VLOOKUP(A963,Revisión!$A$2:$L$703,7,FALSE)</f>
        <v>Agalinis purpurea</v>
      </c>
      <c r="J963" s="4" t="str">
        <f>VLOOKUP(A963,Revisión!$A$2:$L$703,8,FALSE)</f>
        <v>-</v>
      </c>
      <c r="K963" s="4" t="str">
        <f>VLOOKUP(A963,Revisión!$A$2:$L$703,9,FALSE)</f>
        <v>Agalinis purpurea</v>
      </c>
      <c r="L963" s="4" t="str">
        <f>VLOOKUP(A963,Revisión!$A$2:$L$703,10,FALSE)</f>
        <v>Agalinis purpurea</v>
      </c>
      <c r="M963" s="18">
        <f>VLOOKUP(A963,Revisión!$A$2:$L$703,11,FALSE)</f>
        <v>4</v>
      </c>
      <c r="N963" s="30" t="str">
        <f>IF(E963="Coinciden",D963,IF(E963="Revisar",VLOOKUP(A963,Revisión!$A$2:$L$703,12,FALSE),""))</f>
        <v>Agalinis purpurea</v>
      </c>
    </row>
    <row r="964" spans="1:14" x14ac:dyDescent="0.3">
      <c r="A964" t="s">
        <v>1988</v>
      </c>
      <c r="B964" t="s">
        <v>1989</v>
      </c>
      <c r="C964" t="s">
        <v>1989</v>
      </c>
      <c r="D964" t="s">
        <v>1989</v>
      </c>
      <c r="E964" t="s">
        <v>18</v>
      </c>
      <c r="F964" t="s">
        <v>19</v>
      </c>
      <c r="H964" s="23" t="e">
        <f>VLOOKUP(A964,Revisión!$A$2:$L$703,6,FALSE)</f>
        <v>#N/A</v>
      </c>
      <c r="I964" s="4" t="e">
        <f>VLOOKUP(A964,Revisión!$A$2:$L$703,7,FALSE)</f>
        <v>#N/A</v>
      </c>
      <c r="J964" s="4" t="e">
        <f>VLOOKUP(A964,Revisión!$A$2:$L$703,8,FALSE)</f>
        <v>#N/A</v>
      </c>
      <c r="K964" s="4" t="e">
        <f>VLOOKUP(A964,Revisión!$A$2:$L$703,9,FALSE)</f>
        <v>#N/A</v>
      </c>
      <c r="L964" s="4" t="e">
        <f>VLOOKUP(A964,Revisión!$A$2:$L$703,10,FALSE)</f>
        <v>#N/A</v>
      </c>
      <c r="M964" s="18" t="e">
        <f>VLOOKUP(A964,Revisión!$A$2:$L$703,11,FALSE)</f>
        <v>#N/A</v>
      </c>
      <c r="N964" s="30" t="str">
        <f>IF(E964="Coinciden",D964,IF(E964="Revisar",VLOOKUP(A964,Revisión!$A$2:$L$703,12,FALSE),""))</f>
        <v>Agalinis tenuifolia</v>
      </c>
    </row>
    <row r="965" spans="1:14" x14ac:dyDescent="0.3">
      <c r="A965" t="s">
        <v>1990</v>
      </c>
      <c r="B965" t="s">
        <v>1991</v>
      </c>
      <c r="C965" t="s">
        <v>1991</v>
      </c>
      <c r="D965" t="s">
        <v>1991</v>
      </c>
      <c r="E965" t="s">
        <v>18</v>
      </c>
      <c r="F965" t="s">
        <v>19</v>
      </c>
      <c r="H965" s="23" t="e">
        <f>VLOOKUP(A965,Revisión!$A$2:$L$703,6,FALSE)</f>
        <v>#N/A</v>
      </c>
      <c r="I965" s="4" t="e">
        <f>VLOOKUP(A965,Revisión!$A$2:$L$703,7,FALSE)</f>
        <v>#N/A</v>
      </c>
      <c r="J965" s="4" t="e">
        <f>VLOOKUP(A965,Revisión!$A$2:$L$703,8,FALSE)</f>
        <v>#N/A</v>
      </c>
      <c r="K965" s="4" t="e">
        <f>VLOOKUP(A965,Revisión!$A$2:$L$703,9,FALSE)</f>
        <v>#N/A</v>
      </c>
      <c r="L965" s="4" t="e">
        <f>VLOOKUP(A965,Revisión!$A$2:$L$703,10,FALSE)</f>
        <v>#N/A</v>
      </c>
      <c r="M965" s="18" t="e">
        <f>VLOOKUP(A965,Revisión!$A$2:$L$703,11,FALSE)</f>
        <v>#N/A</v>
      </c>
      <c r="N965" s="30" t="str">
        <f>IF(E965="Coinciden",D965,IF(E965="Revisar",VLOOKUP(A965,Revisión!$A$2:$L$703,12,FALSE),""))</f>
        <v>Agalinis auriculata</v>
      </c>
    </row>
    <row r="966" spans="1:14" x14ac:dyDescent="0.3">
      <c r="A966" t="s">
        <v>1992</v>
      </c>
      <c r="B966" t="s">
        <v>1993</v>
      </c>
      <c r="C966" t="s">
        <v>1993</v>
      </c>
      <c r="D966" t="s">
        <v>1993</v>
      </c>
      <c r="E966" t="s">
        <v>18</v>
      </c>
      <c r="F966" t="s">
        <v>19</v>
      </c>
      <c r="H966" s="23" t="e">
        <f>VLOOKUP(A966,Revisión!$A$2:$L$703,6,FALSE)</f>
        <v>#N/A</v>
      </c>
      <c r="I966" s="4" t="e">
        <f>VLOOKUP(A966,Revisión!$A$2:$L$703,7,FALSE)</f>
        <v>#N/A</v>
      </c>
      <c r="J966" s="4" t="e">
        <f>VLOOKUP(A966,Revisión!$A$2:$L$703,8,FALSE)</f>
        <v>#N/A</v>
      </c>
      <c r="K966" s="4" t="e">
        <f>VLOOKUP(A966,Revisión!$A$2:$L$703,9,FALSE)</f>
        <v>#N/A</v>
      </c>
      <c r="L966" s="4" t="e">
        <f>VLOOKUP(A966,Revisión!$A$2:$L$703,10,FALSE)</f>
        <v>#N/A</v>
      </c>
      <c r="M966" s="18" t="e">
        <f>VLOOKUP(A966,Revisión!$A$2:$L$703,11,FALSE)</f>
        <v>#N/A</v>
      </c>
      <c r="N966" s="30" t="str">
        <f>IF(E966="Coinciden",D966,IF(E966="Revisar",VLOOKUP(A966,Revisión!$A$2:$L$703,12,FALSE),""))</f>
        <v>Geum japonicum</v>
      </c>
    </row>
    <row r="967" spans="1:14" x14ac:dyDescent="0.3">
      <c r="A967" t="s">
        <v>1994</v>
      </c>
      <c r="B967" t="s">
        <v>1995</v>
      </c>
      <c r="C967" t="s">
        <v>1995</v>
      </c>
      <c r="D967" t="s">
        <v>1995</v>
      </c>
      <c r="E967" t="s">
        <v>18</v>
      </c>
      <c r="F967" t="s">
        <v>19</v>
      </c>
      <c r="H967" s="23" t="e">
        <f>VLOOKUP(A967,Revisión!$A$2:$L$703,6,FALSE)</f>
        <v>#N/A</v>
      </c>
      <c r="I967" s="4" t="e">
        <f>VLOOKUP(A967,Revisión!$A$2:$L$703,7,FALSE)</f>
        <v>#N/A</v>
      </c>
      <c r="J967" s="4" t="e">
        <f>VLOOKUP(A967,Revisión!$A$2:$L$703,8,FALSE)</f>
        <v>#N/A</v>
      </c>
      <c r="K967" s="4" t="e">
        <f>VLOOKUP(A967,Revisión!$A$2:$L$703,9,FALSE)</f>
        <v>#N/A</v>
      </c>
      <c r="L967" s="4" t="e">
        <f>VLOOKUP(A967,Revisión!$A$2:$L$703,10,FALSE)</f>
        <v>#N/A</v>
      </c>
      <c r="M967" s="18" t="e">
        <f>VLOOKUP(A967,Revisión!$A$2:$L$703,11,FALSE)</f>
        <v>#N/A</v>
      </c>
      <c r="N967" s="30" t="str">
        <f>IF(E967="Coinciden",D967,IF(E967="Revisar",VLOOKUP(A967,Revisión!$A$2:$L$703,12,FALSE),""))</f>
        <v>Geum rivale</v>
      </c>
    </row>
    <row r="968" spans="1:14" x14ac:dyDescent="0.3">
      <c r="A968" t="s">
        <v>1996</v>
      </c>
      <c r="B968" t="s">
        <v>1997</v>
      </c>
      <c r="C968" t="s">
        <v>1997</v>
      </c>
      <c r="D968" t="s">
        <v>1997</v>
      </c>
      <c r="E968" t="s">
        <v>18</v>
      </c>
      <c r="F968" t="s">
        <v>19</v>
      </c>
      <c r="H968" s="23" t="e">
        <f>VLOOKUP(A968,Revisión!$A$2:$L$703,6,FALSE)</f>
        <v>#N/A</v>
      </c>
      <c r="I968" s="4" t="e">
        <f>VLOOKUP(A968,Revisión!$A$2:$L$703,7,FALSE)</f>
        <v>#N/A</v>
      </c>
      <c r="J968" s="4" t="e">
        <f>VLOOKUP(A968,Revisión!$A$2:$L$703,8,FALSE)</f>
        <v>#N/A</v>
      </c>
      <c r="K968" s="4" t="e">
        <f>VLOOKUP(A968,Revisión!$A$2:$L$703,9,FALSE)</f>
        <v>#N/A</v>
      </c>
      <c r="L968" s="4" t="e">
        <f>VLOOKUP(A968,Revisión!$A$2:$L$703,10,FALSE)</f>
        <v>#N/A</v>
      </c>
      <c r="M968" s="18" t="e">
        <f>VLOOKUP(A968,Revisión!$A$2:$L$703,11,FALSE)</f>
        <v>#N/A</v>
      </c>
      <c r="N968" s="30" t="str">
        <f>IF(E968="Coinciden",D968,IF(E968="Revisar",VLOOKUP(A968,Revisión!$A$2:$L$703,12,FALSE),""))</f>
        <v>Geum canadense</v>
      </c>
    </row>
    <row r="969" spans="1:14" x14ac:dyDescent="0.3">
      <c r="A969" t="s">
        <v>1998</v>
      </c>
      <c r="B969" t="s">
        <v>1999</v>
      </c>
      <c r="C969" t="s">
        <v>1999</v>
      </c>
      <c r="D969" t="s">
        <v>1999</v>
      </c>
      <c r="E969" t="s">
        <v>18</v>
      </c>
      <c r="F969" t="s">
        <v>19</v>
      </c>
      <c r="H969" s="23" t="e">
        <f>VLOOKUP(A969,Revisión!$A$2:$L$703,6,FALSE)</f>
        <v>#N/A</v>
      </c>
      <c r="I969" s="4" t="e">
        <f>VLOOKUP(A969,Revisión!$A$2:$L$703,7,FALSE)</f>
        <v>#N/A</v>
      </c>
      <c r="J969" s="4" t="e">
        <f>VLOOKUP(A969,Revisión!$A$2:$L$703,8,FALSE)</f>
        <v>#N/A</v>
      </c>
      <c r="K969" s="4" t="e">
        <f>VLOOKUP(A969,Revisión!$A$2:$L$703,9,FALSE)</f>
        <v>#N/A</v>
      </c>
      <c r="L969" s="4" t="e">
        <f>VLOOKUP(A969,Revisión!$A$2:$L$703,10,FALSE)</f>
        <v>#N/A</v>
      </c>
      <c r="M969" s="18" t="e">
        <f>VLOOKUP(A969,Revisión!$A$2:$L$703,11,FALSE)</f>
        <v>#N/A</v>
      </c>
      <c r="N969" s="30" t="str">
        <f>IF(E969="Coinciden",D969,IF(E969="Revisar",VLOOKUP(A969,Revisión!$A$2:$L$703,12,FALSE),""))</f>
        <v>Geum uniflorum</v>
      </c>
    </row>
    <row r="970" spans="1:14" x14ac:dyDescent="0.3">
      <c r="A970" t="s">
        <v>2000</v>
      </c>
      <c r="B970" t="s">
        <v>2001</v>
      </c>
      <c r="C970" t="s">
        <v>2001</v>
      </c>
      <c r="D970" t="s">
        <v>2001</v>
      </c>
      <c r="E970" t="s">
        <v>18</v>
      </c>
      <c r="F970" t="s">
        <v>19</v>
      </c>
      <c r="H970" s="23" t="e">
        <f>VLOOKUP(A970,Revisión!$A$2:$L$703,6,FALSE)</f>
        <v>#N/A</v>
      </c>
      <c r="I970" s="4" t="e">
        <f>VLOOKUP(A970,Revisión!$A$2:$L$703,7,FALSE)</f>
        <v>#N/A</v>
      </c>
      <c r="J970" s="4" t="e">
        <f>VLOOKUP(A970,Revisión!$A$2:$L$703,8,FALSE)</f>
        <v>#N/A</v>
      </c>
      <c r="K970" s="4" t="e">
        <f>VLOOKUP(A970,Revisión!$A$2:$L$703,9,FALSE)</f>
        <v>#N/A</v>
      </c>
      <c r="L970" s="4" t="e">
        <f>VLOOKUP(A970,Revisión!$A$2:$L$703,10,FALSE)</f>
        <v>#N/A</v>
      </c>
      <c r="M970" s="18" t="e">
        <f>VLOOKUP(A970,Revisión!$A$2:$L$703,11,FALSE)</f>
        <v>#N/A</v>
      </c>
      <c r="N970" s="30" t="str">
        <f>IF(E970="Coinciden",D970,IF(E970="Revisar",VLOOKUP(A970,Revisión!$A$2:$L$703,12,FALSE),""))</f>
        <v>Geum vernum</v>
      </c>
    </row>
    <row r="971" spans="1:14" x14ac:dyDescent="0.3">
      <c r="A971" t="s">
        <v>2002</v>
      </c>
      <c r="B971" t="s">
        <v>2003</v>
      </c>
      <c r="C971" t="s">
        <v>2003</v>
      </c>
      <c r="D971" t="s">
        <v>2003</v>
      </c>
      <c r="E971" t="s">
        <v>18</v>
      </c>
      <c r="F971" t="s">
        <v>19</v>
      </c>
      <c r="H971" s="23" t="e">
        <f>VLOOKUP(A971,Revisión!$A$2:$L$703,6,FALSE)</f>
        <v>#N/A</v>
      </c>
      <c r="I971" s="4" t="e">
        <f>VLOOKUP(A971,Revisión!$A$2:$L$703,7,FALSE)</f>
        <v>#N/A</v>
      </c>
      <c r="J971" s="4" t="e">
        <f>VLOOKUP(A971,Revisión!$A$2:$L$703,8,FALSE)</f>
        <v>#N/A</v>
      </c>
      <c r="K971" s="4" t="e">
        <f>VLOOKUP(A971,Revisión!$A$2:$L$703,9,FALSE)</f>
        <v>#N/A</v>
      </c>
      <c r="L971" s="4" t="e">
        <f>VLOOKUP(A971,Revisión!$A$2:$L$703,10,FALSE)</f>
        <v>#N/A</v>
      </c>
      <c r="M971" s="18" t="e">
        <f>VLOOKUP(A971,Revisión!$A$2:$L$703,11,FALSE)</f>
        <v>#N/A</v>
      </c>
      <c r="N971" s="30" t="str">
        <f>IF(E971="Coinciden",D971,IF(E971="Revisar",VLOOKUP(A971,Revisión!$A$2:$L$703,12,FALSE),""))</f>
        <v>Geum rossii</v>
      </c>
    </row>
    <row r="972" spans="1:14" x14ac:dyDescent="0.3">
      <c r="A972" t="s">
        <v>2004</v>
      </c>
      <c r="B972" t="s">
        <v>2005</v>
      </c>
      <c r="C972" t="s">
        <v>2005</v>
      </c>
      <c r="D972" t="s">
        <v>2005</v>
      </c>
      <c r="E972" t="s">
        <v>18</v>
      </c>
      <c r="F972" t="s">
        <v>19</v>
      </c>
      <c r="H972" s="23" t="e">
        <f>VLOOKUP(A972,Revisión!$A$2:$L$703,6,FALSE)</f>
        <v>#N/A</v>
      </c>
      <c r="I972" s="4" t="e">
        <f>VLOOKUP(A972,Revisión!$A$2:$L$703,7,FALSE)</f>
        <v>#N/A</v>
      </c>
      <c r="J972" s="4" t="e">
        <f>VLOOKUP(A972,Revisión!$A$2:$L$703,8,FALSE)</f>
        <v>#N/A</v>
      </c>
      <c r="K972" s="4" t="e">
        <f>VLOOKUP(A972,Revisión!$A$2:$L$703,9,FALSE)</f>
        <v>#N/A</v>
      </c>
      <c r="L972" s="4" t="e">
        <f>VLOOKUP(A972,Revisión!$A$2:$L$703,10,FALSE)</f>
        <v>#N/A</v>
      </c>
      <c r="M972" s="18" t="e">
        <f>VLOOKUP(A972,Revisión!$A$2:$L$703,11,FALSE)</f>
        <v>#N/A</v>
      </c>
      <c r="N972" s="30" t="str">
        <f>IF(E972="Coinciden",D972,IF(E972="Revisar",VLOOKUP(A972,Revisión!$A$2:$L$703,12,FALSE),""))</f>
        <v>Gevuina avellana</v>
      </c>
    </row>
    <row r="973" spans="1:14" x14ac:dyDescent="0.3">
      <c r="A973" t="s">
        <v>2006</v>
      </c>
      <c r="B973" t="s">
        <v>2007</v>
      </c>
      <c r="C973" t="s">
        <v>2008</v>
      </c>
      <c r="D973" t="s">
        <v>2008</v>
      </c>
      <c r="E973" t="s">
        <v>8</v>
      </c>
      <c r="F973" t="s">
        <v>23</v>
      </c>
      <c r="H973" s="23" t="str">
        <f>VLOOKUP(A973,Revisión!$A$2:$L$703,6,FALSE)</f>
        <v>Ipomopsis aggregata subsp. aggregata</v>
      </c>
      <c r="I973" s="4" t="str">
        <f>VLOOKUP(A973,Revisión!$A$2:$L$703,7,FALSE)</f>
        <v>Ipomopsis aggregata subsp. aggregata</v>
      </c>
      <c r="J973" s="4" t="str">
        <f>VLOOKUP(A973,Revisión!$A$2:$L$703,8,FALSE)</f>
        <v>-</v>
      </c>
      <c r="K973" s="4" t="str">
        <f>VLOOKUP(A973,Revisión!$A$2:$L$703,9,FALSE)</f>
        <v>Ipomopsis aggregata subsp. aggregata</v>
      </c>
      <c r="L973" s="4" t="str">
        <f>VLOOKUP(A973,Revisión!$A$2:$L$703,10,FALSE)</f>
        <v>Ipomopsis aggregata subsp. aggregata</v>
      </c>
      <c r="M973" s="18">
        <f>VLOOKUP(A973,Revisión!$A$2:$L$703,11,FALSE)</f>
        <v>4</v>
      </c>
      <c r="N973" s="30" t="str">
        <f>IF(E973="Coinciden",D973,IF(E973="Revisar",VLOOKUP(A973,Revisión!$A$2:$L$703,12,FALSE),""))</f>
        <v>Ipomopsis aggregata subsp. aggregata</v>
      </c>
    </row>
    <row r="974" spans="1:14" x14ac:dyDescent="0.3">
      <c r="A974" t="s">
        <v>2009</v>
      </c>
      <c r="B974" t="s">
        <v>2010</v>
      </c>
      <c r="C974" t="s">
        <v>2010</v>
      </c>
      <c r="D974" t="s">
        <v>2010</v>
      </c>
      <c r="E974" t="s">
        <v>18</v>
      </c>
      <c r="F974" t="s">
        <v>19</v>
      </c>
      <c r="H974" s="23" t="e">
        <f>VLOOKUP(A974,Revisión!$A$2:$L$703,6,FALSE)</f>
        <v>#N/A</v>
      </c>
      <c r="I974" s="4" t="e">
        <f>VLOOKUP(A974,Revisión!$A$2:$L$703,7,FALSE)</f>
        <v>#N/A</v>
      </c>
      <c r="J974" s="4" t="e">
        <f>VLOOKUP(A974,Revisión!$A$2:$L$703,8,FALSE)</f>
        <v>#N/A</v>
      </c>
      <c r="K974" s="4" t="e">
        <f>VLOOKUP(A974,Revisión!$A$2:$L$703,9,FALSE)</f>
        <v>#N/A</v>
      </c>
      <c r="L974" s="4" t="e">
        <f>VLOOKUP(A974,Revisión!$A$2:$L$703,10,FALSE)</f>
        <v>#N/A</v>
      </c>
      <c r="M974" s="18" t="e">
        <f>VLOOKUP(A974,Revisión!$A$2:$L$703,11,FALSE)</f>
        <v>#N/A</v>
      </c>
      <c r="N974" s="30" t="str">
        <f>IF(E974="Coinciden",D974,IF(E974="Revisar",VLOOKUP(A974,Revisión!$A$2:$L$703,12,FALSE),""))</f>
        <v>Gillenia stipulata</v>
      </c>
    </row>
    <row r="975" spans="1:14" x14ac:dyDescent="0.3">
      <c r="A975" s="21" t="s">
        <v>2011</v>
      </c>
      <c r="B975" s="22" t="s">
        <v>2012</v>
      </c>
      <c r="C975" s="22" t="s">
        <v>2012</v>
      </c>
      <c r="D975" s="22" t="s">
        <v>2012</v>
      </c>
      <c r="E975" s="22" t="s">
        <v>18</v>
      </c>
      <c r="F975" s="22" t="s">
        <v>19</v>
      </c>
      <c r="G975" s="22"/>
      <c r="H975" s="24" t="s">
        <v>5118</v>
      </c>
      <c r="I975" s="31" t="e">
        <f>VLOOKUP(A975,Revisión!$A$2:$L$703,7,FALSE)</f>
        <v>#N/A</v>
      </c>
      <c r="J975" s="31" t="e">
        <f>VLOOKUP(A975,Revisión!$A$2:$L$703,8,FALSE)</f>
        <v>#N/A</v>
      </c>
      <c r="K975" s="31" t="s">
        <v>5118</v>
      </c>
      <c r="L975" s="31" t="s">
        <v>5118</v>
      </c>
      <c r="M975" s="32" t="e">
        <f>VLOOKUP(A975,Revisión!$A$2:$L$703,11,FALSE)</f>
        <v>#N/A</v>
      </c>
      <c r="N975" s="30" t="str">
        <f>IF(E975="Coinciden",D975,IF(E975="Revisar",VLOOKUP(A975,Revisión!$A$2:$L$703,12,FALSE),""))</f>
        <v>Verbena dissecta</v>
      </c>
    </row>
    <row r="976" spans="1:14" x14ac:dyDescent="0.3">
      <c r="A976" t="s">
        <v>2013</v>
      </c>
      <c r="B976" t="s">
        <v>2014</v>
      </c>
      <c r="C976" t="s">
        <v>2014</v>
      </c>
      <c r="D976" t="s">
        <v>2014</v>
      </c>
      <c r="E976" t="s">
        <v>18</v>
      </c>
      <c r="F976" t="s">
        <v>19</v>
      </c>
      <c r="H976" s="23" t="e">
        <f>VLOOKUP(A976,Revisión!$A$2:$L$703,6,FALSE)</f>
        <v>#N/A</v>
      </c>
      <c r="I976" s="4" t="e">
        <f>VLOOKUP(A976,Revisión!$A$2:$L$703,7,FALSE)</f>
        <v>#N/A</v>
      </c>
      <c r="J976" s="4" t="e">
        <f>VLOOKUP(A976,Revisión!$A$2:$L$703,8,FALSE)</f>
        <v>#N/A</v>
      </c>
      <c r="K976" s="4" t="e">
        <f>VLOOKUP(A976,Revisión!$A$2:$L$703,9,FALSE)</f>
        <v>#N/A</v>
      </c>
      <c r="L976" s="4" t="e">
        <f>VLOOKUP(A976,Revisión!$A$2:$L$703,10,FALSE)</f>
        <v>#N/A</v>
      </c>
      <c r="M976" s="18" t="e">
        <f>VLOOKUP(A976,Revisión!$A$2:$L$703,11,FALSE)</f>
        <v>#N/A</v>
      </c>
      <c r="N976" s="30" t="str">
        <f>IF(E976="Coinciden",D976,IF(E976="Revisar",VLOOKUP(A976,Revisión!$A$2:$L$703,12,FALSE),""))</f>
        <v>Glechoma hederacea</v>
      </c>
    </row>
    <row r="977" spans="1:14" x14ac:dyDescent="0.3">
      <c r="A977" t="s">
        <v>2015</v>
      </c>
      <c r="B977" t="s">
        <v>2016</v>
      </c>
      <c r="C977" t="s">
        <v>2016</v>
      </c>
      <c r="D977" t="s">
        <v>2016</v>
      </c>
      <c r="E977" t="s">
        <v>18</v>
      </c>
      <c r="F977" t="s">
        <v>19</v>
      </c>
      <c r="H977" s="23" t="e">
        <f>VLOOKUP(A977,Revisión!$A$2:$L$703,6,FALSE)</f>
        <v>#N/A</v>
      </c>
      <c r="I977" s="4" t="e">
        <f>VLOOKUP(A977,Revisión!$A$2:$L$703,7,FALSE)</f>
        <v>#N/A</v>
      </c>
      <c r="J977" s="4" t="e">
        <f>VLOOKUP(A977,Revisión!$A$2:$L$703,8,FALSE)</f>
        <v>#N/A</v>
      </c>
      <c r="K977" s="4" t="e">
        <f>VLOOKUP(A977,Revisión!$A$2:$L$703,9,FALSE)</f>
        <v>#N/A</v>
      </c>
      <c r="L977" s="4" t="e">
        <f>VLOOKUP(A977,Revisión!$A$2:$L$703,10,FALSE)</f>
        <v>#N/A</v>
      </c>
      <c r="M977" s="18" t="e">
        <f>VLOOKUP(A977,Revisión!$A$2:$L$703,11,FALSE)</f>
        <v>#N/A</v>
      </c>
      <c r="N977" s="30" t="str">
        <f>IF(E977="Coinciden",D977,IF(E977="Revisar",VLOOKUP(A977,Revisión!$A$2:$L$703,12,FALSE),""))</f>
        <v>Gleditsia triacanthos</v>
      </c>
    </row>
    <row r="978" spans="1:14" x14ac:dyDescent="0.3">
      <c r="A978" t="s">
        <v>2017</v>
      </c>
      <c r="B978" t="s">
        <v>2018</v>
      </c>
      <c r="C978" t="s">
        <v>2018</v>
      </c>
      <c r="D978" t="s">
        <v>2018</v>
      </c>
      <c r="E978" t="s">
        <v>18</v>
      </c>
      <c r="F978" t="s">
        <v>19</v>
      </c>
      <c r="H978" s="23" t="e">
        <f>VLOOKUP(A978,Revisión!$A$2:$L$703,6,FALSE)</f>
        <v>#N/A</v>
      </c>
      <c r="I978" s="4" t="e">
        <f>VLOOKUP(A978,Revisión!$A$2:$L$703,7,FALSE)</f>
        <v>#N/A</v>
      </c>
      <c r="J978" s="4" t="e">
        <f>VLOOKUP(A978,Revisión!$A$2:$L$703,8,FALSE)</f>
        <v>#N/A</v>
      </c>
      <c r="K978" s="4" t="e">
        <f>VLOOKUP(A978,Revisión!$A$2:$L$703,9,FALSE)</f>
        <v>#N/A</v>
      </c>
      <c r="L978" s="4" t="e">
        <f>VLOOKUP(A978,Revisión!$A$2:$L$703,10,FALSE)</f>
        <v>#N/A</v>
      </c>
      <c r="M978" s="18" t="e">
        <f>VLOOKUP(A978,Revisión!$A$2:$L$703,11,FALSE)</f>
        <v>#N/A</v>
      </c>
      <c r="N978" s="30" t="str">
        <f>IF(E978="Coinciden",D978,IF(E978="Revisar",VLOOKUP(A978,Revisión!$A$2:$L$703,12,FALSE),""))</f>
        <v>Glionnetia sericea</v>
      </c>
    </row>
    <row r="979" spans="1:14" x14ac:dyDescent="0.3">
      <c r="A979" t="s">
        <v>2019</v>
      </c>
      <c r="B979" t="s">
        <v>2020</v>
      </c>
      <c r="C979" t="s">
        <v>2020</v>
      </c>
      <c r="D979" t="s">
        <v>2020</v>
      </c>
      <c r="E979" t="s">
        <v>18</v>
      </c>
      <c r="F979" t="s">
        <v>19</v>
      </c>
      <c r="H979" s="23" t="e">
        <f>VLOOKUP(A979,Revisión!$A$2:$L$703,6,FALSE)</f>
        <v>#N/A</v>
      </c>
      <c r="I979" s="4" t="e">
        <f>VLOOKUP(A979,Revisión!$A$2:$L$703,7,FALSE)</f>
        <v>#N/A</v>
      </c>
      <c r="J979" s="4" t="e">
        <f>VLOOKUP(A979,Revisión!$A$2:$L$703,8,FALSE)</f>
        <v>#N/A</v>
      </c>
      <c r="K979" s="4" t="e">
        <f>VLOOKUP(A979,Revisión!$A$2:$L$703,9,FALSE)</f>
        <v>#N/A</v>
      </c>
      <c r="L979" s="4" t="e">
        <f>VLOOKUP(A979,Revisión!$A$2:$L$703,10,FALSE)</f>
        <v>#N/A</v>
      </c>
      <c r="M979" s="18" t="e">
        <f>VLOOKUP(A979,Revisión!$A$2:$L$703,11,FALSE)</f>
        <v>#N/A</v>
      </c>
      <c r="N979" s="30" t="str">
        <f>IF(E979="Coinciden",D979,IF(E979="Revisar",VLOOKUP(A979,Revisión!$A$2:$L$703,12,FALSE),""))</f>
        <v>Globularia alypum</v>
      </c>
    </row>
    <row r="980" spans="1:14" x14ac:dyDescent="0.3">
      <c r="A980" t="s">
        <v>2021</v>
      </c>
      <c r="B980" t="s">
        <v>2022</v>
      </c>
      <c r="C980" t="s">
        <v>2022</v>
      </c>
      <c r="D980" t="s">
        <v>2022</v>
      </c>
      <c r="E980" t="s">
        <v>18</v>
      </c>
      <c r="F980" t="s">
        <v>19</v>
      </c>
      <c r="H980" s="23" t="e">
        <f>VLOOKUP(A980,Revisión!$A$2:$L$703,6,FALSE)</f>
        <v>#N/A</v>
      </c>
      <c r="I980" s="4" t="e">
        <f>VLOOKUP(A980,Revisión!$A$2:$L$703,7,FALSE)</f>
        <v>#N/A</v>
      </c>
      <c r="J980" s="4" t="e">
        <f>VLOOKUP(A980,Revisión!$A$2:$L$703,8,FALSE)</f>
        <v>#N/A</v>
      </c>
      <c r="K980" s="4" t="e">
        <f>VLOOKUP(A980,Revisión!$A$2:$L$703,9,FALSE)</f>
        <v>#N/A</v>
      </c>
      <c r="L980" s="4" t="e">
        <f>VLOOKUP(A980,Revisión!$A$2:$L$703,10,FALSE)</f>
        <v>#N/A</v>
      </c>
      <c r="M980" s="18" t="e">
        <f>VLOOKUP(A980,Revisión!$A$2:$L$703,11,FALSE)</f>
        <v>#N/A</v>
      </c>
      <c r="N980" s="30" t="str">
        <f>IF(E980="Coinciden",D980,IF(E980="Revisar",VLOOKUP(A980,Revisión!$A$2:$L$703,12,FALSE),""))</f>
        <v>Glochidion obovatum</v>
      </c>
    </row>
    <row r="981" spans="1:14" x14ac:dyDescent="0.3">
      <c r="A981" t="s">
        <v>2023</v>
      </c>
      <c r="B981" t="s">
        <v>2024</v>
      </c>
      <c r="C981" t="s">
        <v>2024</v>
      </c>
      <c r="D981" t="s">
        <v>2024</v>
      </c>
      <c r="E981" t="s">
        <v>18</v>
      </c>
      <c r="F981" t="s">
        <v>19</v>
      </c>
      <c r="H981" s="23" t="e">
        <f>VLOOKUP(A981,Revisión!$A$2:$L$703,6,FALSE)</f>
        <v>#N/A</v>
      </c>
      <c r="I981" s="4" t="e">
        <f>VLOOKUP(A981,Revisión!$A$2:$L$703,7,FALSE)</f>
        <v>#N/A</v>
      </c>
      <c r="J981" s="4" t="e">
        <f>VLOOKUP(A981,Revisión!$A$2:$L$703,8,FALSE)</f>
        <v>#N/A</v>
      </c>
      <c r="K981" s="4" t="e">
        <f>VLOOKUP(A981,Revisión!$A$2:$L$703,9,FALSE)</f>
        <v>#N/A</v>
      </c>
      <c r="L981" s="4" t="e">
        <f>VLOOKUP(A981,Revisión!$A$2:$L$703,10,FALSE)</f>
        <v>#N/A</v>
      </c>
      <c r="M981" s="18" t="e">
        <f>VLOOKUP(A981,Revisión!$A$2:$L$703,11,FALSE)</f>
        <v>#N/A</v>
      </c>
      <c r="N981" s="30" t="str">
        <f>IF(E981="Coinciden",D981,IF(E981="Revisar",VLOOKUP(A981,Revisión!$A$2:$L$703,12,FALSE),""))</f>
        <v>Glochidion acuminatum</v>
      </c>
    </row>
    <row r="982" spans="1:14" x14ac:dyDescent="0.3">
      <c r="A982" t="s">
        <v>2025</v>
      </c>
      <c r="B982" t="s">
        <v>2026</v>
      </c>
      <c r="C982" t="s">
        <v>2026</v>
      </c>
      <c r="D982" t="s">
        <v>2026</v>
      </c>
      <c r="E982" t="s">
        <v>18</v>
      </c>
      <c r="F982" t="s">
        <v>19</v>
      </c>
      <c r="H982" s="23" t="e">
        <f>VLOOKUP(A982,Revisión!$A$2:$L$703,6,FALSE)</f>
        <v>#N/A</v>
      </c>
      <c r="I982" s="4" t="e">
        <f>VLOOKUP(A982,Revisión!$A$2:$L$703,7,FALSE)</f>
        <v>#N/A</v>
      </c>
      <c r="J982" s="4" t="e">
        <f>VLOOKUP(A982,Revisión!$A$2:$L$703,8,FALSE)</f>
        <v>#N/A</v>
      </c>
      <c r="K982" s="4" t="e">
        <f>VLOOKUP(A982,Revisión!$A$2:$L$703,9,FALSE)</f>
        <v>#N/A</v>
      </c>
      <c r="L982" s="4" t="e">
        <f>VLOOKUP(A982,Revisión!$A$2:$L$703,10,FALSE)</f>
        <v>#N/A</v>
      </c>
      <c r="M982" s="18" t="e">
        <f>VLOOKUP(A982,Revisión!$A$2:$L$703,11,FALSE)</f>
        <v>#N/A</v>
      </c>
      <c r="N982" s="30" t="str">
        <f>IF(E982="Coinciden",D982,IF(E982="Revisar",VLOOKUP(A982,Revisión!$A$2:$L$703,12,FALSE),""))</f>
        <v>Glochidion zeylanicum</v>
      </c>
    </row>
    <row r="983" spans="1:14" x14ac:dyDescent="0.3">
      <c r="A983" t="s">
        <v>2027</v>
      </c>
      <c r="D983" t="s">
        <v>2028</v>
      </c>
      <c r="E983" t="s">
        <v>8</v>
      </c>
      <c r="F983" t="s">
        <v>9</v>
      </c>
      <c r="H983" s="23" t="str">
        <f>VLOOKUP(A983,Revisión!$A$2:$L$703,6,FALSE)</f>
        <v>Pseudognaphalium obtusifolium</v>
      </c>
      <c r="I983" s="4" t="str">
        <f>VLOOKUP(A983,Revisión!$A$2:$L$703,7,FALSE)</f>
        <v> Helichrysum nodiflorum</v>
      </c>
      <c r="J983" s="4" t="str">
        <f>VLOOKUP(A983,Revisión!$A$2:$L$703,8,FALSE)</f>
        <v>-</v>
      </c>
      <c r="K983" s="4" t="str">
        <f>VLOOKUP(A983,Revisión!$A$2:$L$703,9,FALSE)</f>
        <v>Pseudognaphalium obtusifolium</v>
      </c>
      <c r="L983" s="4" t="str">
        <f>VLOOKUP(A983,Revisión!$A$2:$L$703,10,FALSE)</f>
        <v>Pseudognaphalium obtusifolium</v>
      </c>
      <c r="M983" s="18">
        <f>VLOOKUP(A983,Revisión!$A$2:$L$703,11,FALSE)</f>
        <v>3</v>
      </c>
      <c r="N983" s="30" t="str">
        <f>IF(E983="Coinciden",D983,IF(E983="Revisar",VLOOKUP(A983,Revisión!$A$2:$L$703,12,FALSE),""))</f>
        <v>Pseudognaphalium obtusifolium</v>
      </c>
    </row>
    <row r="984" spans="1:14" x14ac:dyDescent="0.3">
      <c r="A984" t="s">
        <v>2029</v>
      </c>
      <c r="D984" t="s">
        <v>2030</v>
      </c>
      <c r="E984" t="s">
        <v>8</v>
      </c>
      <c r="F984" t="s">
        <v>9</v>
      </c>
      <c r="H984" s="23" t="str">
        <f>VLOOKUP(A984,Revisión!$A$2:$L$703,6,FALSE)</f>
        <v>Pseudognaphalium cheiranthifolium</v>
      </c>
      <c r="I984" s="4" t="str">
        <f>VLOOKUP(A984,Revisión!$A$2:$L$703,7,FALSE)</f>
        <v>Pseudognaphalium cheiranthifolium</v>
      </c>
      <c r="J984" s="4" t="str">
        <f>VLOOKUP(A984,Revisión!$A$2:$L$703,8,FALSE)</f>
        <v>-</v>
      </c>
      <c r="K984" s="4" t="str">
        <f>VLOOKUP(A984,Revisión!$A$2:$L$703,9,FALSE)</f>
        <v>Pseudognaphalium cheiranthifolium</v>
      </c>
      <c r="L984" s="4" t="str">
        <f>VLOOKUP(A984,Revisión!$A$2:$L$703,10,FALSE)</f>
        <v>Pseudognaphalium cheiranthifolium</v>
      </c>
      <c r="M984" s="18">
        <f>VLOOKUP(A984,Revisión!$A$2:$L$703,11,FALSE)</f>
        <v>4</v>
      </c>
      <c r="N984" s="30" t="str">
        <f>IF(E984="Coinciden",D984,IF(E984="Revisar",VLOOKUP(A984,Revisión!$A$2:$L$703,12,FALSE),""))</f>
        <v>Pseudognaphalium cheiranthifolium</v>
      </c>
    </row>
    <row r="985" spans="1:14" x14ac:dyDescent="0.3">
      <c r="A985" t="s">
        <v>2031</v>
      </c>
      <c r="B985" t="s">
        <v>2032</v>
      </c>
      <c r="C985" t="s">
        <v>2032</v>
      </c>
      <c r="D985" t="s">
        <v>2032</v>
      </c>
      <c r="E985" t="s">
        <v>18</v>
      </c>
      <c r="F985" t="s">
        <v>19</v>
      </c>
      <c r="H985" s="23" t="e">
        <f>VLOOKUP(A985,Revisión!$A$2:$L$703,6,FALSE)</f>
        <v>#N/A</v>
      </c>
      <c r="I985" s="4" t="e">
        <f>VLOOKUP(A985,Revisión!$A$2:$L$703,7,FALSE)</f>
        <v>#N/A</v>
      </c>
      <c r="J985" s="4" t="e">
        <f>VLOOKUP(A985,Revisión!$A$2:$L$703,8,FALSE)</f>
        <v>#N/A</v>
      </c>
      <c r="K985" s="4" t="e">
        <f>VLOOKUP(A985,Revisión!$A$2:$L$703,9,FALSE)</f>
        <v>#N/A</v>
      </c>
      <c r="L985" s="4" t="e">
        <f>VLOOKUP(A985,Revisión!$A$2:$L$703,10,FALSE)</f>
        <v>#N/A</v>
      </c>
      <c r="M985" s="18" t="e">
        <f>VLOOKUP(A985,Revisión!$A$2:$L$703,11,FALSE)</f>
        <v>#N/A</v>
      </c>
      <c r="N985" s="30" t="str">
        <f>IF(E985="Coinciden",D985,IF(E985="Revisar",VLOOKUP(A985,Revisión!$A$2:$L$703,12,FALSE),""))</f>
        <v>Gomphrena perennis</v>
      </c>
    </row>
    <row r="986" spans="1:14" x14ac:dyDescent="0.3">
      <c r="A986" t="s">
        <v>2033</v>
      </c>
      <c r="B986" t="s">
        <v>2034</v>
      </c>
      <c r="C986" t="s">
        <v>2034</v>
      </c>
      <c r="D986" t="s">
        <v>2034</v>
      </c>
      <c r="E986" t="s">
        <v>18</v>
      </c>
      <c r="F986" t="s">
        <v>19</v>
      </c>
      <c r="H986" s="23" t="e">
        <f>VLOOKUP(A986,Revisión!$A$2:$L$703,6,FALSE)</f>
        <v>#N/A</v>
      </c>
      <c r="I986" s="4" t="e">
        <f>VLOOKUP(A986,Revisión!$A$2:$L$703,7,FALSE)</f>
        <v>#N/A</v>
      </c>
      <c r="J986" s="4" t="e">
        <f>VLOOKUP(A986,Revisión!$A$2:$L$703,8,FALSE)</f>
        <v>#N/A</v>
      </c>
      <c r="K986" s="4" t="e">
        <f>VLOOKUP(A986,Revisión!$A$2:$L$703,9,FALSE)</f>
        <v>#N/A</v>
      </c>
      <c r="L986" s="4" t="e">
        <f>VLOOKUP(A986,Revisión!$A$2:$L$703,10,FALSE)</f>
        <v>#N/A</v>
      </c>
      <c r="M986" s="18" t="e">
        <f>VLOOKUP(A986,Revisión!$A$2:$L$703,11,FALSE)</f>
        <v>#N/A</v>
      </c>
      <c r="N986" s="30" t="str">
        <f>IF(E986="Coinciden",D986,IF(E986="Revisar",VLOOKUP(A986,Revisión!$A$2:$L$703,12,FALSE),""))</f>
        <v>Cynanchum laeve</v>
      </c>
    </row>
    <row r="987" spans="1:14" x14ac:dyDescent="0.3">
      <c r="A987" t="s">
        <v>2035</v>
      </c>
      <c r="B987" t="s">
        <v>2036</v>
      </c>
      <c r="C987" t="s">
        <v>2036</v>
      </c>
      <c r="D987" t="s">
        <v>2036</v>
      </c>
      <c r="E987" t="s">
        <v>18</v>
      </c>
      <c r="F987" t="s">
        <v>19</v>
      </c>
      <c r="H987" s="23" t="e">
        <f>VLOOKUP(A987,Revisión!$A$2:$L$703,6,FALSE)</f>
        <v>#N/A</v>
      </c>
      <c r="I987" s="4" t="e">
        <f>VLOOKUP(A987,Revisión!$A$2:$L$703,7,FALSE)</f>
        <v>#N/A</v>
      </c>
      <c r="J987" s="4" t="e">
        <f>VLOOKUP(A987,Revisión!$A$2:$L$703,8,FALSE)</f>
        <v>#N/A</v>
      </c>
      <c r="K987" s="4" t="e">
        <f>VLOOKUP(A987,Revisión!$A$2:$L$703,9,FALSE)</f>
        <v>#N/A</v>
      </c>
      <c r="L987" s="4" t="e">
        <f>VLOOKUP(A987,Revisión!$A$2:$L$703,10,FALSE)</f>
        <v>#N/A</v>
      </c>
      <c r="M987" s="18" t="e">
        <f>VLOOKUP(A987,Revisión!$A$2:$L$703,11,FALSE)</f>
        <v>#N/A</v>
      </c>
      <c r="N987" s="30" t="str">
        <f>IF(E987="Coinciden",D987,IF(E987="Revisar",VLOOKUP(A987,Revisión!$A$2:$L$703,12,FALSE),""))</f>
        <v>Gonzalagunia hirsuta</v>
      </c>
    </row>
    <row r="988" spans="1:14" x14ac:dyDescent="0.3">
      <c r="A988" t="s">
        <v>2037</v>
      </c>
      <c r="E988" t="s">
        <v>8</v>
      </c>
      <c r="F988" t="s">
        <v>11</v>
      </c>
      <c r="H988" s="23" t="e">
        <f>VLOOKUP(A988,Revisión!$A$2:$L$703,6,FALSE)</f>
        <v>#N/A</v>
      </c>
      <c r="I988" s="4" t="e">
        <f>VLOOKUP(A988,Revisión!$A$2:$L$703,7,FALSE)</f>
        <v>#N/A</v>
      </c>
      <c r="J988" s="4" t="e">
        <f>VLOOKUP(A988,Revisión!$A$2:$L$703,8,FALSE)</f>
        <v>#N/A</v>
      </c>
      <c r="K988" s="4" t="e">
        <f>VLOOKUP(A988,Revisión!$A$2:$L$703,9,FALSE)</f>
        <v>#N/A</v>
      </c>
      <c r="L988" s="4" t="e">
        <f>VLOOKUP(A988,Revisión!$A$2:$L$703,10,FALSE)</f>
        <v>#N/A</v>
      </c>
      <c r="M988" s="18" t="e">
        <f>VLOOKUP(A988,Revisión!$A$2:$L$703,11,FALSE)</f>
        <v>#N/A</v>
      </c>
      <c r="N988" s="30" t="e">
        <f>IF(E988="Coinciden",D988,IF(E988="Revisar",VLOOKUP(A988,Revisión!$A$2:$L$703,12,FALSE),""))</f>
        <v>#N/A</v>
      </c>
    </row>
    <row r="989" spans="1:14" x14ac:dyDescent="0.3">
      <c r="A989" t="s">
        <v>2038</v>
      </c>
      <c r="B989" t="s">
        <v>2039</v>
      </c>
      <c r="C989" t="s">
        <v>2039</v>
      </c>
      <c r="D989" t="s">
        <v>2039</v>
      </c>
      <c r="E989" t="s">
        <v>18</v>
      </c>
      <c r="F989" t="s">
        <v>19</v>
      </c>
      <c r="H989" s="23" t="e">
        <f>VLOOKUP(A989,Revisión!$A$2:$L$703,6,FALSE)</f>
        <v>#N/A</v>
      </c>
      <c r="I989" s="4" t="e">
        <f>VLOOKUP(A989,Revisión!$A$2:$L$703,7,FALSE)</f>
        <v>#N/A</v>
      </c>
      <c r="J989" s="4" t="e">
        <f>VLOOKUP(A989,Revisión!$A$2:$L$703,8,FALSE)</f>
        <v>#N/A</v>
      </c>
      <c r="K989" s="4" t="e">
        <f>VLOOKUP(A989,Revisión!$A$2:$L$703,9,FALSE)</f>
        <v>#N/A</v>
      </c>
      <c r="L989" s="4" t="e">
        <f>VLOOKUP(A989,Revisión!$A$2:$L$703,10,FALSE)</f>
        <v>#N/A</v>
      </c>
      <c r="M989" s="18" t="e">
        <f>VLOOKUP(A989,Revisión!$A$2:$L$703,11,FALSE)</f>
        <v>#N/A</v>
      </c>
      <c r="N989" s="30" t="str">
        <f>IF(E989="Coinciden",D989,IF(E989="Revisar",VLOOKUP(A989,Revisión!$A$2:$L$703,12,FALSE),""))</f>
        <v>Gossypium barbadense</v>
      </c>
    </row>
    <row r="990" spans="1:14" x14ac:dyDescent="0.3">
      <c r="A990" t="s">
        <v>2040</v>
      </c>
      <c r="B990" t="s">
        <v>2041</v>
      </c>
      <c r="C990" t="s">
        <v>2041</v>
      </c>
      <c r="D990" t="s">
        <v>2041</v>
      </c>
      <c r="E990" t="s">
        <v>18</v>
      </c>
      <c r="F990" t="s">
        <v>19</v>
      </c>
      <c r="H990" s="23" t="e">
        <f>VLOOKUP(A990,Revisión!$A$2:$L$703,6,FALSE)</f>
        <v>#N/A</v>
      </c>
      <c r="I990" s="4" t="e">
        <f>VLOOKUP(A990,Revisión!$A$2:$L$703,7,FALSE)</f>
        <v>#N/A</v>
      </c>
      <c r="J990" s="4" t="e">
        <f>VLOOKUP(A990,Revisión!$A$2:$L$703,8,FALSE)</f>
        <v>#N/A</v>
      </c>
      <c r="K990" s="4" t="e">
        <f>VLOOKUP(A990,Revisión!$A$2:$L$703,9,FALSE)</f>
        <v>#N/A</v>
      </c>
      <c r="L990" s="4" t="e">
        <f>VLOOKUP(A990,Revisión!$A$2:$L$703,10,FALSE)</f>
        <v>#N/A</v>
      </c>
      <c r="M990" s="18" t="e">
        <f>VLOOKUP(A990,Revisión!$A$2:$L$703,11,FALSE)</f>
        <v>#N/A</v>
      </c>
      <c r="N990" s="30" t="str">
        <f>IF(E990="Coinciden",D990,IF(E990="Revisar",VLOOKUP(A990,Revisión!$A$2:$L$703,12,FALSE),""))</f>
        <v>Grangeria borbonica</v>
      </c>
    </row>
    <row r="991" spans="1:14" x14ac:dyDescent="0.3">
      <c r="A991" t="s">
        <v>2042</v>
      </c>
      <c r="B991" t="s">
        <v>2043</v>
      </c>
      <c r="C991" t="s">
        <v>2043</v>
      </c>
      <c r="D991" t="s">
        <v>2043</v>
      </c>
      <c r="E991" t="s">
        <v>18</v>
      </c>
      <c r="F991" t="s">
        <v>19</v>
      </c>
      <c r="H991" s="23" t="e">
        <f>VLOOKUP(A991,Revisión!$A$2:$L$703,6,FALSE)</f>
        <v>#N/A</v>
      </c>
      <c r="I991" s="4" t="e">
        <f>VLOOKUP(A991,Revisión!$A$2:$L$703,7,FALSE)</f>
        <v>#N/A</v>
      </c>
      <c r="J991" s="4" t="e">
        <f>VLOOKUP(A991,Revisión!$A$2:$L$703,8,FALSE)</f>
        <v>#N/A</v>
      </c>
      <c r="K991" s="4" t="e">
        <f>VLOOKUP(A991,Revisión!$A$2:$L$703,9,FALSE)</f>
        <v>#N/A</v>
      </c>
      <c r="L991" s="4" t="e">
        <f>VLOOKUP(A991,Revisión!$A$2:$L$703,10,FALSE)</f>
        <v>#N/A</v>
      </c>
      <c r="M991" s="18" t="e">
        <f>VLOOKUP(A991,Revisión!$A$2:$L$703,11,FALSE)</f>
        <v>#N/A</v>
      </c>
      <c r="N991" s="30" t="str">
        <f>IF(E991="Coinciden",D991,IF(E991="Revisar",VLOOKUP(A991,Revisión!$A$2:$L$703,12,FALSE),""))</f>
        <v>Gratiola virginiana</v>
      </c>
    </row>
    <row r="992" spans="1:14" x14ac:dyDescent="0.3">
      <c r="A992" t="s">
        <v>2044</v>
      </c>
      <c r="B992" t="s">
        <v>2045</v>
      </c>
      <c r="C992" t="s">
        <v>2045</v>
      </c>
      <c r="D992" t="s">
        <v>2045</v>
      </c>
      <c r="E992" t="s">
        <v>18</v>
      </c>
      <c r="F992" t="s">
        <v>19</v>
      </c>
      <c r="H992" s="23" t="e">
        <f>VLOOKUP(A992,Revisión!$A$2:$L$703,6,FALSE)</f>
        <v>#N/A</v>
      </c>
      <c r="I992" s="4" t="e">
        <f>VLOOKUP(A992,Revisión!$A$2:$L$703,7,FALSE)</f>
        <v>#N/A</v>
      </c>
      <c r="J992" s="4" t="e">
        <f>VLOOKUP(A992,Revisión!$A$2:$L$703,8,FALSE)</f>
        <v>#N/A</v>
      </c>
      <c r="K992" s="4" t="e">
        <f>VLOOKUP(A992,Revisión!$A$2:$L$703,9,FALSE)</f>
        <v>#N/A</v>
      </c>
      <c r="L992" s="4" t="e">
        <f>VLOOKUP(A992,Revisión!$A$2:$L$703,10,FALSE)</f>
        <v>#N/A</v>
      </c>
      <c r="M992" s="18" t="e">
        <f>VLOOKUP(A992,Revisión!$A$2:$L$703,11,FALSE)</f>
        <v>#N/A</v>
      </c>
      <c r="N992" s="30" t="str">
        <f>IF(E992="Coinciden",D992,IF(E992="Revisar",VLOOKUP(A992,Revisión!$A$2:$L$703,12,FALSE),""))</f>
        <v>Grindelia chiloensis</v>
      </c>
    </row>
    <row r="993" spans="1:14" x14ac:dyDescent="0.3">
      <c r="A993" t="s">
        <v>2046</v>
      </c>
      <c r="B993" t="s">
        <v>2047</v>
      </c>
      <c r="C993" t="s">
        <v>2047</v>
      </c>
      <c r="D993" t="s">
        <v>2047</v>
      </c>
      <c r="E993" t="s">
        <v>18</v>
      </c>
      <c r="F993" t="s">
        <v>19</v>
      </c>
      <c r="H993" s="23" t="e">
        <f>VLOOKUP(A993,Revisión!$A$2:$L$703,6,FALSE)</f>
        <v>#N/A</v>
      </c>
      <c r="I993" s="4" t="e">
        <f>VLOOKUP(A993,Revisión!$A$2:$L$703,7,FALSE)</f>
        <v>#N/A</v>
      </c>
      <c r="J993" s="4" t="e">
        <f>VLOOKUP(A993,Revisión!$A$2:$L$703,8,FALSE)</f>
        <v>#N/A</v>
      </c>
      <c r="K993" s="4" t="e">
        <f>VLOOKUP(A993,Revisión!$A$2:$L$703,9,FALSE)</f>
        <v>#N/A</v>
      </c>
      <c r="L993" s="4" t="e">
        <f>VLOOKUP(A993,Revisión!$A$2:$L$703,10,FALSE)</f>
        <v>#N/A</v>
      </c>
      <c r="M993" s="18" t="e">
        <f>VLOOKUP(A993,Revisión!$A$2:$L$703,11,FALSE)</f>
        <v>#N/A</v>
      </c>
      <c r="N993" s="30" t="str">
        <f>IF(E993="Coinciden",D993,IF(E993="Revisar",VLOOKUP(A993,Revisión!$A$2:$L$703,12,FALSE),""))</f>
        <v>Grindelia buphthalmoides</v>
      </c>
    </row>
    <row r="994" spans="1:14" x14ac:dyDescent="0.3">
      <c r="A994" t="s">
        <v>2048</v>
      </c>
      <c r="C994" t="s">
        <v>2049</v>
      </c>
      <c r="D994" t="s">
        <v>2050</v>
      </c>
      <c r="E994" t="s">
        <v>8</v>
      </c>
      <c r="F994" t="s">
        <v>9</v>
      </c>
      <c r="H994" s="23" t="str">
        <f>VLOOKUP(A994,Revisión!$A$2:$L$703,6,FALSE)</f>
        <v>Guarea glabra subsp. glabra</v>
      </c>
      <c r="I994" s="4" t="str">
        <f>VLOOKUP(A994,Revisión!$A$2:$L$703,7,FALSE)</f>
        <v>Guarea glabra </v>
      </c>
      <c r="J994" s="4" t="str">
        <f>VLOOKUP(A994,Revisión!$A$2:$L$703,8,FALSE)</f>
        <v>-</v>
      </c>
      <c r="K994" s="4" t="str">
        <f>VLOOKUP(A994,Revisión!$A$2:$L$703,9,FALSE)</f>
        <v>Guarea glabra subsp. glabra</v>
      </c>
      <c r="L994" s="4" t="str">
        <f>VLOOKUP(A994,Revisión!$A$2:$L$703,10,FALSE)</f>
        <v>Guarea glabra</v>
      </c>
      <c r="M994" s="18">
        <f>VLOOKUP(A994,Revisión!$A$2:$L$703,11,FALSE)</f>
        <v>4</v>
      </c>
      <c r="N994" s="30" t="str">
        <f>IF(E994="Coinciden",D994,IF(E994="Revisar",VLOOKUP(A994,Revisión!$A$2:$L$703,12,FALSE),""))</f>
        <v>Guarea glabra</v>
      </c>
    </row>
    <row r="995" spans="1:14" x14ac:dyDescent="0.3">
      <c r="A995" t="s">
        <v>2051</v>
      </c>
      <c r="B995" t="s">
        <v>2052</v>
      </c>
      <c r="C995" t="s">
        <v>2052</v>
      </c>
      <c r="D995" t="s">
        <v>2052</v>
      </c>
      <c r="E995" t="s">
        <v>18</v>
      </c>
      <c r="F995" t="s">
        <v>19</v>
      </c>
      <c r="H995" s="23" t="e">
        <f>VLOOKUP(A995,Revisión!$A$2:$L$703,6,FALSE)</f>
        <v>#N/A</v>
      </c>
      <c r="I995" s="4" t="e">
        <f>VLOOKUP(A995,Revisión!$A$2:$L$703,7,FALSE)</f>
        <v>#N/A</v>
      </c>
      <c r="J995" s="4" t="e">
        <f>VLOOKUP(A995,Revisión!$A$2:$L$703,8,FALSE)</f>
        <v>#N/A</v>
      </c>
      <c r="K995" s="4" t="e">
        <f>VLOOKUP(A995,Revisión!$A$2:$L$703,9,FALSE)</f>
        <v>#N/A</v>
      </c>
      <c r="L995" s="4" t="e">
        <f>VLOOKUP(A995,Revisión!$A$2:$L$703,10,FALSE)</f>
        <v>#N/A</v>
      </c>
      <c r="M995" s="18" t="e">
        <f>VLOOKUP(A995,Revisión!$A$2:$L$703,11,FALSE)</f>
        <v>#N/A</v>
      </c>
      <c r="N995" s="30" t="str">
        <f>IF(E995="Coinciden",D995,IF(E995="Revisar",VLOOKUP(A995,Revisión!$A$2:$L$703,12,FALSE),""))</f>
        <v>Guazuma ulmifolia</v>
      </c>
    </row>
    <row r="996" spans="1:14" x14ac:dyDescent="0.3">
      <c r="A996" t="s">
        <v>2053</v>
      </c>
      <c r="B996" t="s">
        <v>2054</v>
      </c>
      <c r="C996" t="s">
        <v>2054</v>
      </c>
      <c r="D996" t="s">
        <v>2054</v>
      </c>
      <c r="E996" t="s">
        <v>18</v>
      </c>
      <c r="F996" t="s">
        <v>19</v>
      </c>
      <c r="H996" s="23" t="e">
        <f>VLOOKUP(A996,Revisión!$A$2:$L$703,6,FALSE)</f>
        <v>#N/A</v>
      </c>
      <c r="I996" s="4" t="e">
        <f>VLOOKUP(A996,Revisión!$A$2:$L$703,7,FALSE)</f>
        <v>#N/A</v>
      </c>
      <c r="J996" s="4" t="e">
        <f>VLOOKUP(A996,Revisión!$A$2:$L$703,8,FALSE)</f>
        <v>#N/A</v>
      </c>
      <c r="K996" s="4" t="e">
        <f>VLOOKUP(A996,Revisión!$A$2:$L$703,9,FALSE)</f>
        <v>#N/A</v>
      </c>
      <c r="L996" s="4" t="e">
        <f>VLOOKUP(A996,Revisión!$A$2:$L$703,10,FALSE)</f>
        <v>#N/A</v>
      </c>
      <c r="M996" s="18" t="e">
        <f>VLOOKUP(A996,Revisión!$A$2:$L$703,11,FALSE)</f>
        <v>#N/A</v>
      </c>
      <c r="N996" s="30" t="str">
        <f>IF(E996="Coinciden",D996,IF(E996="Revisar",VLOOKUP(A996,Revisión!$A$2:$L$703,12,FALSE),""))</f>
        <v>Guettarda scabra</v>
      </c>
    </row>
    <row r="997" spans="1:14" x14ac:dyDescent="0.3">
      <c r="A997" t="s">
        <v>2055</v>
      </c>
      <c r="B997" t="s">
        <v>2056</v>
      </c>
      <c r="C997" t="s">
        <v>2056</v>
      </c>
      <c r="D997" t="s">
        <v>2056</v>
      </c>
      <c r="E997" t="s">
        <v>18</v>
      </c>
      <c r="F997" t="s">
        <v>19</v>
      </c>
      <c r="H997" s="23" t="e">
        <f>VLOOKUP(A997,Revisión!$A$2:$L$703,6,FALSE)</f>
        <v>#N/A</v>
      </c>
      <c r="I997" s="4" t="e">
        <f>VLOOKUP(A997,Revisión!$A$2:$L$703,7,FALSE)</f>
        <v>#N/A</v>
      </c>
      <c r="J997" s="4" t="e">
        <f>VLOOKUP(A997,Revisión!$A$2:$L$703,8,FALSE)</f>
        <v>#N/A</v>
      </c>
      <c r="K997" s="4" t="e">
        <f>VLOOKUP(A997,Revisión!$A$2:$L$703,9,FALSE)</f>
        <v>#N/A</v>
      </c>
      <c r="L997" s="4" t="e">
        <f>VLOOKUP(A997,Revisión!$A$2:$L$703,10,FALSE)</f>
        <v>#N/A</v>
      </c>
      <c r="M997" s="18" t="e">
        <f>VLOOKUP(A997,Revisión!$A$2:$L$703,11,FALSE)</f>
        <v>#N/A</v>
      </c>
      <c r="N997" s="30" t="str">
        <f>IF(E997="Coinciden",D997,IF(E997="Revisar",VLOOKUP(A997,Revisión!$A$2:$L$703,12,FALSE),""))</f>
        <v>Gymnadenia conopsea</v>
      </c>
    </row>
    <row r="998" spans="1:14" x14ac:dyDescent="0.3">
      <c r="A998" t="s">
        <v>2057</v>
      </c>
      <c r="B998" t="s">
        <v>2058</v>
      </c>
      <c r="C998" t="s">
        <v>2058</v>
      </c>
      <c r="D998" t="s">
        <v>2058</v>
      </c>
      <c r="E998" t="s">
        <v>18</v>
      </c>
      <c r="F998" t="s">
        <v>19</v>
      </c>
      <c r="H998" s="23" t="e">
        <f>VLOOKUP(A998,Revisión!$A$2:$L$703,6,FALSE)</f>
        <v>#N/A</v>
      </c>
      <c r="I998" s="4" t="e">
        <f>VLOOKUP(A998,Revisión!$A$2:$L$703,7,FALSE)</f>
        <v>#N/A</v>
      </c>
      <c r="J998" s="4" t="e">
        <f>VLOOKUP(A998,Revisión!$A$2:$L$703,8,FALSE)</f>
        <v>#N/A</v>
      </c>
      <c r="K998" s="4" t="e">
        <f>VLOOKUP(A998,Revisión!$A$2:$L$703,9,FALSE)</f>
        <v>#N/A</v>
      </c>
      <c r="L998" s="4" t="e">
        <f>VLOOKUP(A998,Revisión!$A$2:$L$703,10,FALSE)</f>
        <v>#N/A</v>
      </c>
      <c r="M998" s="18" t="e">
        <f>VLOOKUP(A998,Revisión!$A$2:$L$703,11,FALSE)</f>
        <v>#N/A</v>
      </c>
      <c r="N998" s="30" t="str">
        <f>IF(E998="Coinciden",D998,IF(E998="Revisar",VLOOKUP(A998,Revisión!$A$2:$L$703,12,FALSE),""))</f>
        <v>Gymnocalycium reductum</v>
      </c>
    </row>
    <row r="999" spans="1:14" x14ac:dyDescent="0.3">
      <c r="A999" t="s">
        <v>2059</v>
      </c>
      <c r="B999" t="s">
        <v>2060</v>
      </c>
      <c r="C999" t="s">
        <v>2060</v>
      </c>
      <c r="E999" t="s">
        <v>8</v>
      </c>
      <c r="F999" t="s">
        <v>323</v>
      </c>
      <c r="H999" s="23" t="str">
        <f>VLOOKUP(A999,Revisión!$A$2:$L$703,6,FALSE)</f>
        <v>Gymnocladus dioicus</v>
      </c>
      <c r="I999" s="4" t="str">
        <f>VLOOKUP(A999,Revisión!$A$2:$L$703,7,FALSE)</f>
        <v>Gymnocladus dioicus</v>
      </c>
      <c r="J999" s="4" t="str">
        <f>VLOOKUP(A999,Revisión!$A$2:$L$703,8,FALSE)</f>
        <v>-</v>
      </c>
      <c r="K999" s="4" t="str">
        <f>VLOOKUP(A999,Revisión!$A$2:$L$703,9,FALSE)</f>
        <v>Gymnocladus dioicus</v>
      </c>
      <c r="L999" s="4" t="str">
        <f>VLOOKUP(A999,Revisión!$A$2:$L$703,10,FALSE)</f>
        <v>Gymnocladus dioicus</v>
      </c>
      <c r="M999" s="18">
        <f>VLOOKUP(A999,Revisión!$A$2:$L$703,11,FALSE)</f>
        <v>4</v>
      </c>
      <c r="N999" s="30" t="str">
        <f>IF(E999="Coinciden",D999,IF(E999="Revisar",VLOOKUP(A999,Revisión!$A$2:$L$703,12,FALSE),""))</f>
        <v>Gymnocladus dioicus</v>
      </c>
    </row>
    <row r="1000" spans="1:14" x14ac:dyDescent="0.3">
      <c r="A1000" t="s">
        <v>2061</v>
      </c>
      <c r="B1000" t="s">
        <v>2062</v>
      </c>
      <c r="C1000" t="s">
        <v>2062</v>
      </c>
      <c r="D1000" t="s">
        <v>2062</v>
      </c>
      <c r="E1000" t="s">
        <v>18</v>
      </c>
      <c r="F1000" t="s">
        <v>19</v>
      </c>
      <c r="H1000" s="23" t="e">
        <f>VLOOKUP(A1000,Revisión!$A$2:$L$703,6,FALSE)</f>
        <v>#N/A</v>
      </c>
      <c r="I1000" s="4" t="e">
        <f>VLOOKUP(A1000,Revisión!$A$2:$L$703,7,FALSE)</f>
        <v>#N/A</v>
      </c>
      <c r="J1000" s="4" t="e">
        <f>VLOOKUP(A1000,Revisión!$A$2:$L$703,8,FALSE)</f>
        <v>#N/A</v>
      </c>
      <c r="K1000" s="4" t="e">
        <f>VLOOKUP(A1000,Revisión!$A$2:$L$703,9,FALSE)</f>
        <v>#N/A</v>
      </c>
      <c r="L1000" s="4" t="e">
        <f>VLOOKUP(A1000,Revisión!$A$2:$L$703,10,FALSE)</f>
        <v>#N/A</v>
      </c>
      <c r="M1000" s="18" t="e">
        <f>VLOOKUP(A1000,Revisión!$A$2:$L$703,11,FALSE)</f>
        <v>#N/A</v>
      </c>
      <c r="N1000" s="30" t="str">
        <f>IF(E1000="Coinciden",D1000,IF(E1000="Revisar",VLOOKUP(A1000,Revisión!$A$2:$L$703,12,FALSE),""))</f>
        <v>Platanthera leucophaea</v>
      </c>
    </row>
    <row r="1001" spans="1:14" x14ac:dyDescent="0.3">
      <c r="A1001" t="s">
        <v>2063</v>
      </c>
      <c r="B1001" t="s">
        <v>2064</v>
      </c>
      <c r="C1001" t="s">
        <v>2064</v>
      </c>
      <c r="D1001" t="s">
        <v>2065</v>
      </c>
      <c r="E1001" t="s">
        <v>8</v>
      </c>
      <c r="F1001" t="s">
        <v>15</v>
      </c>
      <c r="H1001" s="23" t="str">
        <f>VLOOKUP(A1001,Revisión!$A$2:$L$703,6,FALSE)</f>
        <v>Zephyranthes tubispatha</v>
      </c>
      <c r="I1001" s="4" t="str">
        <f>VLOOKUP(A1001,Revisión!$A$2:$L$703,7,FALSE)</f>
        <v>Habranthus tubispatha</v>
      </c>
      <c r="J1001" s="4" t="str">
        <f>VLOOKUP(A1001,Revisión!$A$2:$L$703,8,FALSE)</f>
        <v>-</v>
      </c>
      <c r="K1001" s="4" t="str">
        <f>VLOOKUP(A1001,Revisión!$A$2:$L$703,9,FALSE)</f>
        <v>Zephyranthes tubispatha</v>
      </c>
      <c r="L1001" s="4" t="str">
        <f>VLOOKUP(A1001,Revisión!$A$2:$L$703,10,FALSE)</f>
        <v>Zephyranthes tubispatha</v>
      </c>
      <c r="M1001" s="18">
        <f>VLOOKUP(A1001,Revisión!$A$2:$L$703,11,FALSE)</f>
        <v>3</v>
      </c>
      <c r="N1001" s="30" t="str">
        <f>IF(E1001="Coinciden",D1001,IF(E1001="Revisar",VLOOKUP(A1001,Revisión!$A$2:$L$703,12,FALSE),""))</f>
        <v>Zephyranthes tubispatha</v>
      </c>
    </row>
    <row r="1002" spans="1:14" x14ac:dyDescent="0.3">
      <c r="A1002" t="s">
        <v>2066</v>
      </c>
      <c r="B1002" t="s">
        <v>2067</v>
      </c>
      <c r="C1002" t="s">
        <v>2067</v>
      </c>
      <c r="D1002" t="s">
        <v>2068</v>
      </c>
      <c r="E1002" t="s">
        <v>8</v>
      </c>
      <c r="F1002" t="s">
        <v>15</v>
      </c>
      <c r="H1002" s="23" t="str">
        <f>VLOOKUP(A1002,Revisión!$A$2:$L$703,6,FALSE)</f>
        <v>Zephyranthes gracilifolia</v>
      </c>
      <c r="I1002" s="4" t="str">
        <f>VLOOKUP(A1002,Revisión!$A$2:$L$703,7,FALSE)</f>
        <v>Habranthus gracilifolia</v>
      </c>
      <c r="J1002" s="4" t="str">
        <f>VLOOKUP(A1002,Revisión!$A$2:$L$703,8,FALSE)</f>
        <v>-</v>
      </c>
      <c r="K1002" s="4" t="str">
        <f>VLOOKUP(A1002,Revisión!$A$2:$L$703,9,FALSE)</f>
        <v>Zephyranthes gracilifolia</v>
      </c>
      <c r="L1002" s="4" t="str">
        <f>VLOOKUP(A1002,Revisión!$A$2:$L$703,10,FALSE)</f>
        <v>Zephyranthes gracilifolia</v>
      </c>
      <c r="M1002" s="18">
        <f>VLOOKUP(A1002,Revisión!$A$2:$L$703,11,FALSE)</f>
        <v>3</v>
      </c>
      <c r="N1002" s="30" t="str">
        <f>IF(E1002="Coinciden",D1002,IF(E1002="Revisar",VLOOKUP(A1002,Revisión!$A$2:$L$703,12,FALSE),""))</f>
        <v>Zephyranthes gracilifolia</v>
      </c>
    </row>
    <row r="1003" spans="1:14" x14ac:dyDescent="0.3">
      <c r="A1003" t="s">
        <v>2069</v>
      </c>
      <c r="B1003" t="s">
        <v>2070</v>
      </c>
      <c r="C1003" t="s">
        <v>2071</v>
      </c>
      <c r="D1003" t="s">
        <v>2071</v>
      </c>
      <c r="E1003" t="s">
        <v>8</v>
      </c>
      <c r="F1003" t="s">
        <v>23</v>
      </c>
      <c r="H1003" s="23" t="str">
        <f>VLOOKUP(A1003,Revisión!$A$2:$L$703,6,FALSE)</f>
        <v>Cistus calycinus</v>
      </c>
      <c r="I1003" s="4" t="str">
        <f>VLOOKUP(A1003,Revisión!$A$2:$L$703,7,FALSE)</f>
        <v>Cistus calycinus</v>
      </c>
      <c r="J1003" s="4" t="str">
        <f>VLOOKUP(A1003,Revisión!$A$2:$L$703,8,FALSE)</f>
        <v>-</v>
      </c>
      <c r="K1003" s="4" t="str">
        <f>VLOOKUP(A1003,Revisión!$A$2:$L$703,9,FALSE)</f>
        <v>Cistus calycinus</v>
      </c>
      <c r="L1003" s="4" t="str">
        <f>VLOOKUP(A1003,Revisión!$A$2:$L$703,10,FALSE)</f>
        <v>Cistus calycinus</v>
      </c>
      <c r="M1003" s="18">
        <f>VLOOKUP(A1003,Revisión!$A$2:$L$703,11,FALSE)</f>
        <v>4</v>
      </c>
      <c r="N1003" s="30" t="str">
        <f>IF(E1003="Coinciden",D1003,IF(E1003="Revisar",VLOOKUP(A1003,Revisión!$A$2:$L$703,12,FALSE),""))</f>
        <v>Cistus calycinus</v>
      </c>
    </row>
    <row r="1004" spans="1:14" x14ac:dyDescent="0.3">
      <c r="A1004" t="s">
        <v>2072</v>
      </c>
      <c r="B1004" t="s">
        <v>2073</v>
      </c>
      <c r="C1004" t="s">
        <v>2074</v>
      </c>
      <c r="D1004" t="s">
        <v>2074</v>
      </c>
      <c r="E1004" t="s">
        <v>8</v>
      </c>
      <c r="F1004" t="s">
        <v>23</v>
      </c>
      <c r="H1004" s="23" t="str">
        <f>VLOOKUP(A1004,Revisión!$A$2:$L$703,6,FALSE)</f>
        <v>Cistus halimifolius subsp. halimifolius</v>
      </c>
      <c r="I1004" s="4" t="str">
        <f>VLOOKUP(A1004,Revisión!$A$2:$L$703,7,FALSE)</f>
        <v>Cistus halimifolius</v>
      </c>
      <c r="J1004" s="4" t="str">
        <f>VLOOKUP(A1004,Revisión!$A$2:$L$703,8,FALSE)</f>
        <v>-</v>
      </c>
      <c r="K1004" s="4" t="str">
        <f>VLOOKUP(A1004,Revisión!$A$2:$L$703,9,FALSE)</f>
        <v>Cistus halimifolius subsp. halimifolius</v>
      </c>
      <c r="L1004" s="4" t="str">
        <f>VLOOKUP(A1004,Revisión!$A$2:$L$703,10,FALSE)</f>
        <v>Cistus halimifolius subsp. halimifolius</v>
      </c>
      <c r="M1004" s="18">
        <f>VLOOKUP(A1004,Revisión!$A$2:$L$703,11,FALSE)</f>
        <v>3</v>
      </c>
      <c r="N1004" s="30" t="str">
        <f>IF(E1004="Coinciden",D1004,IF(E1004="Revisar",VLOOKUP(A1004,Revisión!$A$2:$L$703,12,FALSE),""))</f>
        <v>Cistus halimifolius subsp. halimifolius</v>
      </c>
    </row>
    <row r="1005" spans="1:14" x14ac:dyDescent="0.3">
      <c r="A1005" t="s">
        <v>2075</v>
      </c>
      <c r="D1005" t="s">
        <v>2076</v>
      </c>
      <c r="E1005" t="s">
        <v>8</v>
      </c>
      <c r="F1005" t="s">
        <v>9</v>
      </c>
      <c r="H1005" s="23" t="str">
        <f>VLOOKUP(A1005,Revisión!$A$2:$L$703,6,FALSE)</f>
        <v>Noticastrum sericeum</v>
      </c>
      <c r="I1005" s="4" t="str">
        <f>VLOOKUP(A1005,Revisión!$A$2:$L$703,7,FALSE)</f>
        <v>Noticastrum sericeum</v>
      </c>
      <c r="J1005" s="4" t="str">
        <f>VLOOKUP(A1005,Revisión!$A$2:$L$703,8,FALSE)</f>
        <v>-</v>
      </c>
      <c r="K1005" s="4" t="str">
        <f>VLOOKUP(A1005,Revisión!$A$2:$L$703,9,FALSE)</f>
        <v>Noticastrum sericeum</v>
      </c>
      <c r="L1005" s="4" t="str">
        <f>VLOOKUP(A1005,Revisión!$A$2:$L$703,10,FALSE)</f>
        <v>Noticastrum sericeum</v>
      </c>
      <c r="M1005" s="18">
        <f>VLOOKUP(A1005,Revisión!$A$2:$L$703,11,FALSE)</f>
        <v>4</v>
      </c>
      <c r="N1005" s="30" t="str">
        <f>IF(E1005="Coinciden",D1005,IF(E1005="Revisar",VLOOKUP(A1005,Revisión!$A$2:$L$703,12,FALSE),""))</f>
        <v>Noticastrum sericeum</v>
      </c>
    </row>
    <row r="1006" spans="1:14" x14ac:dyDescent="0.3">
      <c r="A1006" t="s">
        <v>2077</v>
      </c>
      <c r="C1006" t="s">
        <v>2078</v>
      </c>
      <c r="D1006" t="s">
        <v>2078</v>
      </c>
      <c r="E1006" t="s">
        <v>8</v>
      </c>
      <c r="F1006" t="s">
        <v>49</v>
      </c>
      <c r="H1006" s="23" t="str">
        <f>VLOOKUP(A1006,Revisión!$A$2:$L$703,6,FALSE)</f>
        <v>Haplopappus chrysanthemifolius</v>
      </c>
      <c r="I1006" s="4" t="str">
        <f>VLOOKUP(A1006,Revisión!$A$2:$L$703,7,FALSE)</f>
        <v>Haplopappus chrysanthemifolius</v>
      </c>
      <c r="J1006" s="4" t="str">
        <f>VLOOKUP(A1006,Revisión!$A$2:$L$703,8,FALSE)</f>
        <v>-</v>
      </c>
      <c r="K1006" s="4" t="str">
        <f>VLOOKUP(A1006,Revisión!$A$2:$L$703,9,FALSE)</f>
        <v>Haplopappus chrysanthemifolius</v>
      </c>
      <c r="L1006" s="4" t="str">
        <f>VLOOKUP(A1006,Revisión!$A$2:$L$703,10,FALSE)</f>
        <v>Haplopappus chrysanthemifolius</v>
      </c>
      <c r="M1006" s="18">
        <f>VLOOKUP(A1006,Revisión!$A$2:$L$703,11,FALSE)</f>
        <v>4</v>
      </c>
      <c r="N1006" s="30" t="str">
        <f>IF(E1006="Coinciden",D1006,IF(E1006="Revisar",VLOOKUP(A1006,Revisión!$A$2:$L$703,12,FALSE),""))</f>
        <v>Haplopappus chrysanthemifolius</v>
      </c>
    </row>
    <row r="1007" spans="1:14" x14ac:dyDescent="0.3">
      <c r="A1007" t="s">
        <v>2079</v>
      </c>
      <c r="B1007" t="s">
        <v>2080</v>
      </c>
      <c r="C1007" t="s">
        <v>2080</v>
      </c>
      <c r="D1007" t="s">
        <v>2080</v>
      </c>
      <c r="E1007" t="s">
        <v>18</v>
      </c>
      <c r="F1007" t="s">
        <v>19</v>
      </c>
      <c r="H1007" s="23" t="e">
        <f>VLOOKUP(A1007,Revisión!$A$2:$L$703,6,FALSE)</f>
        <v>#N/A</v>
      </c>
      <c r="I1007" s="4" t="e">
        <f>VLOOKUP(A1007,Revisión!$A$2:$L$703,7,FALSE)</f>
        <v>#N/A</v>
      </c>
      <c r="J1007" s="4" t="e">
        <f>VLOOKUP(A1007,Revisión!$A$2:$L$703,8,FALSE)</f>
        <v>#N/A</v>
      </c>
      <c r="K1007" s="4" t="e">
        <f>VLOOKUP(A1007,Revisión!$A$2:$L$703,9,FALSE)</f>
        <v>#N/A</v>
      </c>
      <c r="L1007" s="4" t="e">
        <f>VLOOKUP(A1007,Revisión!$A$2:$L$703,10,FALSE)</f>
        <v>#N/A</v>
      </c>
      <c r="M1007" s="18" t="e">
        <f>VLOOKUP(A1007,Revisión!$A$2:$L$703,11,FALSE)</f>
        <v>#N/A</v>
      </c>
      <c r="N1007" s="30" t="str">
        <f>IF(E1007="Coinciden",D1007,IF(E1007="Revisar",VLOOKUP(A1007,Revisión!$A$2:$L$703,12,FALSE),""))</f>
        <v>Harungana madagascariensis</v>
      </c>
    </row>
    <row r="1008" spans="1:14" x14ac:dyDescent="0.3">
      <c r="A1008" t="s">
        <v>2081</v>
      </c>
      <c r="B1008" t="s">
        <v>2082</v>
      </c>
      <c r="C1008" t="s">
        <v>2082</v>
      </c>
      <c r="D1008" t="s">
        <v>2082</v>
      </c>
      <c r="E1008" t="s">
        <v>18</v>
      </c>
      <c r="F1008" t="s">
        <v>19</v>
      </c>
      <c r="H1008" s="23" t="e">
        <f>VLOOKUP(A1008,Revisión!$A$2:$L$703,6,FALSE)</f>
        <v>#N/A</v>
      </c>
      <c r="I1008" s="4" t="e">
        <f>VLOOKUP(A1008,Revisión!$A$2:$L$703,7,FALSE)</f>
        <v>#N/A</v>
      </c>
      <c r="J1008" s="4" t="e">
        <f>VLOOKUP(A1008,Revisión!$A$2:$L$703,8,FALSE)</f>
        <v>#N/A</v>
      </c>
      <c r="K1008" s="4" t="e">
        <f>VLOOKUP(A1008,Revisión!$A$2:$L$703,9,FALSE)</f>
        <v>#N/A</v>
      </c>
      <c r="L1008" s="4" t="e">
        <f>VLOOKUP(A1008,Revisión!$A$2:$L$703,10,FALSE)</f>
        <v>#N/A</v>
      </c>
      <c r="M1008" s="18" t="e">
        <f>VLOOKUP(A1008,Revisión!$A$2:$L$703,11,FALSE)</f>
        <v>#N/A</v>
      </c>
      <c r="N1008" s="30" t="str">
        <f>IF(E1008="Coinciden",D1008,IF(E1008="Revisar",VLOOKUP(A1008,Revisión!$A$2:$L$703,12,FALSE),""))</f>
        <v>Veronica odora</v>
      </c>
    </row>
    <row r="1009" spans="1:14" x14ac:dyDescent="0.3">
      <c r="A1009" t="s">
        <v>2083</v>
      </c>
      <c r="B1009" t="s">
        <v>2084</v>
      </c>
      <c r="C1009" t="s">
        <v>2084</v>
      </c>
      <c r="D1009" t="s">
        <v>2084</v>
      </c>
      <c r="E1009" t="s">
        <v>18</v>
      </c>
      <c r="F1009" t="s">
        <v>19</v>
      </c>
      <c r="H1009" s="23" t="e">
        <f>VLOOKUP(A1009,Revisión!$A$2:$L$703,6,FALSE)</f>
        <v>#N/A</v>
      </c>
      <c r="I1009" s="4" t="e">
        <f>VLOOKUP(A1009,Revisión!$A$2:$L$703,7,FALSE)</f>
        <v>#N/A</v>
      </c>
      <c r="J1009" s="4" t="e">
        <f>VLOOKUP(A1009,Revisión!$A$2:$L$703,8,FALSE)</f>
        <v>#N/A</v>
      </c>
      <c r="K1009" s="4" t="e">
        <f>VLOOKUP(A1009,Revisión!$A$2:$L$703,9,FALSE)</f>
        <v>#N/A</v>
      </c>
      <c r="L1009" s="4" t="e">
        <f>VLOOKUP(A1009,Revisión!$A$2:$L$703,10,FALSE)</f>
        <v>#N/A</v>
      </c>
      <c r="M1009" s="18" t="e">
        <f>VLOOKUP(A1009,Revisión!$A$2:$L$703,11,FALSE)</f>
        <v>#N/A</v>
      </c>
      <c r="N1009" s="30" t="str">
        <f>IF(E1009="Coinciden",D1009,IF(E1009="Revisar",VLOOKUP(A1009,Revisión!$A$2:$L$703,12,FALSE),""))</f>
        <v>Veronica salicifolia</v>
      </c>
    </row>
    <row r="1010" spans="1:14" x14ac:dyDescent="0.3">
      <c r="A1010" t="s">
        <v>2085</v>
      </c>
      <c r="B1010" t="s">
        <v>2086</v>
      </c>
      <c r="C1010" t="s">
        <v>2086</v>
      </c>
      <c r="D1010" t="s">
        <v>2086</v>
      </c>
      <c r="E1010" t="s">
        <v>18</v>
      </c>
      <c r="F1010" t="s">
        <v>19</v>
      </c>
      <c r="H1010" s="23" t="e">
        <f>VLOOKUP(A1010,Revisión!$A$2:$L$703,6,FALSE)</f>
        <v>#N/A</v>
      </c>
      <c r="I1010" s="4" t="e">
        <f>VLOOKUP(A1010,Revisión!$A$2:$L$703,7,FALSE)</f>
        <v>#N/A</v>
      </c>
      <c r="J1010" s="4" t="e">
        <f>VLOOKUP(A1010,Revisión!$A$2:$L$703,8,FALSE)</f>
        <v>#N/A</v>
      </c>
      <c r="K1010" s="4" t="e">
        <f>VLOOKUP(A1010,Revisión!$A$2:$L$703,9,FALSE)</f>
        <v>#N/A</v>
      </c>
      <c r="L1010" s="4" t="e">
        <f>VLOOKUP(A1010,Revisión!$A$2:$L$703,10,FALSE)</f>
        <v>#N/A</v>
      </c>
      <c r="M1010" s="18" t="e">
        <f>VLOOKUP(A1010,Revisión!$A$2:$L$703,11,FALSE)</f>
        <v>#N/A</v>
      </c>
      <c r="N1010" s="30" t="str">
        <f>IF(E1010="Coinciden",D1010,IF(E1010="Revisar",VLOOKUP(A1010,Revisión!$A$2:$L$703,12,FALSE),""))</f>
        <v>Veronica epacridea</v>
      </c>
    </row>
    <row r="1011" spans="1:14" x14ac:dyDescent="0.3">
      <c r="A1011" t="s">
        <v>2087</v>
      </c>
      <c r="B1011" t="s">
        <v>2088</v>
      </c>
      <c r="C1011" t="s">
        <v>2088</v>
      </c>
      <c r="D1011" t="s">
        <v>2088</v>
      </c>
      <c r="E1011" t="s">
        <v>18</v>
      </c>
      <c r="F1011" t="s">
        <v>19</v>
      </c>
      <c r="H1011" s="23" t="e">
        <f>VLOOKUP(A1011,Revisión!$A$2:$L$703,6,FALSE)</f>
        <v>#N/A</v>
      </c>
      <c r="I1011" s="4" t="e">
        <f>VLOOKUP(A1011,Revisión!$A$2:$L$703,7,FALSE)</f>
        <v>#N/A</v>
      </c>
      <c r="J1011" s="4" t="e">
        <f>VLOOKUP(A1011,Revisión!$A$2:$L$703,8,FALSE)</f>
        <v>#N/A</v>
      </c>
      <c r="K1011" s="4" t="e">
        <f>VLOOKUP(A1011,Revisión!$A$2:$L$703,9,FALSE)</f>
        <v>#N/A</v>
      </c>
      <c r="L1011" s="4" t="e">
        <f>VLOOKUP(A1011,Revisión!$A$2:$L$703,10,FALSE)</f>
        <v>#N/A</v>
      </c>
      <c r="M1011" s="18" t="e">
        <f>VLOOKUP(A1011,Revisión!$A$2:$L$703,11,FALSE)</f>
        <v>#N/A</v>
      </c>
      <c r="N1011" s="30" t="str">
        <f>IF(E1011="Coinciden",D1011,IF(E1011="Revisar",VLOOKUP(A1011,Revisión!$A$2:$L$703,12,FALSE),""))</f>
        <v>Veronica pinguifolia</v>
      </c>
    </row>
    <row r="1012" spans="1:14" x14ac:dyDescent="0.3">
      <c r="A1012" t="s">
        <v>2089</v>
      </c>
      <c r="B1012" t="s">
        <v>2090</v>
      </c>
      <c r="C1012" t="s">
        <v>2090</v>
      </c>
      <c r="D1012" t="s">
        <v>2090</v>
      </c>
      <c r="E1012" t="s">
        <v>18</v>
      </c>
      <c r="F1012" t="s">
        <v>19</v>
      </c>
      <c r="H1012" s="23" t="e">
        <f>VLOOKUP(A1012,Revisión!$A$2:$L$703,6,FALSE)</f>
        <v>#N/A</v>
      </c>
      <c r="I1012" s="4" t="e">
        <f>VLOOKUP(A1012,Revisión!$A$2:$L$703,7,FALSE)</f>
        <v>#N/A</v>
      </c>
      <c r="J1012" s="4" t="e">
        <f>VLOOKUP(A1012,Revisión!$A$2:$L$703,8,FALSE)</f>
        <v>#N/A</v>
      </c>
      <c r="K1012" s="4" t="e">
        <f>VLOOKUP(A1012,Revisión!$A$2:$L$703,9,FALSE)</f>
        <v>#N/A</v>
      </c>
      <c r="L1012" s="4" t="e">
        <f>VLOOKUP(A1012,Revisión!$A$2:$L$703,10,FALSE)</f>
        <v>#N/A</v>
      </c>
      <c r="M1012" s="18" t="e">
        <f>VLOOKUP(A1012,Revisión!$A$2:$L$703,11,FALSE)</f>
        <v>#N/A</v>
      </c>
      <c r="N1012" s="30" t="str">
        <f>IF(E1012="Coinciden",D1012,IF(E1012="Revisar",VLOOKUP(A1012,Revisión!$A$2:$L$703,12,FALSE),""))</f>
        <v>Veronica brachysiphon</v>
      </c>
    </row>
    <row r="1013" spans="1:14" x14ac:dyDescent="0.3">
      <c r="A1013" t="s">
        <v>2091</v>
      </c>
      <c r="B1013" t="s">
        <v>2092</v>
      </c>
      <c r="C1013" t="s">
        <v>2092</v>
      </c>
      <c r="D1013" t="s">
        <v>2092</v>
      </c>
      <c r="E1013" t="s">
        <v>18</v>
      </c>
      <c r="F1013" t="s">
        <v>19</v>
      </c>
      <c r="H1013" s="23" t="e">
        <f>VLOOKUP(A1013,Revisión!$A$2:$L$703,6,FALSE)</f>
        <v>#N/A</v>
      </c>
      <c r="I1013" s="4" t="e">
        <f>VLOOKUP(A1013,Revisión!$A$2:$L$703,7,FALSE)</f>
        <v>#N/A</v>
      </c>
      <c r="J1013" s="4" t="e">
        <f>VLOOKUP(A1013,Revisión!$A$2:$L$703,8,FALSE)</f>
        <v>#N/A</v>
      </c>
      <c r="K1013" s="4" t="e">
        <f>VLOOKUP(A1013,Revisión!$A$2:$L$703,9,FALSE)</f>
        <v>#N/A</v>
      </c>
      <c r="L1013" s="4" t="e">
        <f>VLOOKUP(A1013,Revisión!$A$2:$L$703,10,FALSE)</f>
        <v>#N/A</v>
      </c>
      <c r="M1013" s="18" t="e">
        <f>VLOOKUP(A1013,Revisión!$A$2:$L$703,11,FALSE)</f>
        <v>#N/A</v>
      </c>
      <c r="N1013" s="30" t="str">
        <f>IF(E1013="Coinciden",D1013,IF(E1013="Revisar",VLOOKUP(A1013,Revisión!$A$2:$L$703,12,FALSE),""))</f>
        <v>Veronica subalpina</v>
      </c>
    </row>
    <row r="1014" spans="1:14" x14ac:dyDescent="0.3">
      <c r="A1014" t="s">
        <v>2093</v>
      </c>
      <c r="B1014" t="s">
        <v>2094</v>
      </c>
      <c r="C1014" t="s">
        <v>2094</v>
      </c>
      <c r="D1014" t="s">
        <v>2094</v>
      </c>
      <c r="E1014" t="s">
        <v>18</v>
      </c>
      <c r="F1014" t="s">
        <v>19</v>
      </c>
      <c r="H1014" s="23" t="e">
        <f>VLOOKUP(A1014,Revisión!$A$2:$L$703,6,FALSE)</f>
        <v>#N/A</v>
      </c>
      <c r="I1014" s="4" t="e">
        <f>VLOOKUP(A1014,Revisión!$A$2:$L$703,7,FALSE)</f>
        <v>#N/A</v>
      </c>
      <c r="J1014" s="4" t="e">
        <f>VLOOKUP(A1014,Revisión!$A$2:$L$703,8,FALSE)</f>
        <v>#N/A</v>
      </c>
      <c r="K1014" s="4" t="e">
        <f>VLOOKUP(A1014,Revisión!$A$2:$L$703,9,FALSE)</f>
        <v>#N/A</v>
      </c>
      <c r="L1014" s="4" t="e">
        <f>VLOOKUP(A1014,Revisión!$A$2:$L$703,10,FALSE)</f>
        <v>#N/A</v>
      </c>
      <c r="M1014" s="18" t="e">
        <f>VLOOKUP(A1014,Revisión!$A$2:$L$703,11,FALSE)</f>
        <v>#N/A</v>
      </c>
      <c r="N1014" s="30" t="str">
        <f>IF(E1014="Coinciden",D1014,IF(E1014="Revisar",VLOOKUP(A1014,Revisión!$A$2:$L$703,12,FALSE),""))</f>
        <v>Hedeoma pulegioides</v>
      </c>
    </row>
    <row r="1015" spans="1:14" x14ac:dyDescent="0.3">
      <c r="A1015" t="s">
        <v>2095</v>
      </c>
      <c r="B1015" t="s">
        <v>2096</v>
      </c>
      <c r="C1015" t="s">
        <v>2096</v>
      </c>
      <c r="D1015" t="s">
        <v>2096</v>
      </c>
      <c r="E1015" t="s">
        <v>18</v>
      </c>
      <c r="F1015" t="s">
        <v>19</v>
      </c>
      <c r="H1015" s="23" t="e">
        <f>VLOOKUP(A1015,Revisión!$A$2:$L$703,6,FALSE)</f>
        <v>#N/A</v>
      </c>
      <c r="I1015" s="4" t="e">
        <f>VLOOKUP(A1015,Revisión!$A$2:$L$703,7,FALSE)</f>
        <v>#N/A</v>
      </c>
      <c r="J1015" s="4" t="e">
        <f>VLOOKUP(A1015,Revisión!$A$2:$L$703,8,FALSE)</f>
        <v>#N/A</v>
      </c>
      <c r="K1015" s="4" t="e">
        <f>VLOOKUP(A1015,Revisión!$A$2:$L$703,9,FALSE)</f>
        <v>#N/A</v>
      </c>
      <c r="L1015" s="4" t="e">
        <f>VLOOKUP(A1015,Revisión!$A$2:$L$703,10,FALSE)</f>
        <v>#N/A</v>
      </c>
      <c r="M1015" s="18" t="e">
        <f>VLOOKUP(A1015,Revisión!$A$2:$L$703,11,FALSE)</f>
        <v>#N/A</v>
      </c>
      <c r="N1015" s="30" t="str">
        <f>IF(E1015="Coinciden",D1015,IF(E1015="Revisar",VLOOKUP(A1015,Revisión!$A$2:$L$703,12,FALSE),""))</f>
        <v>Helenium autumnale</v>
      </c>
    </row>
    <row r="1016" spans="1:14" x14ac:dyDescent="0.3">
      <c r="A1016" t="s">
        <v>2097</v>
      </c>
      <c r="B1016" t="s">
        <v>2098</v>
      </c>
      <c r="C1016" t="s">
        <v>2098</v>
      </c>
      <c r="D1016" t="s">
        <v>2098</v>
      </c>
      <c r="E1016" t="s">
        <v>18</v>
      </c>
      <c r="F1016" t="s">
        <v>19</v>
      </c>
      <c r="H1016" s="23" t="e">
        <f>VLOOKUP(A1016,Revisión!$A$2:$L$703,6,FALSE)</f>
        <v>#N/A</v>
      </c>
      <c r="I1016" s="4" t="e">
        <f>VLOOKUP(A1016,Revisión!$A$2:$L$703,7,FALSE)</f>
        <v>#N/A</v>
      </c>
      <c r="J1016" s="4" t="e">
        <f>VLOOKUP(A1016,Revisión!$A$2:$L$703,8,FALSE)</f>
        <v>#N/A</v>
      </c>
      <c r="K1016" s="4" t="e">
        <f>VLOOKUP(A1016,Revisión!$A$2:$L$703,9,FALSE)</f>
        <v>#N/A</v>
      </c>
      <c r="L1016" s="4" t="e">
        <f>VLOOKUP(A1016,Revisión!$A$2:$L$703,10,FALSE)</f>
        <v>#N/A</v>
      </c>
      <c r="M1016" s="18" t="e">
        <f>VLOOKUP(A1016,Revisión!$A$2:$L$703,11,FALSE)</f>
        <v>#N/A</v>
      </c>
      <c r="N1016" s="30" t="str">
        <f>IF(E1016="Coinciden",D1016,IF(E1016="Revisar",VLOOKUP(A1016,Revisión!$A$2:$L$703,12,FALSE),""))</f>
        <v>Heliamphora heterodoxa</v>
      </c>
    </row>
    <row r="1017" spans="1:14" x14ac:dyDescent="0.3">
      <c r="A1017" t="s">
        <v>2099</v>
      </c>
      <c r="B1017" t="s">
        <v>2100</v>
      </c>
      <c r="C1017" t="s">
        <v>2101</v>
      </c>
      <c r="D1017" t="s">
        <v>2100</v>
      </c>
      <c r="E1017" t="s">
        <v>8</v>
      </c>
      <c r="F1017" t="s">
        <v>493</v>
      </c>
      <c r="H1017" s="23" t="str">
        <f>VLOOKUP(A1017,Revisión!$A$2:$L$703,6,FALSE)</f>
        <v>Crocanthemum brasiliensis</v>
      </c>
      <c r="I1017" s="4" t="str">
        <f>VLOOKUP(A1017,Revisión!$A$2:$L$703,7,FALSE)</f>
        <v>Crocanthemum brasiliensis</v>
      </c>
      <c r="J1017" s="4" t="str">
        <f>VLOOKUP(A1017,Revisión!$A$2:$L$703,8,FALSE)</f>
        <v>-</v>
      </c>
      <c r="K1017" s="4" t="str">
        <f>VLOOKUP(A1017,Revisión!$A$2:$L$703,9,FALSE)</f>
        <v>Crocanthemum brasiliensis</v>
      </c>
      <c r="L1017" s="4" t="str">
        <f>VLOOKUP(A1017,Revisión!$A$2:$L$703,10,FALSE)</f>
        <v>Crocanthemum brasiliensis</v>
      </c>
      <c r="M1017" s="18">
        <f>VLOOKUP(A1017,Revisión!$A$2:$L$703,11,FALSE)</f>
        <v>4</v>
      </c>
      <c r="N1017" s="30" t="str">
        <f>IF(E1017="Coinciden",D1017,IF(E1017="Revisar",VLOOKUP(A1017,Revisión!$A$2:$L$703,12,FALSE),""))</f>
        <v>Crocanthemum brasiliensis</v>
      </c>
    </row>
    <row r="1018" spans="1:14" x14ac:dyDescent="0.3">
      <c r="A1018" t="s">
        <v>2102</v>
      </c>
      <c r="B1018" t="s">
        <v>2103</v>
      </c>
      <c r="C1018" t="s">
        <v>2104</v>
      </c>
      <c r="D1018" t="s">
        <v>2104</v>
      </c>
      <c r="E1018" t="s">
        <v>8</v>
      </c>
      <c r="F1018" t="s">
        <v>23</v>
      </c>
      <c r="H1018" s="23" t="str">
        <f>VLOOKUP(A1018,Revisión!$A$2:$L$703,6,FALSE)</f>
        <v>Tuberaria guttata subsp. guttata</v>
      </c>
      <c r="I1018" s="4" t="str">
        <f>VLOOKUP(A1018,Revisión!$A$2:$L$703,7,FALSE)</f>
        <v>Tuberaria guttata </v>
      </c>
      <c r="J1018" s="4" t="str">
        <f>VLOOKUP(A1018,Revisión!$A$2:$L$703,8,FALSE)</f>
        <v>-</v>
      </c>
      <c r="K1018" s="4" t="str">
        <f>VLOOKUP(A1018,Revisión!$A$2:$L$703,9,FALSE)</f>
        <v>Tuberaria guttata subsp. guttata</v>
      </c>
      <c r="L1018" s="4" t="str">
        <f>VLOOKUP(A1018,Revisión!$A$2:$L$703,10,FALSE)</f>
        <v>Tuberaria guttata subsp. guttata</v>
      </c>
      <c r="M1018" s="18">
        <f>VLOOKUP(A1018,Revisión!$A$2:$L$703,11,FALSE)</f>
        <v>3</v>
      </c>
      <c r="N1018" s="30" t="str">
        <f>IF(E1018="Coinciden",D1018,IF(E1018="Revisar",VLOOKUP(A1018,Revisión!$A$2:$L$703,12,FALSE),""))</f>
        <v>Tuberaria guttata subsp. guttata</v>
      </c>
    </row>
    <row r="1019" spans="1:14" x14ac:dyDescent="0.3">
      <c r="A1019" t="s">
        <v>2105</v>
      </c>
      <c r="B1019" t="s">
        <v>2106</v>
      </c>
      <c r="D1019" t="s">
        <v>2106</v>
      </c>
      <c r="E1019" t="s">
        <v>8</v>
      </c>
      <c r="F1019" t="s">
        <v>34</v>
      </c>
      <c r="H1019" s="23" t="str">
        <f>VLOOKUP(A1019,Revisión!$A$2:$L$703,6,FALSE)</f>
        <v>Helianthemum croceum</v>
      </c>
      <c r="I1019" s="4" t="str">
        <f>VLOOKUP(A1019,Revisión!$A$2:$L$703,7,FALSE)</f>
        <v>Helianthemum croceum</v>
      </c>
      <c r="J1019" s="4" t="str">
        <f>VLOOKUP(A1019,Revisión!$A$2:$L$703,8,FALSE)</f>
        <v>-</v>
      </c>
      <c r="K1019" s="4" t="str">
        <f>VLOOKUP(A1019,Revisión!$A$2:$L$703,9,FALSE)</f>
        <v>Helianthemum croceum</v>
      </c>
      <c r="L1019" s="4" t="str">
        <f>VLOOKUP(A1019,Revisión!$A$2:$L$703,10,FALSE)</f>
        <v>Helianthemum croceum</v>
      </c>
      <c r="M1019" s="18">
        <f>VLOOKUP(A1019,Revisión!$A$2:$L$703,11,FALSE)</f>
        <v>4</v>
      </c>
      <c r="N1019" s="30" t="str">
        <f>IF(E1019="Coinciden",D1019,IF(E1019="Revisar",VLOOKUP(A1019,Revisión!$A$2:$L$703,12,FALSE),""))</f>
        <v>Helianthemum croceum</v>
      </c>
    </row>
    <row r="1020" spans="1:14" x14ac:dyDescent="0.3">
      <c r="A1020" t="s">
        <v>2107</v>
      </c>
      <c r="B1020" t="s">
        <v>2108</v>
      </c>
      <c r="D1020" t="s">
        <v>2108</v>
      </c>
      <c r="E1020" t="s">
        <v>8</v>
      </c>
      <c r="F1020" t="s">
        <v>34</v>
      </c>
      <c r="H1020" s="23" t="str">
        <f>VLOOKUP(A1020,Revisión!$A$2:$L$703,6,FALSE)</f>
        <v>Helianthus divaricatus</v>
      </c>
      <c r="I1020" s="4" t="str">
        <f>VLOOKUP(A1020,Revisión!$A$2:$L$703,7,FALSE)</f>
        <v>Helianthus divaricatus</v>
      </c>
      <c r="J1020" s="4" t="str">
        <f>VLOOKUP(A1020,Revisión!$A$2:$L$703,8,FALSE)</f>
        <v>-</v>
      </c>
      <c r="K1020" s="4" t="str">
        <f>VLOOKUP(A1020,Revisión!$A$2:$L$703,9,FALSE)</f>
        <v>Helianthus divaricatus</v>
      </c>
      <c r="L1020" s="4" t="str">
        <f>VLOOKUP(A1020,Revisión!$A$2:$L$703,10,FALSE)</f>
        <v>Helianthus divaricatus</v>
      </c>
      <c r="M1020" s="18">
        <f>VLOOKUP(A1020,Revisión!$A$2:$L$703,11,FALSE)</f>
        <v>4</v>
      </c>
      <c r="N1020" s="30" t="str">
        <f>IF(E1020="Coinciden",D1020,IF(E1020="Revisar",VLOOKUP(A1020,Revisión!$A$2:$L$703,12,FALSE),""))</f>
        <v>Helianthus divaricatus</v>
      </c>
    </row>
    <row r="1021" spans="1:14" x14ac:dyDescent="0.3">
      <c r="A1021" t="s">
        <v>2109</v>
      </c>
      <c r="B1021" t="s">
        <v>2110</v>
      </c>
      <c r="C1021" t="s">
        <v>2110</v>
      </c>
      <c r="D1021" t="s">
        <v>2110</v>
      </c>
      <c r="E1021" t="s">
        <v>18</v>
      </c>
      <c r="F1021" t="s">
        <v>19</v>
      </c>
      <c r="H1021" s="23" t="e">
        <f>VLOOKUP(A1021,Revisión!$A$2:$L$703,6,FALSE)</f>
        <v>#N/A</v>
      </c>
      <c r="I1021" s="4" t="e">
        <f>VLOOKUP(A1021,Revisión!$A$2:$L$703,7,FALSE)</f>
        <v>#N/A</v>
      </c>
      <c r="J1021" s="4" t="e">
        <f>VLOOKUP(A1021,Revisión!$A$2:$L$703,8,FALSE)</f>
        <v>#N/A</v>
      </c>
      <c r="K1021" s="4" t="e">
        <f>VLOOKUP(A1021,Revisión!$A$2:$L$703,9,FALSE)</f>
        <v>#N/A</v>
      </c>
      <c r="L1021" s="4" t="e">
        <f>VLOOKUP(A1021,Revisión!$A$2:$L$703,10,FALSE)</f>
        <v>#N/A</v>
      </c>
      <c r="M1021" s="18" t="e">
        <f>VLOOKUP(A1021,Revisión!$A$2:$L$703,11,FALSE)</f>
        <v>#N/A</v>
      </c>
      <c r="N1021" s="30" t="str">
        <f>IF(E1021="Coinciden",D1021,IF(E1021="Revisar",VLOOKUP(A1021,Revisión!$A$2:$L$703,12,FALSE),""))</f>
        <v>Helianthus tuberosus</v>
      </c>
    </row>
    <row r="1022" spans="1:14" x14ac:dyDescent="0.3">
      <c r="A1022" t="s">
        <v>2111</v>
      </c>
      <c r="B1022" t="s">
        <v>2112</v>
      </c>
      <c r="C1022" t="s">
        <v>2112</v>
      </c>
      <c r="D1022" t="s">
        <v>2112</v>
      </c>
      <c r="E1022" t="s">
        <v>18</v>
      </c>
      <c r="F1022" t="s">
        <v>19</v>
      </c>
      <c r="H1022" s="23" t="e">
        <f>VLOOKUP(A1022,Revisión!$A$2:$L$703,6,FALSE)</f>
        <v>#N/A</v>
      </c>
      <c r="I1022" s="4" t="e">
        <f>VLOOKUP(A1022,Revisión!$A$2:$L$703,7,FALSE)</f>
        <v>#N/A</v>
      </c>
      <c r="J1022" s="4" t="e">
        <f>VLOOKUP(A1022,Revisión!$A$2:$L$703,8,FALSE)</f>
        <v>#N/A</v>
      </c>
      <c r="K1022" s="4" t="e">
        <f>VLOOKUP(A1022,Revisión!$A$2:$L$703,9,FALSE)</f>
        <v>#N/A</v>
      </c>
      <c r="L1022" s="4" t="e">
        <f>VLOOKUP(A1022,Revisión!$A$2:$L$703,10,FALSE)</f>
        <v>#N/A</v>
      </c>
      <c r="M1022" s="18" t="e">
        <f>VLOOKUP(A1022,Revisión!$A$2:$L$703,11,FALSE)</f>
        <v>#N/A</v>
      </c>
      <c r="N1022" s="30" t="str">
        <f>IF(E1022="Coinciden",D1022,IF(E1022="Revisar",VLOOKUP(A1022,Revisión!$A$2:$L$703,12,FALSE),""))</f>
        <v>Helianthus annuus</v>
      </c>
    </row>
    <row r="1023" spans="1:14" x14ac:dyDescent="0.3">
      <c r="A1023" t="s">
        <v>2113</v>
      </c>
      <c r="B1023" t="s">
        <v>2114</v>
      </c>
      <c r="D1023" t="s">
        <v>2114</v>
      </c>
      <c r="E1023" t="s">
        <v>8</v>
      </c>
      <c r="F1023" t="s">
        <v>34</v>
      </c>
      <c r="H1023" s="23" t="str">
        <f>VLOOKUP(A1023,Revisión!$A$2:$L$703,6,FALSE)</f>
        <v>Helianthus mollis</v>
      </c>
      <c r="I1023" s="4" t="str">
        <f>VLOOKUP(A1023,Revisión!$A$2:$L$703,7,FALSE)</f>
        <v>Helianthus mollis</v>
      </c>
      <c r="J1023" s="4" t="str">
        <f>VLOOKUP(A1023,Revisión!$A$2:$L$703,8,FALSE)</f>
        <v>-</v>
      </c>
      <c r="K1023" s="4" t="str">
        <f>VLOOKUP(A1023,Revisión!$A$2:$L$703,9,FALSE)</f>
        <v>Helianthus mollis</v>
      </c>
      <c r="L1023" s="4" t="str">
        <f>VLOOKUP(A1023,Revisión!$A$2:$L$703,10,FALSE)</f>
        <v>Helianthus mollis</v>
      </c>
      <c r="M1023" s="18">
        <f>VLOOKUP(A1023,Revisión!$A$2:$L$703,11,FALSE)</f>
        <v>4</v>
      </c>
      <c r="N1023" s="30" t="str">
        <f>IF(E1023="Coinciden",D1023,IF(E1023="Revisar",VLOOKUP(A1023,Revisión!$A$2:$L$703,12,FALSE),""))</f>
        <v>Helianthus mollis</v>
      </c>
    </row>
    <row r="1024" spans="1:14" x14ac:dyDescent="0.3">
      <c r="A1024" t="s">
        <v>2115</v>
      </c>
      <c r="B1024" t="s">
        <v>2116</v>
      </c>
      <c r="C1024" t="s">
        <v>2116</v>
      </c>
      <c r="D1024" t="s">
        <v>2117</v>
      </c>
      <c r="E1024" t="s">
        <v>8</v>
      </c>
      <c r="F1024" t="s">
        <v>15</v>
      </c>
      <c r="H1024" s="23" t="str">
        <f>VLOOKUP(A1024,Revisión!$A$2:$L$703,6,FALSE)</f>
        <v>Helianthus decapetalus</v>
      </c>
      <c r="I1024" s="4" t="str">
        <f>VLOOKUP(A1024,Revisión!$A$2:$L$703,7,FALSE)</f>
        <v>Helianthus hirsutus</v>
      </c>
      <c r="J1024" s="4" t="str">
        <f>VLOOKUP(A1024,Revisión!$A$2:$L$703,8,FALSE)</f>
        <v>-</v>
      </c>
      <c r="K1024" s="4" t="str">
        <f>VLOOKUP(A1024,Revisión!$A$2:$L$703,9,FALSE)</f>
        <v>Helianthus decapetalus</v>
      </c>
      <c r="L1024" s="4" t="str">
        <f>VLOOKUP(A1024,Revisión!$A$2:$L$703,10,FALSE)</f>
        <v>Helianthus decapetalus</v>
      </c>
      <c r="M1024" s="18">
        <f>VLOOKUP(A1024,Revisión!$A$2:$L$703,11,FALSE)</f>
        <v>3</v>
      </c>
      <c r="N1024" s="30" t="str">
        <f>IF(E1024="Coinciden",D1024,IF(E1024="Revisar",VLOOKUP(A1024,Revisión!$A$2:$L$703,12,FALSE),""))</f>
        <v>Helianthus decapetalus</v>
      </c>
    </row>
    <row r="1025" spans="1:14" x14ac:dyDescent="0.3">
      <c r="A1025" t="s">
        <v>2118</v>
      </c>
      <c r="B1025" t="s">
        <v>2119</v>
      </c>
      <c r="D1025" t="s">
        <v>2119</v>
      </c>
      <c r="E1025" t="s">
        <v>8</v>
      </c>
      <c r="F1025" t="s">
        <v>34</v>
      </c>
      <c r="H1025" s="23" t="str">
        <f>VLOOKUP(A1025,Revisión!$A$2:$L$703,6,FALSE)</f>
        <v>Helianthus strumosus</v>
      </c>
      <c r="I1025" s="4" t="str">
        <f>VLOOKUP(A1025,Revisión!$A$2:$L$703,7,FALSE)</f>
        <v>Helianthus strumosus</v>
      </c>
      <c r="J1025" s="4" t="str">
        <f>VLOOKUP(A1025,Revisión!$A$2:$L$703,8,FALSE)</f>
        <v>-</v>
      </c>
      <c r="K1025" s="4" t="str">
        <f>VLOOKUP(A1025,Revisión!$A$2:$L$703,9,FALSE)</f>
        <v>Helianthus strumosus</v>
      </c>
      <c r="L1025" s="4" t="str">
        <f>VLOOKUP(A1025,Revisión!$A$2:$L$703,10,FALSE)</f>
        <v>Helianthus strumosus</v>
      </c>
      <c r="M1025" s="18">
        <f>VLOOKUP(A1025,Revisión!$A$2:$L$703,11,FALSE)</f>
        <v>4</v>
      </c>
      <c r="N1025" s="30" t="str">
        <f>IF(E1025="Coinciden",D1025,IF(E1025="Revisar",VLOOKUP(A1025,Revisión!$A$2:$L$703,12,FALSE),""))</f>
        <v>Helianthus strumosus</v>
      </c>
    </row>
    <row r="1026" spans="1:14" x14ac:dyDescent="0.3">
      <c r="A1026" t="s">
        <v>2120</v>
      </c>
      <c r="B1026" t="s">
        <v>2121</v>
      </c>
      <c r="D1026" t="s">
        <v>2121</v>
      </c>
      <c r="E1026" t="s">
        <v>8</v>
      </c>
      <c r="F1026" t="s">
        <v>34</v>
      </c>
      <c r="H1026" s="23" t="str">
        <f>VLOOKUP(A1026,Revisión!$A$2:$L$703,6,FALSE)</f>
        <v>Helianthus petiolaris</v>
      </c>
      <c r="I1026" s="4" t="str">
        <f>VLOOKUP(A1026,Revisión!$A$2:$L$703,7,FALSE)</f>
        <v>Helianthus petiolaris</v>
      </c>
      <c r="J1026" s="4" t="str">
        <f>VLOOKUP(A1026,Revisión!$A$2:$L$703,8,FALSE)</f>
        <v>-</v>
      </c>
      <c r="K1026" s="4" t="str">
        <f>VLOOKUP(A1026,Revisión!$A$2:$L$703,9,FALSE)</f>
        <v>Helianthus petiolaris</v>
      </c>
      <c r="L1026" s="4" t="str">
        <f>VLOOKUP(A1026,Revisión!$A$2:$L$703,10,FALSE)</f>
        <v>Helianthus petiolaris</v>
      </c>
      <c r="M1026" s="18">
        <f>VLOOKUP(A1026,Revisión!$A$2:$L$703,11,FALSE)</f>
        <v>4</v>
      </c>
      <c r="N1026" s="30" t="str">
        <f>IF(E1026="Coinciden",D1026,IF(E1026="Revisar",VLOOKUP(A1026,Revisión!$A$2:$L$703,12,FALSE),""))</f>
        <v>Helianthus petiolaris</v>
      </c>
    </row>
    <row r="1027" spans="1:14" x14ac:dyDescent="0.3">
      <c r="A1027" t="s">
        <v>2122</v>
      </c>
      <c r="B1027" t="s">
        <v>2123</v>
      </c>
      <c r="E1027" t="s">
        <v>8</v>
      </c>
      <c r="F1027" t="s">
        <v>9</v>
      </c>
      <c r="H1027" s="23" t="str">
        <f>VLOOKUP(A1027,Revisión!$A$2:$L$703,6,FALSE)</f>
        <v>Helianthus grosseserratus</v>
      </c>
      <c r="I1027" s="4" t="str">
        <f>VLOOKUP(A1027,Revisión!$A$2:$L$703,7,FALSE)</f>
        <v>Helianthus grosseserratus</v>
      </c>
      <c r="J1027" s="4" t="str">
        <f>VLOOKUP(A1027,Revisión!$A$2:$L$703,8,FALSE)</f>
        <v>-</v>
      </c>
      <c r="K1027" s="4" t="str">
        <f>VLOOKUP(A1027,Revisión!$A$2:$L$703,9,FALSE)</f>
        <v>Helianthus grosseserratus</v>
      </c>
      <c r="L1027" s="4" t="str">
        <f>VLOOKUP(A1027,Revisión!$A$2:$L$703,10,FALSE)</f>
        <v>Helianthus grosseserratus</v>
      </c>
      <c r="M1027" s="18">
        <f>VLOOKUP(A1027,Revisión!$A$2:$L$703,11,FALSE)</f>
        <v>4</v>
      </c>
      <c r="N1027" s="30" t="str">
        <f>IF(E1027="Coinciden",D1027,IF(E1027="Revisar",VLOOKUP(A1027,Revisión!$A$2:$L$703,12,FALSE),""))</f>
        <v>Helianthus grosseserratus</v>
      </c>
    </row>
    <row r="1028" spans="1:14" x14ac:dyDescent="0.3">
      <c r="A1028" t="s">
        <v>2124</v>
      </c>
      <c r="B1028" t="s">
        <v>2125</v>
      </c>
      <c r="C1028" t="s">
        <v>2126</v>
      </c>
      <c r="D1028" t="s">
        <v>2126</v>
      </c>
      <c r="E1028" t="s">
        <v>8</v>
      </c>
      <c r="F1028" t="s">
        <v>23</v>
      </c>
      <c r="H1028" s="23" t="str">
        <f>VLOOKUP(A1028,Revisión!$A$2:$L$703,6,FALSE)</f>
        <v>Helianthus × laetiflorus</v>
      </c>
      <c r="I1028" s="4" t="str">
        <f>VLOOKUP(A1028,Revisión!$A$2:$L$703,7,FALSE)</f>
        <v>Helianthus × laetiflorus</v>
      </c>
      <c r="J1028" s="4" t="str">
        <f>VLOOKUP(A1028,Revisión!$A$2:$L$703,8,FALSE)</f>
        <v>-</v>
      </c>
      <c r="K1028" s="4" t="str">
        <f>VLOOKUP(A1028,Revisión!$A$2:$L$703,9,FALSE)</f>
        <v>Helianthus × laetiflorus</v>
      </c>
      <c r="L1028" s="4" t="str">
        <f>VLOOKUP(A1028,Revisión!$A$2:$L$703,10,FALSE)</f>
        <v>Helianthus × laetiflorus</v>
      </c>
      <c r="M1028" s="18">
        <f>VLOOKUP(A1028,Revisión!$A$2:$L$703,11,FALSE)</f>
        <v>4</v>
      </c>
      <c r="N1028" s="30" t="str">
        <f>IF(E1028="Coinciden",D1028,IF(E1028="Revisar",VLOOKUP(A1028,Revisión!$A$2:$L$703,12,FALSE),""))</f>
        <v>Helianthus × laetiflorus</v>
      </c>
    </row>
    <row r="1029" spans="1:14" x14ac:dyDescent="0.3">
      <c r="A1029" t="s">
        <v>2127</v>
      </c>
      <c r="E1029" t="s">
        <v>8</v>
      </c>
      <c r="F1029" t="s">
        <v>11</v>
      </c>
      <c r="H1029" s="23" t="str">
        <f>VLOOKUP(A1029,Revisión!$A$2:$L$703,6,FALSE)</f>
        <v>Ozothamnus alpinus</v>
      </c>
      <c r="I1029" s="4" t="str">
        <f>VLOOKUP(A1029,Revisión!$A$2:$L$703,7,FALSE)</f>
        <v>-</v>
      </c>
      <c r="J1029" s="4" t="str">
        <f>VLOOKUP(A1029,Revisión!$A$2:$L$703,8,FALSE)</f>
        <v>-</v>
      </c>
      <c r="K1029" s="4" t="str">
        <f>VLOOKUP(A1029,Revisión!$A$2:$L$703,9,FALSE)</f>
        <v>Ozothamnus alpinus</v>
      </c>
      <c r="L1029" s="4" t="str">
        <f>VLOOKUP(A1029,Revisión!$A$2:$L$703,10,FALSE)</f>
        <v>Ozothamnus alpinus</v>
      </c>
      <c r="M1029" s="18">
        <f>VLOOKUP(A1029,Revisión!$A$2:$L$703,11,FALSE)</f>
        <v>3</v>
      </c>
      <c r="N1029" s="30" t="str">
        <f>IF(E1029="Coinciden",D1029,IF(E1029="Revisar",VLOOKUP(A1029,Revisión!$A$2:$L$703,12,FALSE),""))</f>
        <v>Ozothamnus alpinus</v>
      </c>
    </row>
    <row r="1030" spans="1:14" x14ac:dyDescent="0.3">
      <c r="A1030" t="s">
        <v>2128</v>
      </c>
      <c r="B1030" t="s">
        <v>2129</v>
      </c>
      <c r="C1030" t="s">
        <v>2129</v>
      </c>
      <c r="D1030" t="s">
        <v>2129</v>
      </c>
      <c r="E1030" t="s">
        <v>18</v>
      </c>
      <c r="F1030" t="s">
        <v>19</v>
      </c>
      <c r="H1030" s="23" t="e">
        <f>VLOOKUP(A1030,Revisión!$A$2:$L$703,6,FALSE)</f>
        <v>#N/A</v>
      </c>
      <c r="I1030" s="4" t="e">
        <f>VLOOKUP(A1030,Revisión!$A$2:$L$703,7,FALSE)</f>
        <v>#N/A</v>
      </c>
      <c r="J1030" s="4" t="e">
        <f>VLOOKUP(A1030,Revisión!$A$2:$L$703,8,FALSE)</f>
        <v>#N/A</v>
      </c>
      <c r="K1030" s="4" t="e">
        <f>VLOOKUP(A1030,Revisión!$A$2:$L$703,9,FALSE)</f>
        <v>#N/A</v>
      </c>
      <c r="L1030" s="4" t="e">
        <f>VLOOKUP(A1030,Revisión!$A$2:$L$703,10,FALSE)</f>
        <v>#N/A</v>
      </c>
      <c r="M1030" s="18" t="e">
        <f>VLOOKUP(A1030,Revisión!$A$2:$L$703,11,FALSE)</f>
        <v>#N/A</v>
      </c>
      <c r="N1030" s="30" t="str">
        <f>IF(E1030="Coinciden",D1030,IF(E1030="Revisar",VLOOKUP(A1030,Revisión!$A$2:$L$703,12,FALSE),""))</f>
        <v>Coronidium scorpioides</v>
      </c>
    </row>
    <row r="1031" spans="1:14" x14ac:dyDescent="0.3">
      <c r="A1031" t="s">
        <v>2130</v>
      </c>
      <c r="B1031" t="s">
        <v>2131</v>
      </c>
      <c r="C1031" t="s">
        <v>2131</v>
      </c>
      <c r="D1031" t="s">
        <v>2131</v>
      </c>
      <c r="E1031" t="s">
        <v>18</v>
      </c>
      <c r="F1031" t="s">
        <v>19</v>
      </c>
      <c r="H1031" s="23" t="e">
        <f>VLOOKUP(A1031,Revisión!$A$2:$L$703,6,FALSE)</f>
        <v>#N/A</v>
      </c>
      <c r="I1031" s="4" t="e">
        <f>VLOOKUP(A1031,Revisión!$A$2:$L$703,7,FALSE)</f>
        <v>#N/A</v>
      </c>
      <c r="J1031" s="4" t="e">
        <f>VLOOKUP(A1031,Revisión!$A$2:$L$703,8,FALSE)</f>
        <v>#N/A</v>
      </c>
      <c r="K1031" s="4" t="e">
        <f>VLOOKUP(A1031,Revisión!$A$2:$L$703,9,FALSE)</f>
        <v>#N/A</v>
      </c>
      <c r="L1031" s="4" t="e">
        <f>VLOOKUP(A1031,Revisión!$A$2:$L$703,10,FALSE)</f>
        <v>#N/A</v>
      </c>
      <c r="M1031" s="18" t="e">
        <f>VLOOKUP(A1031,Revisión!$A$2:$L$703,11,FALSE)</f>
        <v>#N/A</v>
      </c>
      <c r="N1031" s="30" t="str">
        <f>IF(E1031="Coinciden",D1031,IF(E1031="Revisar",VLOOKUP(A1031,Revisión!$A$2:$L$703,12,FALSE),""))</f>
        <v>Anaphalioides bellidioides</v>
      </c>
    </row>
    <row r="1032" spans="1:14" x14ac:dyDescent="0.3">
      <c r="A1032" t="s">
        <v>2132</v>
      </c>
      <c r="B1032" t="s">
        <v>2133</v>
      </c>
      <c r="C1032" t="s">
        <v>2134</v>
      </c>
      <c r="D1032" t="s">
        <v>2135</v>
      </c>
      <c r="E1032" t="s">
        <v>8</v>
      </c>
      <c r="F1032" t="s">
        <v>295</v>
      </c>
      <c r="H1032" s="23" t="str">
        <f>VLOOKUP(A1032,Revisión!$A$2:$L$703,6,FALSE)</f>
        <v>Ozothamnus selago</v>
      </c>
      <c r="I1032" s="4" t="str">
        <f>VLOOKUP(A1032,Revisión!$A$2:$L$703,7,FALSE)</f>
        <v>Helichrysum selago</v>
      </c>
      <c r="J1032" s="4" t="str">
        <f>VLOOKUP(A1032,Revisión!$A$2:$L$703,8,FALSE)</f>
        <v>-</v>
      </c>
      <c r="K1032" s="4" t="str">
        <f>VLOOKUP(A1032,Revisión!$A$2:$L$703,9,FALSE)</f>
        <v>Ozothamnus selago</v>
      </c>
      <c r="L1032" s="4" t="str">
        <f>VLOOKUP(A1032,Revisión!$A$2:$L$703,10,FALSE)</f>
        <v>Ozothamnus selago</v>
      </c>
      <c r="M1032" s="18">
        <f>VLOOKUP(A1032,Revisión!$A$2:$L$703,11,FALSE)</f>
        <v>3</v>
      </c>
      <c r="N1032" s="30" t="str">
        <f>IF(E1032="Coinciden",D1032,IF(E1032="Revisar",VLOOKUP(A1032,Revisión!$A$2:$L$703,12,FALSE),""))</f>
        <v>Ozothamnus selago</v>
      </c>
    </row>
    <row r="1033" spans="1:14" x14ac:dyDescent="0.3">
      <c r="A1033" t="s">
        <v>2136</v>
      </c>
      <c r="B1033" t="s">
        <v>2137</v>
      </c>
      <c r="C1033" t="s">
        <v>2137</v>
      </c>
      <c r="D1033" t="s">
        <v>2137</v>
      </c>
      <c r="E1033" t="s">
        <v>18</v>
      </c>
      <c r="F1033" t="s">
        <v>19</v>
      </c>
      <c r="H1033" s="23" t="e">
        <f>VLOOKUP(A1033,Revisión!$A$2:$L$703,6,FALSE)</f>
        <v>#N/A</v>
      </c>
      <c r="I1033" s="4" t="e">
        <f>VLOOKUP(A1033,Revisión!$A$2:$L$703,7,FALSE)</f>
        <v>#N/A</v>
      </c>
      <c r="J1033" s="4" t="e">
        <f>VLOOKUP(A1033,Revisión!$A$2:$L$703,8,FALSE)</f>
        <v>#N/A</v>
      </c>
      <c r="K1033" s="4" t="e">
        <f>VLOOKUP(A1033,Revisión!$A$2:$L$703,9,FALSE)</f>
        <v>#N/A</v>
      </c>
      <c r="L1033" s="4" t="e">
        <f>VLOOKUP(A1033,Revisión!$A$2:$L$703,10,FALSE)</f>
        <v>#N/A</v>
      </c>
      <c r="M1033" s="18" t="e">
        <f>VLOOKUP(A1033,Revisión!$A$2:$L$703,11,FALSE)</f>
        <v>#N/A</v>
      </c>
      <c r="N1033" s="30" t="str">
        <f>IF(E1033="Coinciden",D1033,IF(E1033="Revisar",VLOOKUP(A1033,Revisión!$A$2:$L$703,12,FALSE),""))</f>
        <v>Helichrysum proteoides</v>
      </c>
    </row>
    <row r="1034" spans="1:14" x14ac:dyDescent="0.3">
      <c r="A1034" t="s">
        <v>2138</v>
      </c>
      <c r="B1034" t="s">
        <v>2139</v>
      </c>
      <c r="C1034" t="s">
        <v>2139</v>
      </c>
      <c r="D1034" t="s">
        <v>2139</v>
      </c>
      <c r="E1034" t="s">
        <v>18</v>
      </c>
      <c r="F1034" t="s">
        <v>19</v>
      </c>
      <c r="H1034" s="23" t="e">
        <f>VLOOKUP(A1034,Revisión!$A$2:$L$703,6,FALSE)</f>
        <v>#N/A</v>
      </c>
      <c r="I1034" s="4" t="e">
        <f>VLOOKUP(A1034,Revisión!$A$2:$L$703,7,FALSE)</f>
        <v>#N/A</v>
      </c>
      <c r="J1034" s="4" t="e">
        <f>VLOOKUP(A1034,Revisión!$A$2:$L$703,8,FALSE)</f>
        <v>#N/A</v>
      </c>
      <c r="K1034" s="4" t="e">
        <f>VLOOKUP(A1034,Revisión!$A$2:$L$703,9,FALSE)</f>
        <v>#N/A</v>
      </c>
      <c r="L1034" s="4" t="e">
        <f>VLOOKUP(A1034,Revisión!$A$2:$L$703,10,FALSE)</f>
        <v>#N/A</v>
      </c>
      <c r="M1034" s="18" t="e">
        <f>VLOOKUP(A1034,Revisión!$A$2:$L$703,11,FALSE)</f>
        <v>#N/A</v>
      </c>
      <c r="N1034" s="30" t="str">
        <f>IF(E1034="Coinciden",D1034,IF(E1034="Revisar",VLOOKUP(A1034,Revisión!$A$2:$L$703,12,FALSE),""))</f>
        <v>Helichrysum stoechas</v>
      </c>
    </row>
    <row r="1035" spans="1:14" x14ac:dyDescent="0.3">
      <c r="A1035" t="s">
        <v>2140</v>
      </c>
      <c r="B1035" t="s">
        <v>2141</v>
      </c>
      <c r="C1035" t="s">
        <v>2141</v>
      </c>
      <c r="D1035" t="s">
        <v>2142</v>
      </c>
      <c r="E1035" t="s">
        <v>8</v>
      </c>
      <c r="F1035" t="s">
        <v>15</v>
      </c>
      <c r="H1035" s="23" t="str">
        <f>VLOOKUP(A1035,Revisión!$A$2:$L$703,6,FALSE)</f>
        <v>Helichrysum serotinum subsp. picardii </v>
      </c>
      <c r="I1035" s="4" t="str">
        <f>VLOOKUP(A1035,Revisión!$A$2:$L$703,7,FALSE)</f>
        <v>Helichrysum italicum subsp. picardii </v>
      </c>
      <c r="J1035" s="4" t="str">
        <f>VLOOKUP(A1035,Revisión!$A$2:$L$703,8,FALSE)</f>
        <v>-</v>
      </c>
      <c r="K1035" s="4" t="str">
        <f>VLOOKUP(A1035,Revisión!$A$2:$L$703,9,FALSE)</f>
        <v>Helichrysum serotinum subsp. picardii </v>
      </c>
      <c r="L1035" s="4" t="str">
        <f>VLOOKUP(A1035,Revisión!$A$2:$L$703,10,FALSE)</f>
        <v>Helichrysum serotinum subsp. picardii </v>
      </c>
      <c r="M1035" s="18">
        <f>VLOOKUP(A1035,Revisión!$A$2:$L$703,11,FALSE)</f>
        <v>3</v>
      </c>
      <c r="N1035" s="30" t="str">
        <f>IF(E1035="Coinciden",D1035,IF(E1035="Revisar",VLOOKUP(A1035,Revisión!$A$2:$L$703,12,FALSE),""))</f>
        <v>Helichrysum serotinum subsp. picardii </v>
      </c>
    </row>
    <row r="1036" spans="1:14" x14ac:dyDescent="0.3">
      <c r="A1036" t="s">
        <v>2143</v>
      </c>
      <c r="B1036" t="s">
        <v>2144</v>
      </c>
      <c r="C1036" t="s">
        <v>2144</v>
      </c>
      <c r="D1036" t="s">
        <v>2144</v>
      </c>
      <c r="E1036" t="s">
        <v>18</v>
      </c>
      <c r="F1036" t="s">
        <v>19</v>
      </c>
      <c r="H1036" s="23" t="e">
        <f>VLOOKUP(A1036,Revisión!$A$2:$L$703,6,FALSE)</f>
        <v>#N/A</v>
      </c>
      <c r="I1036" s="4" t="e">
        <f>VLOOKUP(A1036,Revisión!$A$2:$L$703,7,FALSE)</f>
        <v>#N/A</v>
      </c>
      <c r="J1036" s="4" t="e">
        <f>VLOOKUP(A1036,Revisión!$A$2:$L$703,8,FALSE)</f>
        <v>#N/A</v>
      </c>
      <c r="K1036" s="4" t="e">
        <f>VLOOKUP(A1036,Revisión!$A$2:$L$703,9,FALSE)</f>
        <v>#N/A</v>
      </c>
      <c r="L1036" s="4" t="e">
        <f>VLOOKUP(A1036,Revisión!$A$2:$L$703,10,FALSE)</f>
        <v>#N/A</v>
      </c>
      <c r="M1036" s="18" t="e">
        <f>VLOOKUP(A1036,Revisión!$A$2:$L$703,11,FALSE)</f>
        <v>#N/A</v>
      </c>
      <c r="N1036" s="30" t="str">
        <f>IF(E1036="Coinciden",D1036,IF(E1036="Revisar",VLOOKUP(A1036,Revisión!$A$2:$L$703,12,FALSE),""))</f>
        <v>Heliconia psittacorum</v>
      </c>
    </row>
    <row r="1037" spans="1:14" x14ac:dyDescent="0.3">
      <c r="A1037" t="s">
        <v>2145</v>
      </c>
      <c r="B1037" t="s">
        <v>2146</v>
      </c>
      <c r="C1037" t="s">
        <v>2146</v>
      </c>
      <c r="D1037" t="s">
        <v>2146</v>
      </c>
      <c r="E1037" t="s">
        <v>18</v>
      </c>
      <c r="F1037" t="s">
        <v>19</v>
      </c>
      <c r="H1037" s="23" t="e">
        <f>VLOOKUP(A1037,Revisión!$A$2:$L$703,6,FALSE)</f>
        <v>#N/A</v>
      </c>
      <c r="I1037" s="4" t="e">
        <f>VLOOKUP(A1037,Revisión!$A$2:$L$703,7,FALSE)</f>
        <v>#N/A</v>
      </c>
      <c r="J1037" s="4" t="e">
        <f>VLOOKUP(A1037,Revisión!$A$2:$L$703,8,FALSE)</f>
        <v>#N/A</v>
      </c>
      <c r="K1037" s="4" t="e">
        <f>VLOOKUP(A1037,Revisión!$A$2:$L$703,9,FALSE)</f>
        <v>#N/A</v>
      </c>
      <c r="L1037" s="4" t="e">
        <f>VLOOKUP(A1037,Revisión!$A$2:$L$703,10,FALSE)</f>
        <v>#N/A</v>
      </c>
      <c r="M1037" s="18" t="e">
        <f>VLOOKUP(A1037,Revisión!$A$2:$L$703,11,FALSE)</f>
        <v>#N/A</v>
      </c>
      <c r="N1037" s="30" t="str">
        <f>IF(E1037="Coinciden",D1037,IF(E1037="Revisar",VLOOKUP(A1037,Revisión!$A$2:$L$703,12,FALSE),""))</f>
        <v>Heliopsis helianthoides</v>
      </c>
    </row>
    <row r="1038" spans="1:14" x14ac:dyDescent="0.3">
      <c r="A1038" t="s">
        <v>2147</v>
      </c>
      <c r="B1038" t="s">
        <v>2148</v>
      </c>
      <c r="C1038" t="s">
        <v>2148</v>
      </c>
      <c r="D1038" t="s">
        <v>2148</v>
      </c>
      <c r="E1038" t="s">
        <v>18</v>
      </c>
      <c r="F1038" t="s">
        <v>19</v>
      </c>
      <c r="H1038" s="23" t="e">
        <f>VLOOKUP(A1038,Revisión!$A$2:$L$703,6,FALSE)</f>
        <v>#N/A</v>
      </c>
      <c r="I1038" s="4" t="e">
        <f>VLOOKUP(A1038,Revisión!$A$2:$L$703,7,FALSE)</f>
        <v>#N/A</v>
      </c>
      <c r="J1038" s="4" t="e">
        <f>VLOOKUP(A1038,Revisión!$A$2:$L$703,8,FALSE)</f>
        <v>#N/A</v>
      </c>
      <c r="K1038" s="4" t="e">
        <f>VLOOKUP(A1038,Revisión!$A$2:$L$703,9,FALSE)</f>
        <v>#N/A</v>
      </c>
      <c r="L1038" s="4" t="e">
        <f>VLOOKUP(A1038,Revisión!$A$2:$L$703,10,FALSE)</f>
        <v>#N/A</v>
      </c>
      <c r="M1038" s="18" t="e">
        <f>VLOOKUP(A1038,Revisión!$A$2:$L$703,11,FALSE)</f>
        <v>#N/A</v>
      </c>
      <c r="N1038" s="30" t="str">
        <f>IF(E1038="Coinciden",D1038,IF(E1038="Revisar",VLOOKUP(A1038,Revisión!$A$2:$L$703,12,FALSE),""))</f>
        <v>Heliotropium europaeum</v>
      </c>
    </row>
    <row r="1039" spans="1:14" x14ac:dyDescent="0.3">
      <c r="A1039" t="s">
        <v>2149</v>
      </c>
      <c r="B1039" t="s">
        <v>2150</v>
      </c>
      <c r="D1039" t="s">
        <v>2150</v>
      </c>
      <c r="E1039" t="s">
        <v>8</v>
      </c>
      <c r="F1039" t="s">
        <v>34</v>
      </c>
      <c r="H1039" s="23" t="str">
        <f>VLOOKUP(A1039,Revisión!$A$2:$L$703,6,FALSE)</f>
        <v>Heliotropium hirsutissimum</v>
      </c>
      <c r="I1039" s="4" t="str">
        <f>VLOOKUP(A1039,Revisión!$A$2:$L$703,7,FALSE)</f>
        <v>Heliotropium hirsutissimum</v>
      </c>
      <c r="J1039" s="4" t="str">
        <f>VLOOKUP(A1039,Revisión!$A$2:$L$703,8,FALSE)</f>
        <v>-</v>
      </c>
      <c r="K1039" s="4" t="str">
        <f>VLOOKUP(A1039,Revisión!$A$2:$L$703,9,FALSE)</f>
        <v>Heliotropium hirsutissimum</v>
      </c>
      <c r="L1039" s="4" t="str">
        <f>VLOOKUP(A1039,Revisión!$A$2:$L$703,10,FALSE)</f>
        <v>Heliotropium hirsutissimum</v>
      </c>
      <c r="M1039" s="18">
        <f>VLOOKUP(A1039,Revisión!$A$2:$L$703,11,FALSE)</f>
        <v>4</v>
      </c>
      <c r="N1039" s="30" t="str">
        <f>IF(E1039="Coinciden",D1039,IF(E1039="Revisar",VLOOKUP(A1039,Revisión!$A$2:$L$703,12,FALSE),""))</f>
        <v>Heliotropium hirsutissimum</v>
      </c>
    </row>
    <row r="1040" spans="1:14" x14ac:dyDescent="0.3">
      <c r="A1040" t="s">
        <v>2151</v>
      </c>
      <c r="B1040" t="s">
        <v>2152</v>
      </c>
      <c r="C1040" t="s">
        <v>2152</v>
      </c>
      <c r="D1040" t="s">
        <v>2152</v>
      </c>
      <c r="E1040" t="s">
        <v>18</v>
      </c>
      <c r="F1040" t="s">
        <v>19</v>
      </c>
      <c r="H1040" s="23" t="e">
        <f>VLOOKUP(A1040,Revisión!$A$2:$L$703,6,FALSE)</f>
        <v>#N/A</v>
      </c>
      <c r="I1040" s="4" t="e">
        <f>VLOOKUP(A1040,Revisión!$A$2:$L$703,7,FALSE)</f>
        <v>#N/A</v>
      </c>
      <c r="J1040" s="4" t="e">
        <f>VLOOKUP(A1040,Revisión!$A$2:$L$703,8,FALSE)</f>
        <v>#N/A</v>
      </c>
      <c r="K1040" s="4" t="e">
        <f>VLOOKUP(A1040,Revisión!$A$2:$L$703,9,FALSE)</f>
        <v>#N/A</v>
      </c>
      <c r="L1040" s="4" t="e">
        <f>VLOOKUP(A1040,Revisión!$A$2:$L$703,10,FALSE)</f>
        <v>#N/A</v>
      </c>
      <c r="M1040" s="18" t="e">
        <f>VLOOKUP(A1040,Revisión!$A$2:$L$703,11,FALSE)</f>
        <v>#N/A</v>
      </c>
      <c r="N1040" s="30" t="str">
        <f>IF(E1040="Coinciden",D1040,IF(E1040="Revisar",VLOOKUP(A1040,Revisión!$A$2:$L$703,12,FALSE),""))</f>
        <v>Heliotropium dolosum</v>
      </c>
    </row>
    <row r="1041" spans="1:14" x14ac:dyDescent="0.3">
      <c r="A1041" t="s">
        <v>2153</v>
      </c>
      <c r="B1041" t="s">
        <v>2154</v>
      </c>
      <c r="C1041" t="s">
        <v>2155</v>
      </c>
      <c r="D1041" t="s">
        <v>2155</v>
      </c>
      <c r="E1041" t="s">
        <v>8</v>
      </c>
      <c r="F1041" t="s">
        <v>23</v>
      </c>
      <c r="H1041" s="23" t="str">
        <f>VLOOKUP(A1041,Revisión!$A$2:$L$703,6,FALSE)</f>
        <v>Leucochrysum albicans subsp. albicans</v>
      </c>
      <c r="I1041" s="4" t="str">
        <f>VLOOKUP(A1041,Revisión!$A$2:$L$703,7,FALSE)</f>
        <v xml:space="preserve">Leucochrysum albicans </v>
      </c>
      <c r="J1041" s="4" t="str">
        <f>VLOOKUP(A1041,Revisión!$A$2:$L$703,8,FALSE)</f>
        <v>-</v>
      </c>
      <c r="K1041" s="4" t="str">
        <f>VLOOKUP(A1041,Revisión!$A$2:$L$703,9,FALSE)</f>
        <v>Leucochrysum albicans subsp. albicans</v>
      </c>
      <c r="L1041" s="4" t="str">
        <f>VLOOKUP(A1041,Revisión!$A$2:$L$703,10,FALSE)</f>
        <v>Leucochrysum albicans subsp. albicans</v>
      </c>
      <c r="M1041" s="18">
        <f>VLOOKUP(A1041,Revisión!$A$2:$L$703,11,FALSE)</f>
        <v>3</v>
      </c>
      <c r="N1041" s="30" t="str">
        <f>IF(E1041="Coinciden",D1041,IF(E1041="Revisar",VLOOKUP(A1041,Revisión!$A$2:$L$703,12,FALSE),""))</f>
        <v>Leucochrysum albicans subsp. albicans</v>
      </c>
    </row>
    <row r="1042" spans="1:14" x14ac:dyDescent="0.3">
      <c r="A1042" t="s">
        <v>2156</v>
      </c>
      <c r="B1042" t="s">
        <v>2157</v>
      </c>
      <c r="C1042" t="s">
        <v>2157</v>
      </c>
      <c r="D1042" t="s">
        <v>2157</v>
      </c>
      <c r="E1042" t="s">
        <v>18</v>
      </c>
      <c r="F1042" t="s">
        <v>19</v>
      </c>
      <c r="H1042" s="23" t="e">
        <f>VLOOKUP(A1042,Revisión!$A$2:$L$703,6,FALSE)</f>
        <v>#N/A</v>
      </c>
      <c r="I1042" s="4" t="e">
        <f>VLOOKUP(A1042,Revisión!$A$2:$L$703,7,FALSE)</f>
        <v>#N/A</v>
      </c>
      <c r="J1042" s="4" t="e">
        <f>VLOOKUP(A1042,Revisión!$A$2:$L$703,8,FALSE)</f>
        <v>#N/A</v>
      </c>
      <c r="K1042" s="4" t="e">
        <f>VLOOKUP(A1042,Revisión!$A$2:$L$703,9,FALSE)</f>
        <v>#N/A</v>
      </c>
      <c r="L1042" s="4" t="e">
        <f>VLOOKUP(A1042,Revisión!$A$2:$L$703,10,FALSE)</f>
        <v>#N/A</v>
      </c>
      <c r="M1042" s="18" t="e">
        <f>VLOOKUP(A1042,Revisión!$A$2:$L$703,11,FALSE)</f>
        <v>#N/A</v>
      </c>
      <c r="N1042" s="30" t="str">
        <f>IF(E1042="Coinciden",D1042,IF(E1042="Revisar",VLOOKUP(A1042,Revisión!$A$2:$L$703,12,FALSE),""))</f>
        <v>Hemerocallis citrina var. vespertina</v>
      </c>
    </row>
    <row r="1043" spans="1:14" x14ac:dyDescent="0.3">
      <c r="A1043" t="s">
        <v>2158</v>
      </c>
      <c r="B1043" t="s">
        <v>2159</v>
      </c>
      <c r="C1043" t="s">
        <v>2159</v>
      </c>
      <c r="D1043" t="s">
        <v>2159</v>
      </c>
      <c r="E1043" t="s">
        <v>18</v>
      </c>
      <c r="F1043" t="s">
        <v>19</v>
      </c>
      <c r="H1043" s="23" t="e">
        <f>VLOOKUP(A1043,Revisión!$A$2:$L$703,6,FALSE)</f>
        <v>#N/A</v>
      </c>
      <c r="I1043" s="4" t="e">
        <f>VLOOKUP(A1043,Revisión!$A$2:$L$703,7,FALSE)</f>
        <v>#N/A</v>
      </c>
      <c r="J1043" s="4" t="e">
        <f>VLOOKUP(A1043,Revisión!$A$2:$L$703,8,FALSE)</f>
        <v>#N/A</v>
      </c>
      <c r="K1043" s="4" t="e">
        <f>VLOOKUP(A1043,Revisión!$A$2:$L$703,9,FALSE)</f>
        <v>#N/A</v>
      </c>
      <c r="L1043" s="4" t="e">
        <f>VLOOKUP(A1043,Revisión!$A$2:$L$703,10,FALSE)</f>
        <v>#N/A</v>
      </c>
      <c r="M1043" s="18" t="e">
        <f>VLOOKUP(A1043,Revisión!$A$2:$L$703,11,FALSE)</f>
        <v>#N/A</v>
      </c>
      <c r="N1043" s="30" t="str">
        <f>IF(E1043="Coinciden",D1043,IF(E1043="Revisar",VLOOKUP(A1043,Revisión!$A$2:$L$703,12,FALSE),""))</f>
        <v>Hepatica americana</v>
      </c>
    </row>
    <row r="1044" spans="1:14" x14ac:dyDescent="0.3">
      <c r="A1044" t="s">
        <v>2160</v>
      </c>
      <c r="B1044" t="s">
        <v>2161</v>
      </c>
      <c r="C1044" t="s">
        <v>2162</v>
      </c>
      <c r="D1044" t="s">
        <v>2161</v>
      </c>
      <c r="E1044" t="s">
        <v>8</v>
      </c>
      <c r="F1044" t="s">
        <v>493</v>
      </c>
      <c r="H1044" s="23" t="str">
        <f>VLOOKUP(A1044,Revisión!$A$2:$L$703,6,FALSE)</f>
        <v>Hepatica acutiloba</v>
      </c>
      <c r="I1044" s="4" t="str">
        <f>VLOOKUP(A1044,Revisión!$A$2:$L$703,7,FALSE)</f>
        <v>Hepatica acutiloba</v>
      </c>
      <c r="J1044" s="4" t="str">
        <f>VLOOKUP(A1044,Revisión!$A$2:$L$703,8,FALSE)</f>
        <v>-</v>
      </c>
      <c r="K1044" s="4" t="str">
        <f>VLOOKUP(A1044,Revisión!$A$2:$L$703,9,FALSE)</f>
        <v>Hepatica acutiloba</v>
      </c>
      <c r="L1044" s="4" t="str">
        <f>VLOOKUP(A1044,Revisión!$A$2:$L$703,10,FALSE)</f>
        <v>Hepatica acutiloba</v>
      </c>
      <c r="M1044" s="18">
        <f>VLOOKUP(A1044,Revisión!$A$2:$L$703,11,FALSE)</f>
        <v>4</v>
      </c>
      <c r="N1044" s="30" t="str">
        <f>IF(E1044="Coinciden",D1044,IF(E1044="Revisar",VLOOKUP(A1044,Revisión!$A$2:$L$703,12,FALSE),""))</f>
        <v>Hepatica acutiloba</v>
      </c>
    </row>
    <row r="1045" spans="1:14" x14ac:dyDescent="0.3">
      <c r="A1045" t="s">
        <v>2163</v>
      </c>
      <c r="B1045" t="s">
        <v>2164</v>
      </c>
      <c r="C1045" t="s">
        <v>2164</v>
      </c>
      <c r="D1045" t="s">
        <v>2164</v>
      </c>
      <c r="E1045" t="s">
        <v>18</v>
      </c>
      <c r="F1045" t="s">
        <v>19</v>
      </c>
      <c r="H1045" s="23" t="e">
        <f>VLOOKUP(A1045,Revisión!$A$2:$L$703,6,FALSE)</f>
        <v>#N/A</v>
      </c>
      <c r="I1045" s="4" t="e">
        <f>VLOOKUP(A1045,Revisión!$A$2:$L$703,7,FALSE)</f>
        <v>#N/A</v>
      </c>
      <c r="J1045" s="4" t="e">
        <f>VLOOKUP(A1045,Revisión!$A$2:$L$703,8,FALSE)</f>
        <v>#N/A</v>
      </c>
      <c r="K1045" s="4" t="e">
        <f>VLOOKUP(A1045,Revisión!$A$2:$L$703,9,FALSE)</f>
        <v>#N/A</v>
      </c>
      <c r="L1045" s="4" t="e">
        <f>VLOOKUP(A1045,Revisión!$A$2:$L$703,10,FALSE)</f>
        <v>#N/A</v>
      </c>
      <c r="M1045" s="18" t="e">
        <f>VLOOKUP(A1045,Revisión!$A$2:$L$703,11,FALSE)</f>
        <v>#N/A</v>
      </c>
      <c r="N1045" s="30" t="str">
        <f>IF(E1045="Coinciden",D1045,IF(E1045="Revisar",VLOOKUP(A1045,Revisión!$A$2:$L$703,12,FALSE),""))</f>
        <v>Heracleum maximum</v>
      </c>
    </row>
    <row r="1046" spans="1:14" x14ac:dyDescent="0.3">
      <c r="A1046" t="s">
        <v>2165</v>
      </c>
      <c r="B1046" t="s">
        <v>2166</v>
      </c>
      <c r="C1046" t="s">
        <v>2166</v>
      </c>
      <c r="D1046" t="s">
        <v>2166</v>
      </c>
      <c r="E1046" t="s">
        <v>18</v>
      </c>
      <c r="F1046" t="s">
        <v>19</v>
      </c>
      <c r="H1046" s="23" t="e">
        <f>VLOOKUP(A1046,Revisión!$A$2:$L$703,6,FALSE)</f>
        <v>#N/A</v>
      </c>
      <c r="I1046" s="4" t="e">
        <f>VLOOKUP(A1046,Revisión!$A$2:$L$703,7,FALSE)</f>
        <v>#N/A</v>
      </c>
      <c r="J1046" s="4" t="e">
        <f>VLOOKUP(A1046,Revisión!$A$2:$L$703,8,FALSE)</f>
        <v>#N/A</v>
      </c>
      <c r="K1046" s="4" t="e">
        <f>VLOOKUP(A1046,Revisión!$A$2:$L$703,9,FALSE)</f>
        <v>#N/A</v>
      </c>
      <c r="L1046" s="4" t="e">
        <f>VLOOKUP(A1046,Revisión!$A$2:$L$703,10,FALSE)</f>
        <v>#N/A</v>
      </c>
      <c r="M1046" s="18" t="e">
        <f>VLOOKUP(A1046,Revisión!$A$2:$L$703,11,FALSE)</f>
        <v>#N/A</v>
      </c>
      <c r="N1046" s="30" t="str">
        <f>IF(E1046="Coinciden",D1046,IF(E1046="Revisar",VLOOKUP(A1046,Revisión!$A$2:$L$703,12,FALSE),""))</f>
        <v>Heritiera littoralis</v>
      </c>
    </row>
    <row r="1047" spans="1:14" x14ac:dyDescent="0.3">
      <c r="A1047" t="s">
        <v>2167</v>
      </c>
      <c r="B1047" t="s">
        <v>2168</v>
      </c>
      <c r="C1047" t="s">
        <v>2169</v>
      </c>
      <c r="D1047" t="s">
        <v>2169</v>
      </c>
      <c r="E1047" t="s">
        <v>8</v>
      </c>
      <c r="F1047" t="s">
        <v>23</v>
      </c>
      <c r="H1047" s="23" t="str">
        <f>VLOOKUP(A1047,Revisión!$A$2:$L$703,6,FALSE)</f>
        <v>Aster hispidus </v>
      </c>
      <c r="I1047" s="4" t="str">
        <f>VLOOKUP(A1047,Revisión!$A$2:$L$703,7,FALSE)</f>
        <v>Aster hispidus </v>
      </c>
      <c r="J1047" s="4" t="str">
        <f>VLOOKUP(A1047,Revisión!$A$2:$L$703,8,FALSE)</f>
        <v>-</v>
      </c>
      <c r="K1047" s="4" t="str">
        <f>VLOOKUP(A1047,Revisión!$A$2:$L$703,9,FALSE)</f>
        <v>Aster hispidus </v>
      </c>
      <c r="L1047" s="4" t="str">
        <f>VLOOKUP(A1047,Revisión!$A$2:$L$703,10,FALSE)</f>
        <v>Aster hispidus </v>
      </c>
      <c r="M1047" s="18">
        <f>VLOOKUP(A1047,Revisión!$A$2:$L$703,11,FALSE)</f>
        <v>4</v>
      </c>
      <c r="N1047" s="30" t="str">
        <f>IF(E1047="Coinciden",D1047,IF(E1047="Revisar",VLOOKUP(A1047,Revisión!$A$2:$L$703,12,FALSE),""))</f>
        <v>Aster hispidus </v>
      </c>
    </row>
    <row r="1048" spans="1:14" x14ac:dyDescent="0.3">
      <c r="A1048" t="s">
        <v>2170</v>
      </c>
      <c r="E1048" t="s">
        <v>8</v>
      </c>
      <c r="F1048" t="s">
        <v>11</v>
      </c>
      <c r="H1048" s="23" t="e">
        <f>VLOOKUP(A1048,Revisión!$A$2:$L$703,6,FALSE)</f>
        <v>#N/A</v>
      </c>
      <c r="I1048" s="4" t="e">
        <f>VLOOKUP(A1048,Revisión!$A$2:$L$703,7,FALSE)</f>
        <v>#N/A</v>
      </c>
      <c r="J1048" s="4" t="e">
        <f>VLOOKUP(A1048,Revisión!$A$2:$L$703,8,FALSE)</f>
        <v>#N/A</v>
      </c>
      <c r="K1048" s="4" t="e">
        <f>VLOOKUP(A1048,Revisión!$A$2:$L$703,9,FALSE)</f>
        <v>#N/A</v>
      </c>
      <c r="L1048" s="4" t="e">
        <f>VLOOKUP(A1048,Revisión!$A$2:$L$703,10,FALSE)</f>
        <v>#N/A</v>
      </c>
      <c r="M1048" s="18" t="e">
        <f>VLOOKUP(A1048,Revisión!$A$2:$L$703,11,FALSE)</f>
        <v>#N/A</v>
      </c>
      <c r="N1048" s="30" t="e">
        <f>IF(E1048="Coinciden",D1048,IF(E1048="Revisar",VLOOKUP(A1048,Revisión!$A$2:$L$703,12,FALSE),""))</f>
        <v>#N/A</v>
      </c>
    </row>
    <row r="1049" spans="1:14" x14ac:dyDescent="0.3">
      <c r="A1049" t="s">
        <v>2171</v>
      </c>
      <c r="E1049" t="s">
        <v>8</v>
      </c>
      <c r="F1049" t="s">
        <v>11</v>
      </c>
      <c r="H1049" s="23" t="e">
        <f>VLOOKUP(A1049,Revisión!$A$2:$L$703,6,FALSE)</f>
        <v>#N/A</v>
      </c>
      <c r="I1049" s="4" t="e">
        <f>VLOOKUP(A1049,Revisión!$A$2:$L$703,7,FALSE)</f>
        <v>#N/A</v>
      </c>
      <c r="J1049" s="4" t="e">
        <f>VLOOKUP(A1049,Revisión!$A$2:$L$703,8,FALSE)</f>
        <v>#N/A</v>
      </c>
      <c r="K1049" s="4" t="e">
        <f>VLOOKUP(A1049,Revisión!$A$2:$L$703,9,FALSE)</f>
        <v>#N/A</v>
      </c>
      <c r="L1049" s="4" t="e">
        <f>VLOOKUP(A1049,Revisión!$A$2:$L$703,10,FALSE)</f>
        <v>#N/A</v>
      </c>
      <c r="M1049" s="18" t="e">
        <f>VLOOKUP(A1049,Revisión!$A$2:$L$703,11,FALSE)</f>
        <v>#N/A</v>
      </c>
      <c r="N1049" s="30" t="e">
        <f>IF(E1049="Coinciden",D1049,IF(E1049="Revisar",VLOOKUP(A1049,Revisión!$A$2:$L$703,12,FALSE),""))</f>
        <v>#N/A</v>
      </c>
    </row>
    <row r="1050" spans="1:14" x14ac:dyDescent="0.3">
      <c r="A1050" t="s">
        <v>2172</v>
      </c>
      <c r="D1050" t="s">
        <v>2173</v>
      </c>
      <c r="E1050" t="s">
        <v>8</v>
      </c>
      <c r="F1050" t="s">
        <v>9</v>
      </c>
      <c r="H1050" s="23" t="str">
        <f>VLOOKUP(A1050,Revisión!$A$2:$L$703,6,FALSE)</f>
        <v>Heuchera americana var. hispida</v>
      </c>
      <c r="I1050" s="4" t="str">
        <f>VLOOKUP(A1050,Revisión!$A$2:$L$703,7,FALSE)</f>
        <v>Heuchera americana var. hispida</v>
      </c>
      <c r="J1050" s="4" t="str">
        <f>VLOOKUP(A1050,Revisión!$A$2:$L$703,8,FALSE)</f>
        <v>-</v>
      </c>
      <c r="K1050" s="4" t="str">
        <f>VLOOKUP(A1050,Revisión!$A$2:$L$703,9,FALSE)</f>
        <v>Heuchera americana var. hispida</v>
      </c>
      <c r="L1050" s="4" t="str">
        <f>VLOOKUP(A1050,Revisión!$A$2:$L$703,10,FALSE)</f>
        <v>Heuchera americana var. hispida</v>
      </c>
      <c r="M1050" s="18">
        <f>VLOOKUP(A1050,Revisión!$A$2:$L$703,11,FALSE)</f>
        <v>4</v>
      </c>
      <c r="N1050" s="30" t="str">
        <f>IF(E1050="Coinciden",D1050,IF(E1050="Revisar",VLOOKUP(A1050,Revisión!$A$2:$L$703,12,FALSE),""))</f>
        <v>Heuchera americana var. hispida</v>
      </c>
    </row>
    <row r="1051" spans="1:14" x14ac:dyDescent="0.3">
      <c r="A1051" t="s">
        <v>2174</v>
      </c>
      <c r="C1051" t="s">
        <v>2175</v>
      </c>
      <c r="D1051" t="s">
        <v>2175</v>
      </c>
      <c r="E1051" t="s">
        <v>8</v>
      </c>
      <c r="F1051" t="s">
        <v>49</v>
      </c>
      <c r="H1051" s="23" t="str">
        <f>VLOOKUP(A1051,Revisión!$A$2:$L$703,6,FALSE)</f>
        <v>Talipariti tiliaceum</v>
      </c>
      <c r="I1051" s="4" t="str">
        <f>VLOOKUP(A1051,Revisión!$A$2:$L$703,7,FALSE)</f>
        <v>Hibiscus tiliaceus</v>
      </c>
      <c r="J1051" s="4" t="str">
        <f>VLOOKUP(A1051,Revisión!$A$2:$L$703,8,FALSE)</f>
        <v>Hibiscus tiliaceus</v>
      </c>
      <c r="K1051" s="4" t="str">
        <f>VLOOKUP(A1051,Revisión!$A$2:$L$703,9,FALSE)</f>
        <v>Hibiscus tiliaceus</v>
      </c>
      <c r="L1051" s="4" t="str">
        <f>VLOOKUP(A1051,Revisión!$A$2:$L$703,10,FALSE)</f>
        <v>Talipariti tiliaceum</v>
      </c>
      <c r="M1051" s="18">
        <f>VLOOKUP(A1051,Revisión!$A$2:$L$703,11,FALSE)</f>
        <v>3</v>
      </c>
      <c r="N1051" s="30" t="str">
        <f>IF(E1051="Coinciden",D1051,IF(E1051="Revisar",VLOOKUP(A1051,Revisión!$A$2:$L$703,12,FALSE),""))</f>
        <v>Hibiscus tiliaceus</v>
      </c>
    </row>
    <row r="1052" spans="1:14" x14ac:dyDescent="0.3">
      <c r="A1052" t="s">
        <v>2176</v>
      </c>
      <c r="B1052" t="s">
        <v>2177</v>
      </c>
      <c r="C1052" t="s">
        <v>2177</v>
      </c>
      <c r="D1052" t="s">
        <v>2177</v>
      </c>
      <c r="E1052" t="s">
        <v>18</v>
      </c>
      <c r="F1052" t="s">
        <v>19</v>
      </c>
      <c r="H1052" s="23" t="e">
        <f>VLOOKUP(A1052,Revisión!$A$2:$L$703,6,FALSE)</f>
        <v>#N/A</v>
      </c>
      <c r="I1052" s="4" t="e">
        <f>VLOOKUP(A1052,Revisión!$A$2:$L$703,7,FALSE)</f>
        <v>#N/A</v>
      </c>
      <c r="J1052" s="4" t="e">
        <f>VLOOKUP(A1052,Revisión!$A$2:$L$703,8,FALSE)</f>
        <v>#N/A</v>
      </c>
      <c r="K1052" s="4" t="e">
        <f>VLOOKUP(A1052,Revisión!$A$2:$L$703,9,FALSE)</f>
        <v>#N/A</v>
      </c>
      <c r="L1052" s="4" t="e">
        <f>VLOOKUP(A1052,Revisión!$A$2:$L$703,10,FALSE)</f>
        <v>#N/A</v>
      </c>
      <c r="M1052" s="18" t="e">
        <f>VLOOKUP(A1052,Revisión!$A$2:$L$703,11,FALSE)</f>
        <v>#N/A</v>
      </c>
      <c r="N1052" s="30" t="str">
        <f>IF(E1052="Coinciden",D1052,IF(E1052="Revisar",VLOOKUP(A1052,Revisión!$A$2:$L$703,12,FALSE),""))</f>
        <v>Hibiscus trionum</v>
      </c>
    </row>
    <row r="1053" spans="1:14" x14ac:dyDescent="0.3">
      <c r="A1053" t="s">
        <v>2178</v>
      </c>
      <c r="B1053" t="s">
        <v>2179</v>
      </c>
      <c r="C1053" t="s">
        <v>2179</v>
      </c>
      <c r="D1053" t="s">
        <v>2179</v>
      </c>
      <c r="E1053" t="s">
        <v>18</v>
      </c>
      <c r="F1053" t="s">
        <v>19</v>
      </c>
      <c r="H1053" s="23" t="e">
        <f>VLOOKUP(A1053,Revisión!$A$2:$L$703,6,FALSE)</f>
        <v>#N/A</v>
      </c>
      <c r="I1053" s="4" t="e">
        <f>VLOOKUP(A1053,Revisión!$A$2:$L$703,7,FALSE)</f>
        <v>#N/A</v>
      </c>
      <c r="J1053" s="4" t="e">
        <f>VLOOKUP(A1053,Revisión!$A$2:$L$703,8,FALSE)</f>
        <v>#N/A</v>
      </c>
      <c r="K1053" s="4" t="e">
        <f>VLOOKUP(A1053,Revisión!$A$2:$L$703,9,FALSE)</f>
        <v>#N/A</v>
      </c>
      <c r="L1053" s="4" t="e">
        <f>VLOOKUP(A1053,Revisión!$A$2:$L$703,10,FALSE)</f>
        <v>#N/A</v>
      </c>
      <c r="M1053" s="18" t="e">
        <f>VLOOKUP(A1053,Revisión!$A$2:$L$703,11,FALSE)</f>
        <v>#N/A</v>
      </c>
      <c r="N1053" s="30" t="str">
        <f>IF(E1053="Coinciden",D1053,IF(E1053="Revisar",VLOOKUP(A1053,Revisión!$A$2:$L$703,12,FALSE),""))</f>
        <v>Hibiscus syriacus</v>
      </c>
    </row>
    <row r="1054" spans="1:14" x14ac:dyDescent="0.3">
      <c r="A1054" t="s">
        <v>2180</v>
      </c>
      <c r="B1054" t="s">
        <v>2181</v>
      </c>
      <c r="C1054" t="s">
        <v>2181</v>
      </c>
      <c r="D1054" t="s">
        <v>2181</v>
      </c>
      <c r="E1054" t="s">
        <v>18</v>
      </c>
      <c r="F1054" t="s">
        <v>19</v>
      </c>
      <c r="H1054" s="23" t="e">
        <f>VLOOKUP(A1054,Revisión!$A$2:$L$703,6,FALSE)</f>
        <v>#N/A</v>
      </c>
      <c r="I1054" s="4" t="e">
        <f>VLOOKUP(A1054,Revisión!$A$2:$L$703,7,FALSE)</f>
        <v>#N/A</v>
      </c>
      <c r="J1054" s="4" t="e">
        <f>VLOOKUP(A1054,Revisión!$A$2:$L$703,8,FALSE)</f>
        <v>#N/A</v>
      </c>
      <c r="K1054" s="4" t="e">
        <f>VLOOKUP(A1054,Revisión!$A$2:$L$703,9,FALSE)</f>
        <v>#N/A</v>
      </c>
      <c r="L1054" s="4" t="e">
        <f>VLOOKUP(A1054,Revisión!$A$2:$L$703,10,FALSE)</f>
        <v>#N/A</v>
      </c>
      <c r="M1054" s="18" t="e">
        <f>VLOOKUP(A1054,Revisión!$A$2:$L$703,11,FALSE)</f>
        <v>#N/A</v>
      </c>
      <c r="N1054" s="30" t="str">
        <f>IF(E1054="Coinciden",D1054,IF(E1054="Revisar",VLOOKUP(A1054,Revisión!$A$2:$L$703,12,FALSE),""))</f>
        <v>Hibiscus laevis</v>
      </c>
    </row>
    <row r="1055" spans="1:14" x14ac:dyDescent="0.3">
      <c r="A1055" t="s">
        <v>2182</v>
      </c>
      <c r="B1055" t="s">
        <v>2181</v>
      </c>
      <c r="C1055" t="s">
        <v>2181</v>
      </c>
      <c r="D1055" t="s">
        <v>2181</v>
      </c>
      <c r="E1055" t="s">
        <v>18</v>
      </c>
      <c r="F1055" t="s">
        <v>19</v>
      </c>
      <c r="H1055" s="23" t="e">
        <f>VLOOKUP(A1055,Revisión!$A$2:$L$703,6,FALSE)</f>
        <v>#N/A</v>
      </c>
      <c r="I1055" s="4" t="e">
        <f>VLOOKUP(A1055,Revisión!$A$2:$L$703,7,FALSE)</f>
        <v>#N/A</v>
      </c>
      <c r="J1055" s="4" t="e">
        <f>VLOOKUP(A1055,Revisión!$A$2:$L$703,8,FALSE)</f>
        <v>#N/A</v>
      </c>
      <c r="K1055" s="4" t="e">
        <f>VLOOKUP(A1055,Revisión!$A$2:$L$703,9,FALSE)</f>
        <v>#N/A</v>
      </c>
      <c r="L1055" s="4" t="e">
        <f>VLOOKUP(A1055,Revisión!$A$2:$L$703,10,FALSE)</f>
        <v>#N/A</v>
      </c>
      <c r="M1055" s="18" t="e">
        <f>VLOOKUP(A1055,Revisión!$A$2:$L$703,11,FALSE)</f>
        <v>#N/A</v>
      </c>
      <c r="N1055" s="30" t="str">
        <f>IF(E1055="Coinciden",D1055,IF(E1055="Revisar",VLOOKUP(A1055,Revisión!$A$2:$L$703,12,FALSE),""))</f>
        <v>Hibiscus laevis</v>
      </c>
    </row>
    <row r="1056" spans="1:14" x14ac:dyDescent="0.3">
      <c r="A1056" t="s">
        <v>2183</v>
      </c>
      <c r="C1056" t="s">
        <v>2184</v>
      </c>
      <c r="D1056" t="s">
        <v>2184</v>
      </c>
      <c r="E1056" t="s">
        <v>8</v>
      </c>
      <c r="F1056" t="s">
        <v>49</v>
      </c>
      <c r="H1056" s="23" t="str">
        <f>VLOOKUP(A1056,Revisión!$A$2:$L$703,6,FALSE)</f>
        <v>Hibiscus makinoi</v>
      </c>
      <c r="I1056" s="4" t="str">
        <f>VLOOKUP(A1056,Revisión!$A$2:$L$703,7,FALSE)</f>
        <v>Hibiscus makinoi</v>
      </c>
      <c r="J1056" s="4" t="str">
        <f>VLOOKUP(A1056,Revisión!$A$2:$L$703,8,FALSE)</f>
        <v>Hibiscus makinoi</v>
      </c>
      <c r="K1056" s="4" t="str">
        <f>VLOOKUP(A1056,Revisión!$A$2:$L$703,9,FALSE)</f>
        <v>Hibiscus makinoi</v>
      </c>
      <c r="L1056" s="4" t="str">
        <f>VLOOKUP(A1056,Revisión!$A$2:$L$703,10,FALSE)</f>
        <v>Hibiscus makinoi</v>
      </c>
      <c r="M1056" s="18">
        <f>VLOOKUP(A1056,Revisión!$A$2:$L$703,11,FALSE)</f>
        <v>5</v>
      </c>
      <c r="N1056" s="30" t="str">
        <f>IF(E1056="Coinciden",D1056,IF(E1056="Revisar",VLOOKUP(A1056,Revisión!$A$2:$L$703,12,FALSE),""))</f>
        <v>Hibiscus makinoi</v>
      </c>
    </row>
    <row r="1057" spans="1:14" x14ac:dyDescent="0.3">
      <c r="A1057" t="s">
        <v>2185</v>
      </c>
      <c r="B1057" t="s">
        <v>2186</v>
      </c>
      <c r="C1057" t="s">
        <v>2186</v>
      </c>
      <c r="D1057" t="s">
        <v>2186</v>
      </c>
      <c r="E1057" t="s">
        <v>18</v>
      </c>
      <c r="F1057" t="s">
        <v>19</v>
      </c>
      <c r="H1057" s="23" t="e">
        <f>VLOOKUP(A1057,Revisión!$A$2:$L$703,6,FALSE)</f>
        <v>#N/A</v>
      </c>
      <c r="I1057" s="4" t="e">
        <f>VLOOKUP(A1057,Revisión!$A$2:$L$703,7,FALSE)</f>
        <v>#N/A</v>
      </c>
      <c r="J1057" s="4" t="e">
        <f>VLOOKUP(A1057,Revisión!$A$2:$L$703,8,FALSE)</f>
        <v>#N/A</v>
      </c>
      <c r="K1057" s="4" t="e">
        <f>VLOOKUP(A1057,Revisión!$A$2:$L$703,9,FALSE)</f>
        <v>#N/A</v>
      </c>
      <c r="L1057" s="4" t="e">
        <f>VLOOKUP(A1057,Revisión!$A$2:$L$703,10,FALSE)</f>
        <v>#N/A</v>
      </c>
      <c r="M1057" s="18" t="e">
        <f>VLOOKUP(A1057,Revisión!$A$2:$L$703,11,FALSE)</f>
        <v>#N/A</v>
      </c>
      <c r="N1057" s="30" t="str">
        <f>IF(E1057="Coinciden",D1057,IF(E1057="Revisar",VLOOKUP(A1057,Revisión!$A$2:$L$703,12,FALSE),""))</f>
        <v>Hibiscus moscheutos subsp. lasiocarpos</v>
      </c>
    </row>
    <row r="1058" spans="1:14" x14ac:dyDescent="0.3">
      <c r="A1058" t="s">
        <v>2187</v>
      </c>
      <c r="B1058" t="s">
        <v>2188</v>
      </c>
      <c r="C1058" t="s">
        <v>2189</v>
      </c>
      <c r="D1058" t="s">
        <v>2189</v>
      </c>
      <c r="E1058" t="s">
        <v>8</v>
      </c>
      <c r="F1058" t="s">
        <v>23</v>
      </c>
      <c r="H1058" s="23" t="str">
        <f>VLOOKUP(A1058,Revisión!$A$2:$L$703,6,FALSE)</f>
        <v>Talipariti hamabo</v>
      </c>
      <c r="I1058" s="4" t="str">
        <f>VLOOKUP(A1058,Revisión!$A$2:$L$703,7,FALSE)</f>
        <v>Hibiscus hamabo</v>
      </c>
      <c r="J1058" s="4" t="str">
        <f>VLOOKUP(A1058,Revisión!$A$2:$L$703,8,FALSE)</f>
        <v>Hibiscus hamabo</v>
      </c>
      <c r="K1058" s="4" t="str">
        <f>VLOOKUP(A1058,Revisión!$A$2:$L$703,9,FALSE)</f>
        <v>Hibiscus hamabo</v>
      </c>
      <c r="L1058" s="4" t="str">
        <f>VLOOKUP(A1058,Revisión!$A$2:$L$703,10,FALSE)</f>
        <v>Talipariti hamabo</v>
      </c>
      <c r="M1058" s="18">
        <f>VLOOKUP(A1058,Revisión!$A$2:$L$703,11,FALSE)</f>
        <v>3</v>
      </c>
      <c r="N1058" s="30" t="str">
        <f>IF(E1058="Coinciden",D1058,IF(E1058="Revisar",VLOOKUP(A1058,Revisión!$A$2:$L$703,12,FALSE),""))</f>
        <v>Hibiscus hamabo</v>
      </c>
    </row>
    <row r="1059" spans="1:14" x14ac:dyDescent="0.3">
      <c r="A1059" t="s">
        <v>2190</v>
      </c>
      <c r="B1059" t="s">
        <v>2191</v>
      </c>
      <c r="C1059" t="s">
        <v>2175</v>
      </c>
      <c r="D1059" t="s">
        <v>2175</v>
      </c>
      <c r="E1059" t="s">
        <v>8</v>
      </c>
      <c r="F1059" t="s">
        <v>23</v>
      </c>
      <c r="H1059" s="23" t="str">
        <f>VLOOKUP(A1059,Revisión!$A$2:$L$703,6,FALSE)</f>
        <v>Talipariti tiliaceum</v>
      </c>
      <c r="I1059" s="4" t="str">
        <f>VLOOKUP(A1059,Revisión!$A$2:$L$703,7,FALSE)</f>
        <v>Hibiscus tiliaceus</v>
      </c>
      <c r="J1059" s="4" t="str">
        <f>VLOOKUP(A1059,Revisión!$A$2:$L$703,8,FALSE)</f>
        <v>Hibiscus tiliaceus</v>
      </c>
      <c r="K1059" s="4" t="str">
        <f>VLOOKUP(A1059,Revisión!$A$2:$L$703,9,FALSE)</f>
        <v>Hibiscus tiliaceus</v>
      </c>
      <c r="L1059" s="4" t="str">
        <f>VLOOKUP(A1059,Revisión!$A$2:$L$703,10,FALSE)</f>
        <v>Talipariti tiliaceum</v>
      </c>
      <c r="M1059" s="18">
        <f>VLOOKUP(A1059,Revisión!$A$2:$L$703,11,FALSE)</f>
        <v>3</v>
      </c>
      <c r="N1059" s="30" t="str">
        <f>IF(E1059="Coinciden",D1059,IF(E1059="Revisar",VLOOKUP(A1059,Revisión!$A$2:$L$703,12,FALSE),""))</f>
        <v>Hibiscus tiliaceus</v>
      </c>
    </row>
    <row r="1060" spans="1:14" x14ac:dyDescent="0.3">
      <c r="A1060" t="s">
        <v>2192</v>
      </c>
      <c r="B1060" t="s">
        <v>2193</v>
      </c>
      <c r="C1060" t="s">
        <v>2193</v>
      </c>
      <c r="D1060" t="s">
        <v>2193</v>
      </c>
      <c r="E1060" t="s">
        <v>18</v>
      </c>
      <c r="F1060" t="s">
        <v>19</v>
      </c>
      <c r="H1060" s="23" t="e">
        <f>VLOOKUP(A1060,Revisión!$A$2:$L$703,6,FALSE)</f>
        <v>#N/A</v>
      </c>
      <c r="I1060" s="4" t="e">
        <f>VLOOKUP(A1060,Revisión!$A$2:$L$703,7,FALSE)</f>
        <v>#N/A</v>
      </c>
      <c r="J1060" s="4" t="e">
        <f>VLOOKUP(A1060,Revisión!$A$2:$L$703,8,FALSE)</f>
        <v>#N/A</v>
      </c>
      <c r="K1060" s="4" t="e">
        <f>VLOOKUP(A1060,Revisión!$A$2:$L$703,9,FALSE)</f>
        <v>#N/A</v>
      </c>
      <c r="L1060" s="4" t="e">
        <f>VLOOKUP(A1060,Revisión!$A$2:$L$703,10,FALSE)</f>
        <v>#N/A</v>
      </c>
      <c r="M1060" s="18" t="e">
        <f>VLOOKUP(A1060,Revisión!$A$2:$L$703,11,FALSE)</f>
        <v>#N/A</v>
      </c>
      <c r="N1060" s="30" t="str">
        <f>IF(E1060="Coinciden",D1060,IF(E1060="Revisar",VLOOKUP(A1060,Revisión!$A$2:$L$703,12,FALSE),""))</f>
        <v>Hieracium umbellatum</v>
      </c>
    </row>
    <row r="1061" spans="1:14" x14ac:dyDescent="0.3">
      <c r="A1061" t="s">
        <v>2194</v>
      </c>
      <c r="B1061" t="s">
        <v>2195</v>
      </c>
      <c r="C1061" t="s">
        <v>2196</v>
      </c>
      <c r="D1061" t="s">
        <v>2196</v>
      </c>
      <c r="E1061" t="s">
        <v>8</v>
      </c>
      <c r="F1061" t="s">
        <v>23</v>
      </c>
      <c r="H1061" s="23" t="str">
        <f>VLOOKUP(A1061,Revisión!$A$2:$L$703,6,FALSE)</f>
        <v>Pilosella piloselloides subsp. praealta</v>
      </c>
      <c r="I1061" s="4" t="str">
        <f>VLOOKUP(A1061,Revisión!$A$2:$L$703,7,FALSE)</f>
        <v>Pilosella piloselloides subsp. praealta</v>
      </c>
      <c r="J1061" s="4" t="str">
        <f>VLOOKUP(A1061,Revisión!$A$2:$L$703,8,FALSE)</f>
        <v>-</v>
      </c>
      <c r="K1061" s="4" t="str">
        <f>VLOOKUP(A1061,Revisión!$A$2:$L$703,9,FALSE)</f>
        <v>Pilosella piloselloides subsp. praealta</v>
      </c>
      <c r="L1061" s="4" t="str">
        <f>VLOOKUP(A1061,Revisión!$A$2:$L$703,10,FALSE)</f>
        <v>Pilosella piloselloides subsp. praealta</v>
      </c>
      <c r="M1061" s="18">
        <f>VLOOKUP(A1061,Revisión!$A$2:$L$703,11,FALSE)</f>
        <v>4</v>
      </c>
      <c r="N1061" s="30" t="str">
        <f>IF(E1061="Coinciden",D1061,IF(E1061="Revisar",VLOOKUP(A1061,Revisión!$A$2:$L$703,12,FALSE),""))</f>
        <v>Pilosella piloselloides subsp. praealta</v>
      </c>
    </row>
    <row r="1062" spans="1:14" x14ac:dyDescent="0.3">
      <c r="A1062" t="s">
        <v>2197</v>
      </c>
      <c r="B1062" t="s">
        <v>2198</v>
      </c>
      <c r="C1062" t="s">
        <v>2198</v>
      </c>
      <c r="D1062" t="s">
        <v>2198</v>
      </c>
      <c r="E1062" t="s">
        <v>18</v>
      </c>
      <c r="F1062" t="s">
        <v>19</v>
      </c>
      <c r="H1062" s="23" t="e">
        <f>VLOOKUP(A1062,Revisión!$A$2:$L$703,6,FALSE)</f>
        <v>#N/A</v>
      </c>
      <c r="I1062" s="4" t="e">
        <f>VLOOKUP(A1062,Revisión!$A$2:$L$703,7,FALSE)</f>
        <v>#N/A</v>
      </c>
      <c r="J1062" s="4" t="e">
        <f>VLOOKUP(A1062,Revisión!$A$2:$L$703,8,FALSE)</f>
        <v>#N/A</v>
      </c>
      <c r="K1062" s="4" t="e">
        <f>VLOOKUP(A1062,Revisión!$A$2:$L$703,9,FALSE)</f>
        <v>#N/A</v>
      </c>
      <c r="L1062" s="4" t="e">
        <f>VLOOKUP(A1062,Revisión!$A$2:$L$703,10,FALSE)</f>
        <v>#N/A</v>
      </c>
      <c r="M1062" s="18" t="e">
        <f>VLOOKUP(A1062,Revisión!$A$2:$L$703,11,FALSE)</f>
        <v>#N/A</v>
      </c>
      <c r="N1062" s="30" t="str">
        <f>IF(E1062="Coinciden",D1062,IF(E1062="Revisar",VLOOKUP(A1062,Revisión!$A$2:$L$703,12,FALSE),""))</f>
        <v>Pilosella officinarum</v>
      </c>
    </row>
    <row r="1063" spans="1:14" x14ac:dyDescent="0.3">
      <c r="A1063" t="s">
        <v>2199</v>
      </c>
      <c r="B1063" t="s">
        <v>2200</v>
      </c>
      <c r="C1063" t="s">
        <v>2200</v>
      </c>
      <c r="D1063" t="s">
        <v>2201</v>
      </c>
      <c r="E1063" t="s">
        <v>8</v>
      </c>
      <c r="F1063" t="s">
        <v>15</v>
      </c>
      <c r="H1063" s="23" t="str">
        <f>VLOOKUP(A1063,Revisión!$A$2:$L$703,6,FALSE)</f>
        <v>Paposoa laeta</v>
      </c>
      <c r="I1063" s="4" t="str">
        <f>VLOOKUP(A1063,Revisión!$A$2:$L$703,7,FALSE)</f>
        <v>Rhodophiala pratensis</v>
      </c>
      <c r="J1063" s="4" t="str">
        <f>VLOOKUP(A1063,Revisión!$A$2:$L$703,8,FALSE)</f>
        <v>-</v>
      </c>
      <c r="K1063" s="4" t="str">
        <f>VLOOKUP(A1063,Revisión!$A$2:$L$703,9,FALSE)</f>
        <v>Paposoa laeta</v>
      </c>
      <c r="L1063" s="4" t="str">
        <f>VLOOKUP(A1063,Revisión!$A$2:$L$703,10,FALSE)</f>
        <v>Paposoa laeta</v>
      </c>
      <c r="M1063" s="18">
        <f>VLOOKUP(A1063,Revisión!$A$2:$L$703,11,FALSE)</f>
        <v>3</v>
      </c>
      <c r="N1063" s="30" t="str">
        <f>IF(E1063="Coinciden",D1063,IF(E1063="Revisar",VLOOKUP(A1063,Revisión!$A$2:$L$703,12,FALSE),""))</f>
        <v>Paposoa laeta</v>
      </c>
    </row>
    <row r="1064" spans="1:14" x14ac:dyDescent="0.3">
      <c r="A1064" t="s">
        <v>2202</v>
      </c>
      <c r="B1064" t="s">
        <v>2203</v>
      </c>
      <c r="C1064" t="s">
        <v>2203</v>
      </c>
      <c r="D1064" t="s">
        <v>2203</v>
      </c>
      <c r="E1064" t="s">
        <v>18</v>
      </c>
      <c r="F1064" t="s">
        <v>19</v>
      </c>
      <c r="H1064" s="23" t="e">
        <f>VLOOKUP(A1064,Revisión!$A$2:$L$703,6,FALSE)</f>
        <v>#N/A</v>
      </c>
      <c r="I1064" s="4" t="e">
        <f>VLOOKUP(A1064,Revisión!$A$2:$L$703,7,FALSE)</f>
        <v>#N/A</v>
      </c>
      <c r="J1064" s="4" t="e">
        <f>VLOOKUP(A1064,Revisión!$A$2:$L$703,8,FALSE)</f>
        <v>#N/A</v>
      </c>
      <c r="K1064" s="4" t="e">
        <f>VLOOKUP(A1064,Revisión!$A$2:$L$703,9,FALSE)</f>
        <v>#N/A</v>
      </c>
      <c r="L1064" s="4" t="e">
        <f>VLOOKUP(A1064,Revisión!$A$2:$L$703,10,FALSE)</f>
        <v>#N/A</v>
      </c>
      <c r="M1064" s="18" t="e">
        <f>VLOOKUP(A1064,Revisión!$A$2:$L$703,11,FALSE)</f>
        <v>#N/A</v>
      </c>
      <c r="N1064" s="30" t="str">
        <f>IF(E1064="Coinciden",D1064,IF(E1064="Revisar",VLOOKUP(A1064,Revisión!$A$2:$L$703,12,FALSE),""))</f>
        <v>Hirschfeldia incana</v>
      </c>
    </row>
    <row r="1065" spans="1:14" x14ac:dyDescent="0.3">
      <c r="A1065" t="s">
        <v>2204</v>
      </c>
      <c r="B1065" t="s">
        <v>2205</v>
      </c>
      <c r="C1065" t="s">
        <v>2205</v>
      </c>
      <c r="D1065" t="s">
        <v>2205</v>
      </c>
      <c r="E1065" t="s">
        <v>18</v>
      </c>
      <c r="F1065" t="s">
        <v>19</v>
      </c>
      <c r="H1065" s="23" t="e">
        <f>VLOOKUP(A1065,Revisión!$A$2:$L$703,6,FALSE)</f>
        <v>#N/A</v>
      </c>
      <c r="I1065" s="4" t="e">
        <f>VLOOKUP(A1065,Revisión!$A$2:$L$703,7,FALSE)</f>
        <v>#N/A</v>
      </c>
      <c r="J1065" s="4" t="e">
        <f>VLOOKUP(A1065,Revisión!$A$2:$L$703,8,FALSE)</f>
        <v>#N/A</v>
      </c>
      <c r="K1065" s="4" t="e">
        <f>VLOOKUP(A1065,Revisión!$A$2:$L$703,9,FALSE)</f>
        <v>#N/A</v>
      </c>
      <c r="L1065" s="4" t="e">
        <f>VLOOKUP(A1065,Revisión!$A$2:$L$703,10,FALSE)</f>
        <v>#N/A</v>
      </c>
      <c r="M1065" s="18" t="e">
        <f>VLOOKUP(A1065,Revisión!$A$2:$L$703,11,FALSE)</f>
        <v>#N/A</v>
      </c>
      <c r="N1065" s="30" t="str">
        <f>IF(E1065="Coinciden",D1065,IF(E1065="Revisar",VLOOKUP(A1065,Revisión!$A$2:$L$703,12,FALSE),""))</f>
        <v>Hoheria glabrata</v>
      </c>
    </row>
    <row r="1066" spans="1:14" x14ac:dyDescent="0.3">
      <c r="A1066" t="s">
        <v>2206</v>
      </c>
      <c r="B1066" t="s">
        <v>2207</v>
      </c>
      <c r="D1066" t="s">
        <v>2207</v>
      </c>
      <c r="E1066" t="s">
        <v>8</v>
      </c>
      <c r="F1066" t="s">
        <v>34</v>
      </c>
      <c r="H1066" s="23" t="str">
        <f>VLOOKUP(A1066,Revisión!$A$2:$L$703,6,FALSE)</f>
        <v>Holodiscus australis</v>
      </c>
      <c r="I1066" s="4" t="str">
        <f>VLOOKUP(A1066,Revisión!$A$2:$L$703,7,FALSE)</f>
        <v>Holodiscus australis </v>
      </c>
      <c r="J1066" s="4" t="str">
        <f>VLOOKUP(A1066,Revisión!$A$2:$L$703,8,FALSE)</f>
        <v>-</v>
      </c>
      <c r="K1066" s="4" t="str">
        <f>VLOOKUP(A1066,Revisión!$A$2:$L$703,9,FALSE)</f>
        <v>Holodiscus australis </v>
      </c>
      <c r="L1066" s="4" t="str">
        <f>VLOOKUP(A1066,Revisión!$A$2:$L$703,10,FALSE)</f>
        <v>Holodiscus australis </v>
      </c>
      <c r="M1066" s="18">
        <f>VLOOKUP(A1066,Revisión!$A$2:$L$703,11,FALSE)</f>
        <v>4</v>
      </c>
      <c r="N1066" s="30" t="str">
        <f>IF(E1066="Coinciden",D1066,IF(E1066="Revisar",VLOOKUP(A1066,Revisión!$A$2:$L$703,12,FALSE),""))</f>
        <v>Holodiscus australis </v>
      </c>
    </row>
    <row r="1067" spans="1:14" x14ac:dyDescent="0.3">
      <c r="A1067" t="s">
        <v>2208</v>
      </c>
      <c r="B1067" t="s">
        <v>2209</v>
      </c>
      <c r="C1067" t="s">
        <v>2209</v>
      </c>
      <c r="D1067" t="s">
        <v>2209</v>
      </c>
      <c r="E1067" t="s">
        <v>18</v>
      </c>
      <c r="F1067" t="s">
        <v>19</v>
      </c>
      <c r="H1067" s="23" t="e">
        <f>VLOOKUP(A1067,Revisión!$A$2:$L$703,6,FALSE)</f>
        <v>#N/A</v>
      </c>
      <c r="I1067" s="4" t="e">
        <f>VLOOKUP(A1067,Revisión!$A$2:$L$703,7,FALSE)</f>
        <v>#N/A</v>
      </c>
      <c r="J1067" s="4" t="e">
        <f>VLOOKUP(A1067,Revisión!$A$2:$L$703,8,FALSE)</f>
        <v>#N/A</v>
      </c>
      <c r="K1067" s="4" t="e">
        <f>VLOOKUP(A1067,Revisión!$A$2:$L$703,9,FALSE)</f>
        <v>#N/A</v>
      </c>
      <c r="L1067" s="4" t="e">
        <f>VLOOKUP(A1067,Revisión!$A$2:$L$703,10,FALSE)</f>
        <v>#N/A</v>
      </c>
      <c r="M1067" s="18" t="e">
        <f>VLOOKUP(A1067,Revisión!$A$2:$L$703,11,FALSE)</f>
        <v>#N/A</v>
      </c>
      <c r="N1067" s="30" t="str">
        <f>IF(E1067="Coinciden",D1067,IF(E1067="Revisar",VLOOKUP(A1067,Revisión!$A$2:$L$703,12,FALSE),""))</f>
        <v>Homalanthus populifolius</v>
      </c>
    </row>
    <row r="1068" spans="1:14" x14ac:dyDescent="0.3">
      <c r="A1068" t="s">
        <v>2210</v>
      </c>
      <c r="B1068" t="s">
        <v>2211</v>
      </c>
      <c r="C1068" t="s">
        <v>2211</v>
      </c>
      <c r="D1068" t="s">
        <v>2211</v>
      </c>
      <c r="E1068" t="s">
        <v>18</v>
      </c>
      <c r="F1068" t="s">
        <v>19</v>
      </c>
      <c r="H1068" s="23" t="e">
        <f>VLOOKUP(A1068,Revisión!$A$2:$L$703,6,FALSE)</f>
        <v>#N/A</v>
      </c>
      <c r="I1068" s="4" t="e">
        <f>VLOOKUP(A1068,Revisión!$A$2:$L$703,7,FALSE)</f>
        <v>#N/A</v>
      </c>
      <c r="J1068" s="4" t="e">
        <f>VLOOKUP(A1068,Revisión!$A$2:$L$703,8,FALSE)</f>
        <v>#N/A</v>
      </c>
      <c r="K1068" s="4" t="e">
        <f>VLOOKUP(A1068,Revisión!$A$2:$L$703,9,FALSE)</f>
        <v>#N/A</v>
      </c>
      <c r="L1068" s="4" t="e">
        <f>VLOOKUP(A1068,Revisión!$A$2:$L$703,10,FALSE)</f>
        <v>#N/A</v>
      </c>
      <c r="M1068" s="18" t="e">
        <f>VLOOKUP(A1068,Revisión!$A$2:$L$703,11,FALSE)</f>
        <v>#N/A</v>
      </c>
      <c r="N1068" s="30" t="str">
        <f>IF(E1068="Coinciden",D1068,IF(E1068="Revisar",VLOOKUP(A1068,Revisión!$A$2:$L$703,12,FALSE),""))</f>
        <v>Hosta sieboldii</v>
      </c>
    </row>
    <row r="1069" spans="1:14" x14ac:dyDescent="0.3">
      <c r="A1069" t="s">
        <v>2212</v>
      </c>
      <c r="B1069" t="s">
        <v>2213</v>
      </c>
      <c r="C1069" t="s">
        <v>2213</v>
      </c>
      <c r="D1069" t="s">
        <v>2213</v>
      </c>
      <c r="E1069" t="s">
        <v>18</v>
      </c>
      <c r="F1069" t="s">
        <v>19</v>
      </c>
      <c r="H1069" s="23" t="e">
        <f>VLOOKUP(A1069,Revisión!$A$2:$L$703,6,FALSE)</f>
        <v>#N/A</v>
      </c>
      <c r="I1069" s="4" t="e">
        <f>VLOOKUP(A1069,Revisión!$A$2:$L$703,7,FALSE)</f>
        <v>#N/A</v>
      </c>
      <c r="J1069" s="4" t="e">
        <f>VLOOKUP(A1069,Revisión!$A$2:$L$703,8,FALSE)</f>
        <v>#N/A</v>
      </c>
      <c r="K1069" s="4" t="e">
        <f>VLOOKUP(A1069,Revisión!$A$2:$L$703,9,FALSE)</f>
        <v>#N/A</v>
      </c>
      <c r="L1069" s="4" t="e">
        <f>VLOOKUP(A1069,Revisión!$A$2:$L$703,10,FALSE)</f>
        <v>#N/A</v>
      </c>
      <c r="M1069" s="18" t="e">
        <f>VLOOKUP(A1069,Revisión!$A$2:$L$703,11,FALSE)</f>
        <v>#N/A</v>
      </c>
      <c r="N1069" s="30" t="str">
        <f>IF(E1069="Coinciden",D1069,IF(E1069="Revisar",VLOOKUP(A1069,Revisión!$A$2:$L$703,12,FALSE),""))</f>
        <v>Hosta sieboldiana</v>
      </c>
    </row>
    <row r="1070" spans="1:14" x14ac:dyDescent="0.3">
      <c r="A1070" t="s">
        <v>2214</v>
      </c>
      <c r="B1070" t="s">
        <v>2215</v>
      </c>
      <c r="C1070" t="s">
        <v>2215</v>
      </c>
      <c r="D1070" t="s">
        <v>2216</v>
      </c>
      <c r="E1070" t="s">
        <v>8</v>
      </c>
      <c r="F1070" t="s">
        <v>15</v>
      </c>
      <c r="H1070" s="23" t="str">
        <f>VLOOKUP(A1070,Revisión!$A$2:$L$703,6,FALSE)</f>
        <v>Houstonia purpurea var. calycosa</v>
      </c>
      <c r="I1070" s="4" t="str">
        <f>VLOOKUP(A1070,Revisión!$A$2:$L$703,7,FALSE)</f>
        <v>Houstonia purpurea var. calycosa</v>
      </c>
      <c r="J1070" s="4" t="str">
        <f>VLOOKUP(A1070,Revisión!$A$2:$L$703,8,FALSE)</f>
        <v>-</v>
      </c>
      <c r="K1070" s="4" t="str">
        <f>VLOOKUP(A1070,Revisión!$A$2:$L$703,9,FALSE)</f>
        <v>Houstonia purpurea var. calycosa</v>
      </c>
      <c r="L1070" s="4" t="str">
        <f>VLOOKUP(A1070,Revisión!$A$2:$L$703,10,FALSE)</f>
        <v>Houstonia purpurea var. calycosa</v>
      </c>
      <c r="M1070" s="18">
        <f>VLOOKUP(A1070,Revisión!$A$2:$L$703,11,FALSE)</f>
        <v>4</v>
      </c>
      <c r="N1070" s="30" t="str">
        <f>IF(E1070="Coinciden",D1070,IF(E1070="Revisar",VLOOKUP(A1070,Revisión!$A$2:$L$703,12,FALSE),""))</f>
        <v>Houstonia purpurea var. calycosa</v>
      </c>
    </row>
    <row r="1071" spans="1:14" x14ac:dyDescent="0.3">
      <c r="A1071" t="s">
        <v>2217</v>
      </c>
      <c r="B1071" t="s">
        <v>2218</v>
      </c>
      <c r="C1071" t="s">
        <v>2218</v>
      </c>
      <c r="D1071" t="s">
        <v>2218</v>
      </c>
      <c r="E1071" t="s">
        <v>18</v>
      </c>
      <c r="F1071" t="s">
        <v>19</v>
      </c>
      <c r="H1071" s="23" t="e">
        <f>VLOOKUP(A1071,Revisión!$A$2:$L$703,6,FALSE)</f>
        <v>#N/A</v>
      </c>
      <c r="I1071" s="4" t="e">
        <f>VLOOKUP(A1071,Revisión!$A$2:$L$703,7,FALSE)</f>
        <v>#N/A</v>
      </c>
      <c r="J1071" s="4" t="e">
        <f>VLOOKUP(A1071,Revisión!$A$2:$L$703,8,FALSE)</f>
        <v>#N/A</v>
      </c>
      <c r="K1071" s="4" t="e">
        <f>VLOOKUP(A1071,Revisión!$A$2:$L$703,9,FALSE)</f>
        <v>#N/A</v>
      </c>
      <c r="L1071" s="4" t="e">
        <f>VLOOKUP(A1071,Revisión!$A$2:$L$703,10,FALSE)</f>
        <v>#N/A</v>
      </c>
      <c r="M1071" s="18" t="e">
        <f>VLOOKUP(A1071,Revisión!$A$2:$L$703,11,FALSE)</f>
        <v>#N/A</v>
      </c>
      <c r="N1071" s="30" t="str">
        <f>IF(E1071="Coinciden",D1071,IF(E1071="Revisar",VLOOKUP(A1071,Revisión!$A$2:$L$703,12,FALSE),""))</f>
        <v>Houttuynia cordata</v>
      </c>
    </row>
    <row r="1072" spans="1:14" x14ac:dyDescent="0.3">
      <c r="A1072" t="s">
        <v>2219</v>
      </c>
      <c r="B1072" t="s">
        <v>2220</v>
      </c>
      <c r="C1072" t="s">
        <v>2220</v>
      </c>
      <c r="D1072" t="s">
        <v>2220</v>
      </c>
      <c r="E1072" t="s">
        <v>18</v>
      </c>
      <c r="F1072" t="s">
        <v>19</v>
      </c>
      <c r="H1072" s="23" t="e">
        <f>VLOOKUP(A1072,Revisión!$A$2:$L$703,6,FALSE)</f>
        <v>#N/A</v>
      </c>
      <c r="I1072" s="4" t="e">
        <f>VLOOKUP(A1072,Revisión!$A$2:$L$703,7,FALSE)</f>
        <v>#N/A</v>
      </c>
      <c r="J1072" s="4" t="e">
        <f>VLOOKUP(A1072,Revisión!$A$2:$L$703,8,FALSE)</f>
        <v>#N/A</v>
      </c>
      <c r="K1072" s="4" t="e">
        <f>VLOOKUP(A1072,Revisión!$A$2:$L$703,9,FALSE)</f>
        <v>#N/A</v>
      </c>
      <c r="L1072" s="4" t="e">
        <f>VLOOKUP(A1072,Revisión!$A$2:$L$703,10,FALSE)</f>
        <v>#N/A</v>
      </c>
      <c r="M1072" s="18" t="e">
        <f>VLOOKUP(A1072,Revisión!$A$2:$L$703,11,FALSE)</f>
        <v>#N/A</v>
      </c>
      <c r="N1072" s="30" t="str">
        <f>IF(E1072="Coinciden",D1072,IF(E1072="Revisar",VLOOKUP(A1072,Revisión!$A$2:$L$703,12,FALSE),""))</f>
        <v>Hovenia tomentella</v>
      </c>
    </row>
    <row r="1073" spans="1:14" x14ac:dyDescent="0.3">
      <c r="A1073" t="s">
        <v>2221</v>
      </c>
      <c r="B1073" t="s">
        <v>2222</v>
      </c>
      <c r="C1073" t="s">
        <v>2222</v>
      </c>
      <c r="D1073" t="s">
        <v>2222</v>
      </c>
      <c r="E1073" t="s">
        <v>18</v>
      </c>
      <c r="F1073" t="s">
        <v>19</v>
      </c>
      <c r="H1073" s="23" t="e">
        <f>VLOOKUP(A1073,Revisión!$A$2:$L$703,6,FALSE)</f>
        <v>#N/A</v>
      </c>
      <c r="I1073" s="4" t="e">
        <f>VLOOKUP(A1073,Revisión!$A$2:$L$703,7,FALSE)</f>
        <v>#N/A</v>
      </c>
      <c r="J1073" s="4" t="e">
        <f>VLOOKUP(A1073,Revisión!$A$2:$L$703,8,FALSE)</f>
        <v>#N/A</v>
      </c>
      <c r="K1073" s="4" t="e">
        <f>VLOOKUP(A1073,Revisión!$A$2:$L$703,9,FALSE)</f>
        <v>#N/A</v>
      </c>
      <c r="L1073" s="4" t="e">
        <f>VLOOKUP(A1073,Revisión!$A$2:$L$703,10,FALSE)</f>
        <v>#N/A</v>
      </c>
      <c r="M1073" s="18" t="e">
        <f>VLOOKUP(A1073,Revisión!$A$2:$L$703,11,FALSE)</f>
        <v>#N/A</v>
      </c>
      <c r="N1073" s="30" t="str">
        <f>IF(E1073="Coinciden",D1073,IF(E1073="Revisar",VLOOKUP(A1073,Revisión!$A$2:$L$703,12,FALSE),""))</f>
        <v>Humiria balsamifera</v>
      </c>
    </row>
    <row r="1074" spans="1:14" x14ac:dyDescent="0.3">
      <c r="A1074" t="s">
        <v>2223</v>
      </c>
      <c r="B1074" t="s">
        <v>2224</v>
      </c>
      <c r="C1074" t="s">
        <v>2224</v>
      </c>
      <c r="D1074" t="s">
        <v>2225</v>
      </c>
      <c r="E1074" t="s">
        <v>8</v>
      </c>
      <c r="F1074" t="s">
        <v>15</v>
      </c>
      <c r="H1074" s="23" t="str">
        <f>VLOOKUP(A1074,Revisión!$A$2:$L$703,6,FALSE)</f>
        <v>Cubelium concolor</v>
      </c>
      <c r="I1074" s="4" t="str">
        <f>VLOOKUP(A1074,Revisión!$A$2:$L$703,7,FALSE)</f>
        <v>Hybanthus concolor</v>
      </c>
      <c r="J1074" s="4" t="str">
        <f>VLOOKUP(A1074,Revisión!$A$2:$L$703,8,FALSE)</f>
        <v>-</v>
      </c>
      <c r="K1074" s="4" t="str">
        <f>VLOOKUP(A1074,Revisión!$A$2:$L$703,9,FALSE)</f>
        <v>Cubelium concolor</v>
      </c>
      <c r="L1074" s="4" t="str">
        <f>VLOOKUP(A1074,Revisión!$A$2:$L$703,10,FALSE)</f>
        <v>Cubelium concolor</v>
      </c>
      <c r="M1074" s="18">
        <f>VLOOKUP(A1074,Revisión!$A$2:$L$703,11,FALSE)</f>
        <v>3</v>
      </c>
      <c r="N1074" s="30" t="str">
        <f>IF(E1074="Coinciden",D1074,IF(E1074="Revisar",VLOOKUP(A1074,Revisión!$A$2:$L$703,12,FALSE),""))</f>
        <v>Cubelium concolor</v>
      </c>
    </row>
    <row r="1075" spans="1:14" x14ac:dyDescent="0.3">
      <c r="A1075" t="s">
        <v>2226</v>
      </c>
      <c r="B1075" t="s">
        <v>2227</v>
      </c>
      <c r="C1075" t="s">
        <v>2227</v>
      </c>
      <c r="D1075" t="s">
        <v>2227</v>
      </c>
      <c r="E1075" t="s">
        <v>18</v>
      </c>
      <c r="F1075" t="s">
        <v>19</v>
      </c>
      <c r="H1075" s="23" t="e">
        <f>VLOOKUP(A1075,Revisión!$A$2:$L$703,6,FALSE)</f>
        <v>#N/A</v>
      </c>
      <c r="I1075" s="4" t="e">
        <f>VLOOKUP(A1075,Revisión!$A$2:$L$703,7,FALSE)</f>
        <v>#N/A</v>
      </c>
      <c r="J1075" s="4" t="e">
        <f>VLOOKUP(A1075,Revisión!$A$2:$L$703,8,FALSE)</f>
        <v>#N/A</v>
      </c>
      <c r="K1075" s="4" t="e">
        <f>VLOOKUP(A1075,Revisión!$A$2:$L$703,9,FALSE)</f>
        <v>#N/A</v>
      </c>
      <c r="L1075" s="4" t="e">
        <f>VLOOKUP(A1075,Revisión!$A$2:$L$703,10,FALSE)</f>
        <v>#N/A</v>
      </c>
      <c r="M1075" s="18" t="e">
        <f>VLOOKUP(A1075,Revisión!$A$2:$L$703,11,FALSE)</f>
        <v>#N/A</v>
      </c>
      <c r="N1075" s="30" t="str">
        <f>IF(E1075="Coinciden",D1075,IF(E1075="Revisar",VLOOKUP(A1075,Revisión!$A$2:$L$703,12,FALSE),""))</f>
        <v>Hydrangea luteovenosa</v>
      </c>
    </row>
    <row r="1076" spans="1:14" x14ac:dyDescent="0.3">
      <c r="A1076" t="s">
        <v>2228</v>
      </c>
      <c r="B1076" t="s">
        <v>2229</v>
      </c>
      <c r="C1076" t="s">
        <v>2229</v>
      </c>
      <c r="D1076" t="s">
        <v>2229</v>
      </c>
      <c r="E1076" t="s">
        <v>18</v>
      </c>
      <c r="F1076" t="s">
        <v>19</v>
      </c>
      <c r="H1076" s="23" t="e">
        <f>VLOOKUP(A1076,Revisión!$A$2:$L$703,6,FALSE)</f>
        <v>#N/A</v>
      </c>
      <c r="I1076" s="4" t="e">
        <f>VLOOKUP(A1076,Revisión!$A$2:$L$703,7,FALSE)</f>
        <v>#N/A</v>
      </c>
      <c r="J1076" s="4" t="e">
        <f>VLOOKUP(A1076,Revisión!$A$2:$L$703,8,FALSE)</f>
        <v>#N/A</v>
      </c>
      <c r="K1076" s="4" t="e">
        <f>VLOOKUP(A1076,Revisión!$A$2:$L$703,9,FALSE)</f>
        <v>#N/A</v>
      </c>
      <c r="L1076" s="4" t="e">
        <f>VLOOKUP(A1076,Revisión!$A$2:$L$703,10,FALSE)</f>
        <v>#N/A</v>
      </c>
      <c r="M1076" s="18" t="e">
        <f>VLOOKUP(A1076,Revisión!$A$2:$L$703,11,FALSE)</f>
        <v>#N/A</v>
      </c>
      <c r="N1076" s="30" t="str">
        <f>IF(E1076="Coinciden",D1076,IF(E1076="Revisar",VLOOKUP(A1076,Revisión!$A$2:$L$703,12,FALSE),""))</f>
        <v>Hydrangea macrophylla</v>
      </c>
    </row>
    <row r="1077" spans="1:14" x14ac:dyDescent="0.3">
      <c r="A1077" t="s">
        <v>2230</v>
      </c>
      <c r="B1077" t="s">
        <v>2231</v>
      </c>
      <c r="C1077" t="s">
        <v>2231</v>
      </c>
      <c r="D1077" t="s">
        <v>2231</v>
      </c>
      <c r="E1077" t="s">
        <v>18</v>
      </c>
      <c r="F1077" t="s">
        <v>19</v>
      </c>
      <c r="H1077" s="23" t="e">
        <f>VLOOKUP(A1077,Revisión!$A$2:$L$703,6,FALSE)</f>
        <v>#N/A</v>
      </c>
      <c r="I1077" s="4" t="e">
        <f>VLOOKUP(A1077,Revisión!$A$2:$L$703,7,FALSE)</f>
        <v>#N/A</v>
      </c>
      <c r="J1077" s="4" t="e">
        <f>VLOOKUP(A1077,Revisión!$A$2:$L$703,8,FALSE)</f>
        <v>#N/A</v>
      </c>
      <c r="K1077" s="4" t="e">
        <f>VLOOKUP(A1077,Revisión!$A$2:$L$703,9,FALSE)</f>
        <v>#N/A</v>
      </c>
      <c r="L1077" s="4" t="e">
        <f>VLOOKUP(A1077,Revisión!$A$2:$L$703,10,FALSE)</f>
        <v>#N/A</v>
      </c>
      <c r="M1077" s="18" t="e">
        <f>VLOOKUP(A1077,Revisión!$A$2:$L$703,11,FALSE)</f>
        <v>#N/A</v>
      </c>
      <c r="N1077" s="30" t="str">
        <f>IF(E1077="Coinciden",D1077,IF(E1077="Revisar",VLOOKUP(A1077,Revisión!$A$2:$L$703,12,FALSE),""))</f>
        <v>Hydrangea serrata</v>
      </c>
    </row>
    <row r="1078" spans="1:14" x14ac:dyDescent="0.3">
      <c r="A1078" t="s">
        <v>2232</v>
      </c>
      <c r="B1078" t="s">
        <v>2233</v>
      </c>
      <c r="C1078" t="s">
        <v>2233</v>
      </c>
      <c r="D1078" t="s">
        <v>2233</v>
      </c>
      <c r="E1078" t="s">
        <v>18</v>
      </c>
      <c r="F1078" t="s">
        <v>19</v>
      </c>
      <c r="H1078" s="23" t="e">
        <f>VLOOKUP(A1078,Revisión!$A$2:$L$703,6,FALSE)</f>
        <v>#N/A</v>
      </c>
      <c r="I1078" s="4" t="e">
        <f>VLOOKUP(A1078,Revisión!$A$2:$L$703,7,FALSE)</f>
        <v>#N/A</v>
      </c>
      <c r="J1078" s="4" t="e">
        <f>VLOOKUP(A1078,Revisión!$A$2:$L$703,8,FALSE)</f>
        <v>#N/A</v>
      </c>
      <c r="K1078" s="4" t="e">
        <f>VLOOKUP(A1078,Revisión!$A$2:$L$703,9,FALSE)</f>
        <v>#N/A</v>
      </c>
      <c r="L1078" s="4" t="e">
        <f>VLOOKUP(A1078,Revisión!$A$2:$L$703,10,FALSE)</f>
        <v>#N/A</v>
      </c>
      <c r="M1078" s="18" t="e">
        <f>VLOOKUP(A1078,Revisión!$A$2:$L$703,11,FALSE)</f>
        <v>#N/A</v>
      </c>
      <c r="N1078" s="30" t="str">
        <f>IF(E1078="Coinciden",D1078,IF(E1078="Revisar",VLOOKUP(A1078,Revisión!$A$2:$L$703,12,FALSE),""))</f>
        <v>Hydrangea serratifolia</v>
      </c>
    </row>
    <row r="1079" spans="1:14" x14ac:dyDescent="0.3">
      <c r="A1079" t="s">
        <v>2234</v>
      </c>
      <c r="B1079" t="s">
        <v>2235</v>
      </c>
      <c r="C1079" t="s">
        <v>2235</v>
      </c>
      <c r="D1079" t="s">
        <v>2235</v>
      </c>
      <c r="E1079" t="s">
        <v>18</v>
      </c>
      <c r="F1079" t="s">
        <v>19</v>
      </c>
      <c r="H1079" s="23" t="e">
        <f>VLOOKUP(A1079,Revisión!$A$2:$L$703,6,FALSE)</f>
        <v>#N/A</v>
      </c>
      <c r="I1079" s="4" t="e">
        <f>VLOOKUP(A1079,Revisión!$A$2:$L$703,7,FALSE)</f>
        <v>#N/A</v>
      </c>
      <c r="J1079" s="4" t="e">
        <f>VLOOKUP(A1079,Revisión!$A$2:$L$703,8,FALSE)</f>
        <v>#N/A</v>
      </c>
      <c r="K1079" s="4" t="e">
        <f>VLOOKUP(A1079,Revisión!$A$2:$L$703,9,FALSE)</f>
        <v>#N/A</v>
      </c>
      <c r="L1079" s="4" t="e">
        <f>VLOOKUP(A1079,Revisión!$A$2:$L$703,10,FALSE)</f>
        <v>#N/A</v>
      </c>
      <c r="M1079" s="18" t="e">
        <f>VLOOKUP(A1079,Revisión!$A$2:$L$703,11,FALSE)</f>
        <v>#N/A</v>
      </c>
      <c r="N1079" s="30" t="str">
        <f>IF(E1079="Coinciden",D1079,IF(E1079="Revisar",VLOOKUP(A1079,Revisión!$A$2:$L$703,12,FALSE),""))</f>
        <v>Hydrangea hirta</v>
      </c>
    </row>
    <row r="1080" spans="1:14" x14ac:dyDescent="0.3">
      <c r="A1080" t="s">
        <v>2236</v>
      </c>
      <c r="B1080" t="s">
        <v>2237</v>
      </c>
      <c r="D1080" t="s">
        <v>2237</v>
      </c>
      <c r="E1080" t="s">
        <v>8</v>
      </c>
      <c r="F1080" t="s">
        <v>34</v>
      </c>
      <c r="H1080" s="23" t="str">
        <f>VLOOKUP(A1080,Revisión!$A$2:$L$703,6,FALSE)</f>
        <v>Hydrangea paniculata</v>
      </c>
      <c r="I1080" s="4" t="str">
        <f>VLOOKUP(A1080,Revisión!$A$2:$L$703,7,FALSE)</f>
        <v>Hydrangea paniculata</v>
      </c>
      <c r="J1080" s="4" t="str">
        <f>VLOOKUP(A1080,Revisión!$A$2:$L$703,8,FALSE)</f>
        <v>-</v>
      </c>
      <c r="K1080" s="4" t="str">
        <f>VLOOKUP(A1080,Revisión!$A$2:$L$703,9,FALSE)</f>
        <v>Hydrangea paniculata</v>
      </c>
      <c r="L1080" s="4" t="str">
        <f>VLOOKUP(A1080,Revisión!$A$2:$L$703,10,FALSE)</f>
        <v>Hydrangea paniculata</v>
      </c>
      <c r="M1080" s="18">
        <f>VLOOKUP(A1080,Revisión!$A$2:$L$703,11,FALSE)</f>
        <v>4</v>
      </c>
      <c r="N1080" s="30" t="str">
        <f>IF(E1080="Coinciden",D1080,IF(E1080="Revisar",VLOOKUP(A1080,Revisión!$A$2:$L$703,12,FALSE),""))</f>
        <v>Hydrangea paniculata</v>
      </c>
    </row>
    <row r="1081" spans="1:14" x14ac:dyDescent="0.3">
      <c r="A1081" t="s">
        <v>2238</v>
      </c>
      <c r="B1081" t="s">
        <v>2239</v>
      </c>
      <c r="C1081" t="s">
        <v>2239</v>
      </c>
      <c r="D1081" t="s">
        <v>2239</v>
      </c>
      <c r="E1081" t="s">
        <v>18</v>
      </c>
      <c r="F1081" t="s">
        <v>19</v>
      </c>
      <c r="H1081" s="23" t="e">
        <f>VLOOKUP(A1081,Revisión!$A$2:$L$703,6,FALSE)</f>
        <v>#N/A</v>
      </c>
      <c r="I1081" s="4" t="e">
        <f>VLOOKUP(A1081,Revisión!$A$2:$L$703,7,FALSE)</f>
        <v>#N/A</v>
      </c>
      <c r="J1081" s="4" t="e">
        <f>VLOOKUP(A1081,Revisión!$A$2:$L$703,8,FALSE)</f>
        <v>#N/A</v>
      </c>
      <c r="K1081" s="4" t="e">
        <f>VLOOKUP(A1081,Revisión!$A$2:$L$703,9,FALSE)</f>
        <v>#N/A</v>
      </c>
      <c r="L1081" s="4" t="e">
        <f>VLOOKUP(A1081,Revisión!$A$2:$L$703,10,FALSE)</f>
        <v>#N/A</v>
      </c>
      <c r="M1081" s="18" t="e">
        <f>VLOOKUP(A1081,Revisión!$A$2:$L$703,11,FALSE)</f>
        <v>#N/A</v>
      </c>
      <c r="N1081" s="30" t="str">
        <f>IF(E1081="Coinciden",D1081,IF(E1081="Revisar",VLOOKUP(A1081,Revisión!$A$2:$L$703,12,FALSE),""))</f>
        <v>Hydrangea arborescens</v>
      </c>
    </row>
    <row r="1082" spans="1:14" x14ac:dyDescent="0.3">
      <c r="A1082" t="s">
        <v>2240</v>
      </c>
      <c r="B1082" t="s">
        <v>2241</v>
      </c>
      <c r="C1082" t="s">
        <v>2241</v>
      </c>
      <c r="D1082" t="s">
        <v>2241</v>
      </c>
      <c r="E1082" t="s">
        <v>18</v>
      </c>
      <c r="F1082" t="s">
        <v>19</v>
      </c>
      <c r="H1082" s="23" t="e">
        <f>VLOOKUP(A1082,Revisión!$A$2:$L$703,6,FALSE)</f>
        <v>#N/A</v>
      </c>
      <c r="I1082" s="4" t="e">
        <f>VLOOKUP(A1082,Revisión!$A$2:$L$703,7,FALSE)</f>
        <v>#N/A</v>
      </c>
      <c r="J1082" s="4" t="e">
        <f>VLOOKUP(A1082,Revisión!$A$2:$L$703,8,FALSE)</f>
        <v>#N/A</v>
      </c>
      <c r="K1082" s="4" t="e">
        <f>VLOOKUP(A1082,Revisión!$A$2:$L$703,9,FALSE)</f>
        <v>#N/A</v>
      </c>
      <c r="L1082" s="4" t="e">
        <f>VLOOKUP(A1082,Revisión!$A$2:$L$703,10,FALSE)</f>
        <v>#N/A</v>
      </c>
      <c r="M1082" s="18" t="e">
        <f>VLOOKUP(A1082,Revisión!$A$2:$L$703,11,FALSE)</f>
        <v>#N/A</v>
      </c>
      <c r="N1082" s="30" t="str">
        <f>IF(E1082="Coinciden",D1082,IF(E1082="Revisar",VLOOKUP(A1082,Revisión!$A$2:$L$703,12,FALSE),""))</f>
        <v>Hydrocharis dubia</v>
      </c>
    </row>
    <row r="1083" spans="1:14" x14ac:dyDescent="0.3">
      <c r="A1083" t="s">
        <v>2242</v>
      </c>
      <c r="B1083" t="s">
        <v>2243</v>
      </c>
      <c r="C1083" t="s">
        <v>2243</v>
      </c>
      <c r="D1083" t="s">
        <v>2243</v>
      </c>
      <c r="E1083" t="s">
        <v>18</v>
      </c>
      <c r="F1083" t="s">
        <v>19</v>
      </c>
      <c r="H1083" s="23" t="e">
        <f>VLOOKUP(A1083,Revisión!$A$2:$L$703,6,FALSE)</f>
        <v>#N/A</v>
      </c>
      <c r="I1083" s="4" t="e">
        <f>VLOOKUP(A1083,Revisión!$A$2:$L$703,7,FALSE)</f>
        <v>#N/A</v>
      </c>
      <c r="J1083" s="4" t="e">
        <f>VLOOKUP(A1083,Revisión!$A$2:$L$703,8,FALSE)</f>
        <v>#N/A</v>
      </c>
      <c r="K1083" s="4" t="e">
        <f>VLOOKUP(A1083,Revisión!$A$2:$L$703,9,FALSE)</f>
        <v>#N/A</v>
      </c>
      <c r="L1083" s="4" t="e">
        <f>VLOOKUP(A1083,Revisión!$A$2:$L$703,10,FALSE)</f>
        <v>#N/A</v>
      </c>
      <c r="M1083" s="18" t="e">
        <f>VLOOKUP(A1083,Revisión!$A$2:$L$703,11,FALSE)</f>
        <v>#N/A</v>
      </c>
      <c r="N1083" s="30" t="str">
        <f>IF(E1083="Coinciden",D1083,IF(E1083="Revisar",VLOOKUP(A1083,Revisión!$A$2:$L$703,12,FALSE),""))</f>
        <v>Hydrocotyle ramiflora</v>
      </c>
    </row>
    <row r="1084" spans="1:14" x14ac:dyDescent="0.3">
      <c r="A1084" t="s">
        <v>2244</v>
      </c>
      <c r="B1084" t="s">
        <v>2245</v>
      </c>
      <c r="C1084" t="s">
        <v>2245</v>
      </c>
      <c r="D1084" t="s">
        <v>2245</v>
      </c>
      <c r="E1084" t="s">
        <v>18</v>
      </c>
      <c r="F1084" t="s">
        <v>19</v>
      </c>
      <c r="H1084" s="23" t="e">
        <f>VLOOKUP(A1084,Revisión!$A$2:$L$703,6,FALSE)</f>
        <v>#N/A</v>
      </c>
      <c r="I1084" s="4" t="e">
        <f>VLOOKUP(A1084,Revisión!$A$2:$L$703,7,FALSE)</f>
        <v>#N/A</v>
      </c>
      <c r="J1084" s="4" t="e">
        <f>VLOOKUP(A1084,Revisión!$A$2:$L$703,8,FALSE)</f>
        <v>#N/A</v>
      </c>
      <c r="K1084" s="4" t="e">
        <f>VLOOKUP(A1084,Revisión!$A$2:$L$703,9,FALSE)</f>
        <v>#N/A</v>
      </c>
      <c r="L1084" s="4" t="e">
        <f>VLOOKUP(A1084,Revisión!$A$2:$L$703,10,FALSE)</f>
        <v>#N/A</v>
      </c>
      <c r="M1084" s="18" t="e">
        <f>VLOOKUP(A1084,Revisión!$A$2:$L$703,11,FALSE)</f>
        <v>#N/A</v>
      </c>
      <c r="N1084" s="30" t="str">
        <f>IF(E1084="Coinciden",D1084,IF(E1084="Revisar",VLOOKUP(A1084,Revisión!$A$2:$L$703,12,FALSE),""))</f>
        <v>Hydrophyllum appendiculatum</v>
      </c>
    </row>
    <row r="1085" spans="1:14" x14ac:dyDescent="0.3">
      <c r="A1085" t="s">
        <v>2246</v>
      </c>
      <c r="B1085" t="s">
        <v>2247</v>
      </c>
      <c r="C1085" t="s">
        <v>2247</v>
      </c>
      <c r="D1085" t="s">
        <v>2247</v>
      </c>
      <c r="E1085" t="s">
        <v>18</v>
      </c>
      <c r="F1085" t="s">
        <v>19</v>
      </c>
      <c r="H1085" s="23" t="e">
        <f>VLOOKUP(A1085,Revisión!$A$2:$L$703,6,FALSE)</f>
        <v>#N/A</v>
      </c>
      <c r="I1085" s="4" t="e">
        <f>VLOOKUP(A1085,Revisión!$A$2:$L$703,7,FALSE)</f>
        <v>#N/A</v>
      </c>
      <c r="J1085" s="4" t="e">
        <f>VLOOKUP(A1085,Revisión!$A$2:$L$703,8,FALSE)</f>
        <v>#N/A</v>
      </c>
      <c r="K1085" s="4" t="e">
        <f>VLOOKUP(A1085,Revisión!$A$2:$L$703,9,FALSE)</f>
        <v>#N/A</v>
      </c>
      <c r="L1085" s="4" t="e">
        <f>VLOOKUP(A1085,Revisión!$A$2:$L$703,10,FALSE)</f>
        <v>#N/A</v>
      </c>
      <c r="M1085" s="18" t="e">
        <f>VLOOKUP(A1085,Revisión!$A$2:$L$703,11,FALSE)</f>
        <v>#N/A</v>
      </c>
      <c r="N1085" s="30" t="str">
        <f>IF(E1085="Coinciden",D1085,IF(E1085="Revisar",VLOOKUP(A1085,Revisión!$A$2:$L$703,12,FALSE),""))</f>
        <v>Hydrophyllum virginianum</v>
      </c>
    </row>
    <row r="1086" spans="1:14" x14ac:dyDescent="0.3">
      <c r="A1086" t="s">
        <v>2248</v>
      </c>
      <c r="B1086" t="s">
        <v>2249</v>
      </c>
      <c r="C1086" t="s">
        <v>2249</v>
      </c>
      <c r="D1086" t="s">
        <v>2249</v>
      </c>
      <c r="E1086" t="s">
        <v>18</v>
      </c>
      <c r="F1086" t="s">
        <v>19</v>
      </c>
      <c r="H1086" s="23" t="e">
        <f>VLOOKUP(A1086,Revisión!$A$2:$L$703,6,FALSE)</f>
        <v>#N/A</v>
      </c>
      <c r="I1086" s="4" t="e">
        <f>VLOOKUP(A1086,Revisión!$A$2:$L$703,7,FALSE)</f>
        <v>#N/A</v>
      </c>
      <c r="J1086" s="4" t="e">
        <f>VLOOKUP(A1086,Revisión!$A$2:$L$703,8,FALSE)</f>
        <v>#N/A</v>
      </c>
      <c r="K1086" s="4" t="e">
        <f>VLOOKUP(A1086,Revisión!$A$2:$L$703,9,FALSE)</f>
        <v>#N/A</v>
      </c>
      <c r="L1086" s="4" t="e">
        <f>VLOOKUP(A1086,Revisión!$A$2:$L$703,10,FALSE)</f>
        <v>#N/A</v>
      </c>
      <c r="M1086" s="18" t="e">
        <f>VLOOKUP(A1086,Revisión!$A$2:$L$703,11,FALSE)</f>
        <v>#N/A</v>
      </c>
      <c r="N1086" s="30" t="str">
        <f>IF(E1086="Coinciden",D1086,IF(E1086="Revisar",VLOOKUP(A1086,Revisión!$A$2:$L$703,12,FALSE),""))</f>
        <v>Anthyllis circinnata</v>
      </c>
    </row>
    <row r="1087" spans="1:14" x14ac:dyDescent="0.3">
      <c r="A1087" t="s">
        <v>2250</v>
      </c>
      <c r="B1087" t="s">
        <v>2251</v>
      </c>
      <c r="D1087" t="s">
        <v>2251</v>
      </c>
      <c r="E1087" t="s">
        <v>8</v>
      </c>
      <c r="F1087" t="s">
        <v>34</v>
      </c>
      <c r="H1087" s="23" t="str">
        <f>VLOOKUP(A1087,Revisión!$A$2:$L$703,6,FALSE)</f>
        <v>Hypericum empetrifolium</v>
      </c>
      <c r="I1087" s="4" t="str">
        <f>VLOOKUP(A1087,Revisión!$A$2:$L$703,7,FALSE)</f>
        <v>Hypericum empetrifolium</v>
      </c>
      <c r="J1087" s="4" t="str">
        <f>VLOOKUP(A1087,Revisión!$A$2:$L$703,8,FALSE)</f>
        <v>-</v>
      </c>
      <c r="K1087" s="4" t="str">
        <f>VLOOKUP(A1087,Revisión!$A$2:$L$703,9,FALSE)</f>
        <v>Hypericum empetrifolium</v>
      </c>
      <c r="L1087" s="4" t="str">
        <f>VLOOKUP(A1087,Revisión!$A$2:$L$703,10,FALSE)</f>
        <v>Hypericum empetrifolium</v>
      </c>
      <c r="M1087" s="18">
        <f>VLOOKUP(A1087,Revisión!$A$2:$L$703,11,FALSE)</f>
        <v>4</v>
      </c>
      <c r="N1087" s="30" t="str">
        <f>IF(E1087="Coinciden",D1087,IF(E1087="Revisar",VLOOKUP(A1087,Revisión!$A$2:$L$703,12,FALSE),""))</f>
        <v>Hypericum empetrifolium</v>
      </c>
    </row>
    <row r="1088" spans="1:14" x14ac:dyDescent="0.3">
      <c r="A1088" t="s">
        <v>2252</v>
      </c>
      <c r="B1088" t="s">
        <v>2253</v>
      </c>
      <c r="C1088" t="s">
        <v>2253</v>
      </c>
      <c r="D1088" t="s">
        <v>2253</v>
      </c>
      <c r="E1088" t="s">
        <v>18</v>
      </c>
      <c r="F1088" t="s">
        <v>19</v>
      </c>
      <c r="H1088" s="23" t="e">
        <f>VLOOKUP(A1088,Revisión!$A$2:$L$703,6,FALSE)</f>
        <v>#N/A</v>
      </c>
      <c r="I1088" s="4" t="e">
        <f>VLOOKUP(A1088,Revisión!$A$2:$L$703,7,FALSE)</f>
        <v>#N/A</v>
      </c>
      <c r="J1088" s="4" t="e">
        <f>VLOOKUP(A1088,Revisión!$A$2:$L$703,8,FALSE)</f>
        <v>#N/A</v>
      </c>
      <c r="K1088" s="4" t="e">
        <f>VLOOKUP(A1088,Revisión!$A$2:$L$703,9,FALSE)</f>
        <v>#N/A</v>
      </c>
      <c r="L1088" s="4" t="e">
        <f>VLOOKUP(A1088,Revisión!$A$2:$L$703,10,FALSE)</f>
        <v>#N/A</v>
      </c>
      <c r="M1088" s="18" t="e">
        <f>VLOOKUP(A1088,Revisión!$A$2:$L$703,11,FALSE)</f>
        <v>#N/A</v>
      </c>
      <c r="N1088" s="30" t="str">
        <f>IF(E1088="Coinciden",D1088,IF(E1088="Revisar",VLOOKUP(A1088,Revisión!$A$2:$L$703,12,FALSE),""))</f>
        <v>Hypericum pseudopetiolatum</v>
      </c>
    </row>
    <row r="1089" spans="1:14" x14ac:dyDescent="0.3">
      <c r="A1089" t="s">
        <v>2254</v>
      </c>
      <c r="C1089" t="s">
        <v>2255</v>
      </c>
      <c r="D1089" t="s">
        <v>2255</v>
      </c>
      <c r="E1089" t="s">
        <v>8</v>
      </c>
      <c r="F1089" t="s">
        <v>49</v>
      </c>
      <c r="H1089" s="23" t="str">
        <f>VLOOKUP(A1089,Revisión!$A$2:$L$703,6,FALSE)</f>
        <v>Hypericum perfoliatum</v>
      </c>
      <c r="I1089" s="4" t="str">
        <f>VLOOKUP(A1089,Revisión!$A$2:$L$703,7,FALSE)</f>
        <v>Hypericum perfoliatum</v>
      </c>
      <c r="J1089" s="4" t="str">
        <f>VLOOKUP(A1089,Revisión!$A$2:$L$703,8,FALSE)</f>
        <v>-</v>
      </c>
      <c r="K1089" s="4" t="str">
        <f>VLOOKUP(A1089,Revisión!$A$2:$L$703,9,FALSE)</f>
        <v>Hypericum perfoliatum</v>
      </c>
      <c r="L1089" s="4" t="str">
        <f>VLOOKUP(A1089,Revisión!$A$2:$L$703,10,FALSE)</f>
        <v>Hypericum perfoliatum</v>
      </c>
      <c r="M1089" s="18">
        <f>VLOOKUP(A1089,Revisión!$A$2:$L$703,11,FALSE)</f>
        <v>4</v>
      </c>
      <c r="N1089" s="30" t="str">
        <f>IF(E1089="Coinciden",D1089,IF(E1089="Revisar",VLOOKUP(A1089,Revisión!$A$2:$L$703,12,FALSE),""))</f>
        <v>Hypericum perfoliatum</v>
      </c>
    </row>
    <row r="1090" spans="1:14" x14ac:dyDescent="0.3">
      <c r="A1090" t="s">
        <v>2256</v>
      </c>
      <c r="B1090" t="s">
        <v>2257</v>
      </c>
      <c r="C1090" t="s">
        <v>2257</v>
      </c>
      <c r="D1090" t="s">
        <v>2257</v>
      </c>
      <c r="E1090" t="s">
        <v>18</v>
      </c>
      <c r="F1090" t="s">
        <v>19</v>
      </c>
      <c r="H1090" s="23" t="e">
        <f>VLOOKUP(A1090,Revisión!$A$2:$L$703,6,FALSE)</f>
        <v>#N/A</v>
      </c>
      <c r="I1090" s="4" t="e">
        <f>VLOOKUP(A1090,Revisión!$A$2:$L$703,7,FALSE)</f>
        <v>#N/A</v>
      </c>
      <c r="J1090" s="4" t="e">
        <f>VLOOKUP(A1090,Revisión!$A$2:$L$703,8,FALSE)</f>
        <v>#N/A</v>
      </c>
      <c r="K1090" s="4" t="e">
        <f>VLOOKUP(A1090,Revisión!$A$2:$L$703,9,FALSE)</f>
        <v>#N/A</v>
      </c>
      <c r="L1090" s="4" t="e">
        <f>VLOOKUP(A1090,Revisión!$A$2:$L$703,10,FALSE)</f>
        <v>#N/A</v>
      </c>
      <c r="M1090" s="18" t="e">
        <f>VLOOKUP(A1090,Revisión!$A$2:$L$703,11,FALSE)</f>
        <v>#N/A</v>
      </c>
      <c r="N1090" s="30" t="str">
        <f>IF(E1090="Coinciden",D1090,IF(E1090="Revisar",VLOOKUP(A1090,Revisión!$A$2:$L$703,12,FALSE),""))</f>
        <v>Hypericum triquetrifolium</v>
      </c>
    </row>
    <row r="1091" spans="1:14" x14ac:dyDescent="0.3">
      <c r="A1091" t="s">
        <v>2258</v>
      </c>
      <c r="B1091" t="s">
        <v>2259</v>
      </c>
      <c r="C1091" t="s">
        <v>2259</v>
      </c>
      <c r="D1091" t="s">
        <v>2259</v>
      </c>
      <c r="E1091" t="s">
        <v>18</v>
      </c>
      <c r="F1091" t="s">
        <v>19</v>
      </c>
      <c r="H1091" s="23" t="e">
        <f>VLOOKUP(A1091,Revisión!$A$2:$L$703,6,FALSE)</f>
        <v>#N/A</v>
      </c>
      <c r="I1091" s="4" t="e">
        <f>VLOOKUP(A1091,Revisión!$A$2:$L$703,7,FALSE)</f>
        <v>#N/A</v>
      </c>
      <c r="J1091" s="4" t="e">
        <f>VLOOKUP(A1091,Revisión!$A$2:$L$703,8,FALSE)</f>
        <v>#N/A</v>
      </c>
      <c r="K1091" s="4" t="e">
        <f>VLOOKUP(A1091,Revisión!$A$2:$L$703,9,FALSE)</f>
        <v>#N/A</v>
      </c>
      <c r="L1091" s="4" t="e">
        <f>VLOOKUP(A1091,Revisión!$A$2:$L$703,10,FALSE)</f>
        <v>#N/A</v>
      </c>
      <c r="M1091" s="18" t="e">
        <f>VLOOKUP(A1091,Revisión!$A$2:$L$703,11,FALSE)</f>
        <v>#N/A</v>
      </c>
      <c r="N1091" s="30" t="str">
        <f>IF(E1091="Coinciden",D1091,IF(E1091="Revisar",VLOOKUP(A1091,Revisión!$A$2:$L$703,12,FALSE),""))</f>
        <v>Hypericum perforatum</v>
      </c>
    </row>
    <row r="1092" spans="1:14" x14ac:dyDescent="0.3">
      <c r="A1092" t="s">
        <v>2260</v>
      </c>
      <c r="B1092" t="s">
        <v>2261</v>
      </c>
      <c r="C1092" t="s">
        <v>2261</v>
      </c>
      <c r="D1092" t="s">
        <v>2261</v>
      </c>
      <c r="E1092" t="s">
        <v>18</v>
      </c>
      <c r="F1092" t="s">
        <v>19</v>
      </c>
      <c r="H1092" s="23" t="e">
        <f>VLOOKUP(A1092,Revisión!$A$2:$L$703,6,FALSE)</f>
        <v>#N/A</v>
      </c>
      <c r="I1092" s="4" t="e">
        <f>VLOOKUP(A1092,Revisión!$A$2:$L$703,7,FALSE)</f>
        <v>#N/A</v>
      </c>
      <c r="J1092" s="4" t="e">
        <f>VLOOKUP(A1092,Revisión!$A$2:$L$703,8,FALSE)</f>
        <v>#N/A</v>
      </c>
      <c r="K1092" s="4" t="e">
        <f>VLOOKUP(A1092,Revisión!$A$2:$L$703,9,FALSE)</f>
        <v>#N/A</v>
      </c>
      <c r="L1092" s="4" t="e">
        <f>VLOOKUP(A1092,Revisión!$A$2:$L$703,10,FALSE)</f>
        <v>#N/A</v>
      </c>
      <c r="M1092" s="18" t="e">
        <f>VLOOKUP(A1092,Revisión!$A$2:$L$703,11,FALSE)</f>
        <v>#N/A</v>
      </c>
      <c r="N1092" s="30" t="str">
        <f>IF(E1092="Coinciden",D1092,IF(E1092="Revisar",VLOOKUP(A1092,Revisión!$A$2:$L$703,12,FALSE),""))</f>
        <v>Hypericum connatum</v>
      </c>
    </row>
    <row r="1093" spans="1:14" x14ac:dyDescent="0.3">
      <c r="A1093" t="s">
        <v>2262</v>
      </c>
      <c r="B1093" t="s">
        <v>2263</v>
      </c>
      <c r="D1093" t="s">
        <v>2263</v>
      </c>
      <c r="E1093" t="s">
        <v>8</v>
      </c>
      <c r="F1093" t="s">
        <v>34</v>
      </c>
      <c r="H1093" s="23" t="str">
        <f>VLOOKUP(A1093,Revisión!$A$2:$L$703,6,FALSE)</f>
        <v>Hypericum punctatum</v>
      </c>
      <c r="I1093" s="4" t="str">
        <f>VLOOKUP(A1093,Revisión!$A$2:$L$703,7,FALSE)</f>
        <v>Hypericum punctatum</v>
      </c>
      <c r="J1093" s="4" t="str">
        <f>VLOOKUP(A1093,Revisión!$A$2:$L$703,8,FALSE)</f>
        <v>-</v>
      </c>
      <c r="K1093" s="4" t="str">
        <f>VLOOKUP(A1093,Revisión!$A$2:$L$703,9,FALSE)</f>
        <v>Hypericum punctatum</v>
      </c>
      <c r="L1093" s="4" t="str">
        <f>VLOOKUP(A1093,Revisión!$A$2:$L$703,10,FALSE)</f>
        <v>Hypericum punctatum</v>
      </c>
      <c r="M1093" s="18">
        <f>VLOOKUP(A1093,Revisión!$A$2:$L$703,11,FALSE)</f>
        <v>4</v>
      </c>
      <c r="N1093" s="30" t="str">
        <f>IF(E1093="Coinciden",D1093,IF(E1093="Revisar",VLOOKUP(A1093,Revisión!$A$2:$L$703,12,FALSE),""))</f>
        <v>Hypericum punctatum</v>
      </c>
    </row>
    <row r="1094" spans="1:14" x14ac:dyDescent="0.3">
      <c r="A1094" t="s">
        <v>2264</v>
      </c>
      <c r="B1094" t="s">
        <v>2265</v>
      </c>
      <c r="C1094" t="s">
        <v>2265</v>
      </c>
      <c r="D1094" t="s">
        <v>2265</v>
      </c>
      <c r="E1094" t="s">
        <v>18</v>
      </c>
      <c r="F1094" t="s">
        <v>19</v>
      </c>
      <c r="H1094" s="23" t="e">
        <f>VLOOKUP(A1094,Revisión!$A$2:$L$703,6,FALSE)</f>
        <v>#N/A</v>
      </c>
      <c r="I1094" s="4" t="e">
        <f>VLOOKUP(A1094,Revisión!$A$2:$L$703,7,FALSE)</f>
        <v>#N/A</v>
      </c>
      <c r="J1094" s="4" t="e">
        <f>VLOOKUP(A1094,Revisión!$A$2:$L$703,8,FALSE)</f>
        <v>#N/A</v>
      </c>
      <c r="K1094" s="4" t="e">
        <f>VLOOKUP(A1094,Revisión!$A$2:$L$703,9,FALSE)</f>
        <v>#N/A</v>
      </c>
      <c r="L1094" s="4" t="e">
        <f>VLOOKUP(A1094,Revisión!$A$2:$L$703,10,FALSE)</f>
        <v>#N/A</v>
      </c>
      <c r="M1094" s="18" t="e">
        <f>VLOOKUP(A1094,Revisión!$A$2:$L$703,11,FALSE)</f>
        <v>#N/A</v>
      </c>
      <c r="N1094" s="30" t="str">
        <f>IF(E1094="Coinciden",D1094,IF(E1094="Revisar",VLOOKUP(A1094,Revisión!$A$2:$L$703,12,FALSE),""))</f>
        <v>Hypericum cistifolium</v>
      </c>
    </row>
    <row r="1095" spans="1:14" x14ac:dyDescent="0.3">
      <c r="A1095" t="s">
        <v>2266</v>
      </c>
      <c r="B1095" t="s">
        <v>2267</v>
      </c>
      <c r="C1095" t="s">
        <v>2267</v>
      </c>
      <c r="D1095" t="s">
        <v>2267</v>
      </c>
      <c r="E1095" t="s">
        <v>18</v>
      </c>
      <c r="F1095" t="s">
        <v>19</v>
      </c>
      <c r="H1095" s="23" t="e">
        <f>VLOOKUP(A1095,Revisión!$A$2:$L$703,6,FALSE)</f>
        <v>#N/A</v>
      </c>
      <c r="I1095" s="4" t="e">
        <f>VLOOKUP(A1095,Revisión!$A$2:$L$703,7,FALSE)</f>
        <v>#N/A</v>
      </c>
      <c r="J1095" s="4" t="e">
        <f>VLOOKUP(A1095,Revisión!$A$2:$L$703,8,FALSE)</f>
        <v>#N/A</v>
      </c>
      <c r="K1095" s="4" t="e">
        <f>VLOOKUP(A1095,Revisión!$A$2:$L$703,9,FALSE)</f>
        <v>#N/A</v>
      </c>
      <c r="L1095" s="4" t="e">
        <f>VLOOKUP(A1095,Revisión!$A$2:$L$703,10,FALSE)</f>
        <v>#N/A</v>
      </c>
      <c r="M1095" s="18" t="e">
        <f>VLOOKUP(A1095,Revisión!$A$2:$L$703,11,FALSE)</f>
        <v>#N/A</v>
      </c>
      <c r="N1095" s="30" t="str">
        <f>IF(E1095="Coinciden",D1095,IF(E1095="Revisar",VLOOKUP(A1095,Revisión!$A$2:$L$703,12,FALSE),""))</f>
        <v>Hypericum prolificum</v>
      </c>
    </row>
    <row r="1096" spans="1:14" x14ac:dyDescent="0.3">
      <c r="A1096" t="s">
        <v>2268</v>
      </c>
      <c r="B1096" t="s">
        <v>2269</v>
      </c>
      <c r="C1096" t="s">
        <v>2269</v>
      </c>
      <c r="D1096" t="s">
        <v>2269</v>
      </c>
      <c r="E1096" t="s">
        <v>18</v>
      </c>
      <c r="F1096" t="s">
        <v>19</v>
      </c>
      <c r="H1096" s="23" t="e">
        <f>VLOOKUP(A1096,Revisión!$A$2:$L$703,6,FALSE)</f>
        <v>#N/A</v>
      </c>
      <c r="I1096" s="4" t="e">
        <f>VLOOKUP(A1096,Revisión!$A$2:$L$703,7,FALSE)</f>
        <v>#N/A</v>
      </c>
      <c r="J1096" s="4" t="e">
        <f>VLOOKUP(A1096,Revisión!$A$2:$L$703,8,FALSE)</f>
        <v>#N/A</v>
      </c>
      <c r="K1096" s="4" t="e">
        <f>VLOOKUP(A1096,Revisión!$A$2:$L$703,9,FALSE)</f>
        <v>#N/A</v>
      </c>
      <c r="L1096" s="4" t="e">
        <f>VLOOKUP(A1096,Revisión!$A$2:$L$703,10,FALSE)</f>
        <v>#N/A</v>
      </c>
      <c r="M1096" s="18" t="e">
        <f>VLOOKUP(A1096,Revisión!$A$2:$L$703,11,FALSE)</f>
        <v>#N/A</v>
      </c>
      <c r="N1096" s="30" t="str">
        <f>IF(E1096="Coinciden",D1096,IF(E1096="Revisar",VLOOKUP(A1096,Revisión!$A$2:$L$703,12,FALSE),""))</f>
        <v>Hypericum patulum</v>
      </c>
    </row>
    <row r="1097" spans="1:14" x14ac:dyDescent="0.3">
      <c r="A1097" t="s">
        <v>2270</v>
      </c>
      <c r="B1097" t="s">
        <v>2271</v>
      </c>
      <c r="D1097" t="s">
        <v>2271</v>
      </c>
      <c r="E1097" t="s">
        <v>8</v>
      </c>
      <c r="F1097" t="s">
        <v>34</v>
      </c>
      <c r="H1097" s="23" t="str">
        <f>VLOOKUP(A1097,Revisión!$A$2:$L$703,6,FALSE)</f>
        <v>Hypericum erectum</v>
      </c>
      <c r="I1097" s="4" t="str">
        <f>VLOOKUP(A1097,Revisión!$A$2:$L$703,7,FALSE)</f>
        <v>Hypericum erectum</v>
      </c>
      <c r="J1097" s="4" t="str">
        <f>VLOOKUP(A1097,Revisión!$A$2:$L$703,8,FALSE)</f>
        <v>-</v>
      </c>
      <c r="K1097" s="4" t="str">
        <f>VLOOKUP(A1097,Revisión!$A$2:$L$703,9,FALSE)</f>
        <v>Hypericum erectum</v>
      </c>
      <c r="L1097" s="4" t="str">
        <f>VLOOKUP(A1097,Revisión!$A$2:$L$703,10,FALSE)</f>
        <v>Hypericum erectum</v>
      </c>
      <c r="M1097" s="18">
        <f>VLOOKUP(A1097,Revisión!$A$2:$L$703,11,FALSE)</f>
        <v>4</v>
      </c>
      <c r="N1097" s="30" t="str">
        <f>IF(E1097="Coinciden",D1097,IF(E1097="Revisar",VLOOKUP(A1097,Revisión!$A$2:$L$703,12,FALSE),""))</f>
        <v>Hypericum erectum</v>
      </c>
    </row>
    <row r="1098" spans="1:14" x14ac:dyDescent="0.3">
      <c r="A1098" t="s">
        <v>2272</v>
      </c>
      <c r="B1098" t="s">
        <v>2273</v>
      </c>
      <c r="D1098" t="s">
        <v>2273</v>
      </c>
      <c r="E1098" t="s">
        <v>8</v>
      </c>
      <c r="F1098" t="s">
        <v>34</v>
      </c>
      <c r="H1098" s="23" t="str">
        <f>VLOOKUP(A1098,Revisión!$A$2:$L$703,6,FALSE)</f>
        <v>Hypericum ascyron</v>
      </c>
      <c r="I1098" s="4" t="str">
        <f>VLOOKUP(A1098,Revisión!$A$2:$L$703,7,FALSE)</f>
        <v>Hypericum ascyron</v>
      </c>
      <c r="J1098" s="4" t="str">
        <f>VLOOKUP(A1098,Revisión!$A$2:$L$703,8,FALSE)</f>
        <v>-</v>
      </c>
      <c r="K1098" s="4" t="str">
        <f>VLOOKUP(A1098,Revisión!$A$2:$L$703,9,FALSE)</f>
        <v>Hypericum ascyron</v>
      </c>
      <c r="L1098" s="4" t="str">
        <f>VLOOKUP(A1098,Revisión!$A$2:$L$703,10,FALSE)</f>
        <v>Hypericum ascyron</v>
      </c>
      <c r="M1098" s="18">
        <f>VLOOKUP(A1098,Revisión!$A$2:$L$703,11,FALSE)</f>
        <v>4</v>
      </c>
      <c r="N1098" s="30" t="str">
        <f>IF(E1098="Coinciden",D1098,IF(E1098="Revisar",VLOOKUP(A1098,Revisión!$A$2:$L$703,12,FALSE),""))</f>
        <v>Hypericum ascyron</v>
      </c>
    </row>
    <row r="1099" spans="1:14" x14ac:dyDescent="0.3">
      <c r="A1099" t="s">
        <v>2274</v>
      </c>
      <c r="B1099" t="s">
        <v>2275</v>
      </c>
      <c r="C1099" t="s">
        <v>2275</v>
      </c>
      <c r="D1099" t="s">
        <v>2275</v>
      </c>
      <c r="E1099" t="s">
        <v>18</v>
      </c>
      <c r="F1099" t="s">
        <v>19</v>
      </c>
      <c r="H1099" s="23" t="e">
        <f>VLOOKUP(A1099,Revisión!$A$2:$L$703,6,FALSE)</f>
        <v>#N/A</v>
      </c>
      <c r="I1099" s="4" t="e">
        <f>VLOOKUP(A1099,Revisión!$A$2:$L$703,7,FALSE)</f>
        <v>#N/A</v>
      </c>
      <c r="J1099" s="4" t="e">
        <f>VLOOKUP(A1099,Revisión!$A$2:$L$703,8,FALSE)</f>
        <v>#N/A</v>
      </c>
      <c r="K1099" s="4" t="e">
        <f>VLOOKUP(A1099,Revisión!$A$2:$L$703,9,FALSE)</f>
        <v>#N/A</v>
      </c>
      <c r="L1099" s="4" t="e">
        <f>VLOOKUP(A1099,Revisión!$A$2:$L$703,10,FALSE)</f>
        <v>#N/A</v>
      </c>
      <c r="M1099" s="18" t="e">
        <f>VLOOKUP(A1099,Revisión!$A$2:$L$703,11,FALSE)</f>
        <v>#N/A</v>
      </c>
      <c r="N1099" s="30" t="str">
        <f>IF(E1099="Coinciden",D1099,IF(E1099="Revisar",VLOOKUP(A1099,Revisión!$A$2:$L$703,12,FALSE),""))</f>
        <v>Hypericum grandifolium</v>
      </c>
    </row>
    <row r="1100" spans="1:14" x14ac:dyDescent="0.3">
      <c r="A1100" t="s">
        <v>2276</v>
      </c>
      <c r="B1100" t="s">
        <v>2277</v>
      </c>
      <c r="C1100" t="s">
        <v>2277</v>
      </c>
      <c r="D1100" t="s">
        <v>2278</v>
      </c>
      <c r="E1100" t="s">
        <v>8</v>
      </c>
      <c r="F1100" t="s">
        <v>15</v>
      </c>
      <c r="H1100" s="23" t="str">
        <f>VLOOKUP(A1100,Revisión!$A$2:$L$703,6,FALSE)</f>
        <v>Hypochaeris rosengurttii</v>
      </c>
      <c r="I1100" s="4" t="str">
        <f>VLOOKUP(A1100,Revisión!$A$2:$L$703,7,FALSE)</f>
        <v>Hypochaeris lutea </v>
      </c>
      <c r="J1100" s="4" t="str">
        <f>VLOOKUP(A1100,Revisión!$A$2:$L$703,8,FALSE)</f>
        <v>Hypochaeris rosengurttii</v>
      </c>
      <c r="K1100" s="4" t="str">
        <f>VLOOKUP(A1100,Revisión!$A$2:$L$703,9,FALSE)</f>
        <v>Hypochaeris rosengurttii</v>
      </c>
      <c r="L1100" s="4" t="str">
        <f>VLOOKUP(A1100,Revisión!$A$2:$L$703,10,FALSE)</f>
        <v>Hypochaeris lutea </v>
      </c>
      <c r="M1100" s="18">
        <f>VLOOKUP(A1100,Revisión!$A$2:$L$703,11,FALSE)</f>
        <v>3</v>
      </c>
      <c r="N1100" s="30" t="str">
        <f>IF(E1100="Coinciden",D1100,IF(E1100="Revisar",VLOOKUP(A1100,Revisión!$A$2:$L$703,12,FALSE),""))</f>
        <v>Hypochaeris rosengurttii</v>
      </c>
    </row>
    <row r="1101" spans="1:14" x14ac:dyDescent="0.3">
      <c r="A1101" t="s">
        <v>2279</v>
      </c>
      <c r="B1101" t="s">
        <v>2280</v>
      </c>
      <c r="C1101" t="s">
        <v>2280</v>
      </c>
      <c r="D1101" t="s">
        <v>2280</v>
      </c>
      <c r="E1101" t="s">
        <v>18</v>
      </c>
      <c r="F1101" t="s">
        <v>19</v>
      </c>
      <c r="H1101" s="23" t="e">
        <f>VLOOKUP(A1101,Revisión!$A$2:$L$703,6,FALSE)</f>
        <v>#N/A</v>
      </c>
      <c r="I1101" s="4" t="e">
        <f>VLOOKUP(A1101,Revisión!$A$2:$L$703,7,FALSE)</f>
        <v>#N/A</v>
      </c>
      <c r="J1101" s="4" t="e">
        <f>VLOOKUP(A1101,Revisión!$A$2:$L$703,8,FALSE)</f>
        <v>#N/A</v>
      </c>
      <c r="K1101" s="4" t="e">
        <f>VLOOKUP(A1101,Revisión!$A$2:$L$703,9,FALSE)</f>
        <v>#N/A</v>
      </c>
      <c r="L1101" s="4" t="e">
        <f>VLOOKUP(A1101,Revisión!$A$2:$L$703,10,FALSE)</f>
        <v>#N/A</v>
      </c>
      <c r="M1101" s="18" t="e">
        <f>VLOOKUP(A1101,Revisión!$A$2:$L$703,11,FALSE)</f>
        <v>#N/A</v>
      </c>
      <c r="N1101" s="30" t="str">
        <f>IF(E1101="Coinciden",D1101,IF(E1101="Revisar",VLOOKUP(A1101,Revisión!$A$2:$L$703,12,FALSE),""))</f>
        <v>Hypochaeris radicata</v>
      </c>
    </row>
    <row r="1102" spans="1:14" x14ac:dyDescent="0.3">
      <c r="A1102" t="s">
        <v>2281</v>
      </c>
      <c r="B1102" t="s">
        <v>2282</v>
      </c>
      <c r="C1102" t="s">
        <v>2282</v>
      </c>
      <c r="D1102" t="s">
        <v>2282</v>
      </c>
      <c r="E1102" t="s">
        <v>18</v>
      </c>
      <c r="F1102" t="s">
        <v>19</v>
      </c>
      <c r="H1102" s="23" t="e">
        <f>VLOOKUP(A1102,Revisión!$A$2:$L$703,6,FALSE)</f>
        <v>#N/A</v>
      </c>
      <c r="I1102" s="4" t="e">
        <f>VLOOKUP(A1102,Revisión!$A$2:$L$703,7,FALSE)</f>
        <v>#N/A</v>
      </c>
      <c r="J1102" s="4" t="e">
        <f>VLOOKUP(A1102,Revisión!$A$2:$L$703,8,FALSE)</f>
        <v>#N/A</v>
      </c>
      <c r="K1102" s="4" t="e">
        <f>VLOOKUP(A1102,Revisión!$A$2:$L$703,9,FALSE)</f>
        <v>#N/A</v>
      </c>
      <c r="L1102" s="4" t="e">
        <f>VLOOKUP(A1102,Revisión!$A$2:$L$703,10,FALSE)</f>
        <v>#N/A</v>
      </c>
      <c r="M1102" s="18" t="e">
        <f>VLOOKUP(A1102,Revisión!$A$2:$L$703,11,FALSE)</f>
        <v>#N/A</v>
      </c>
      <c r="N1102" s="30" t="str">
        <f>IF(E1102="Coinciden",D1102,IF(E1102="Revisar",VLOOKUP(A1102,Revisión!$A$2:$L$703,12,FALSE),""))</f>
        <v>Hypochaeris pampasica</v>
      </c>
    </row>
    <row r="1103" spans="1:14" x14ac:dyDescent="0.3">
      <c r="A1103" t="s">
        <v>2283</v>
      </c>
      <c r="C1103" t="s">
        <v>2284</v>
      </c>
      <c r="D1103" t="s">
        <v>2284</v>
      </c>
      <c r="E1103" t="s">
        <v>8</v>
      </c>
      <c r="F1103" t="s">
        <v>49</v>
      </c>
      <c r="H1103" s="23" t="str">
        <f>VLOOKUP(A1103,Revisión!$A$2:$L$703,6,FALSE)</f>
        <v>Hypochaeris achyrophorus</v>
      </c>
      <c r="I1103" s="4" t="str">
        <f>VLOOKUP(A1103,Revisión!$A$2:$L$703,7,FALSE)</f>
        <v>Hypochaeris achyrophorus</v>
      </c>
      <c r="J1103" s="4" t="str">
        <f>VLOOKUP(A1103,Revisión!$A$2:$L$703,8,FALSE)</f>
        <v>-</v>
      </c>
      <c r="K1103" s="4" t="str">
        <f>VLOOKUP(A1103,Revisión!$A$2:$L$703,9,FALSE)</f>
        <v>Hypochaeris achyrophorus</v>
      </c>
      <c r="L1103" s="4" t="str">
        <f>VLOOKUP(A1103,Revisión!$A$2:$L$703,10,FALSE)</f>
        <v>Hypochaeris achyrophorus</v>
      </c>
      <c r="M1103" s="18">
        <f>VLOOKUP(A1103,Revisión!$A$2:$L$703,11,FALSE)</f>
        <v>4</v>
      </c>
      <c r="N1103" s="30" t="str">
        <f>IF(E1103="Coinciden",D1103,IF(E1103="Revisar",VLOOKUP(A1103,Revisión!$A$2:$L$703,12,FALSE),""))</f>
        <v>Hypochaeris achyrophorus</v>
      </c>
    </row>
    <row r="1104" spans="1:14" x14ac:dyDescent="0.3">
      <c r="A1104" t="s">
        <v>2285</v>
      </c>
      <c r="B1104" t="s">
        <v>2286</v>
      </c>
      <c r="C1104" t="s">
        <v>2280</v>
      </c>
      <c r="D1104" t="s">
        <v>2280</v>
      </c>
      <c r="E1104" t="s">
        <v>8</v>
      </c>
      <c r="F1104" t="s">
        <v>23</v>
      </c>
      <c r="H1104" s="23" t="str">
        <f>VLOOKUP(A1104,Revisión!$A$2:$L$703,6,FALSE)</f>
        <v>Hypochoeris radicata</v>
      </c>
      <c r="I1104" s="4" t="str">
        <f>VLOOKUP(A1104,Revisión!$A$2:$L$703,7,FALSE)</f>
        <v>Hypochoeris radicata</v>
      </c>
      <c r="J1104" s="4" t="str">
        <f>VLOOKUP(A1104,Revisión!$A$2:$L$703,8,FALSE)</f>
        <v>-</v>
      </c>
      <c r="K1104" s="4" t="str">
        <f>VLOOKUP(A1104,Revisión!$A$2:$L$703,9,FALSE)</f>
        <v>Hypochoeris radicata</v>
      </c>
      <c r="L1104" s="4" t="str">
        <f>VLOOKUP(A1104,Revisión!$A$2:$L$703,10,FALSE)</f>
        <v>Hypochoeris radicata</v>
      </c>
      <c r="M1104" s="18">
        <f>VLOOKUP(A1104,Revisión!$A$2:$L$703,11,FALSE)</f>
        <v>4</v>
      </c>
      <c r="N1104" s="30" t="str">
        <f>IF(E1104="Coinciden",D1104,IF(E1104="Revisar",VLOOKUP(A1104,Revisión!$A$2:$L$703,12,FALSE),""))</f>
        <v>Hypochaeris radicata</v>
      </c>
    </row>
    <row r="1105" spans="1:14" x14ac:dyDescent="0.3">
      <c r="A1105" t="s">
        <v>2287</v>
      </c>
      <c r="E1105" t="s">
        <v>8</v>
      </c>
      <c r="F1105" t="s">
        <v>11</v>
      </c>
      <c r="H1105" s="23" t="e">
        <f>VLOOKUP(A1105,Revisión!$A$2:$L$703,6,FALSE)</f>
        <v>#N/A</v>
      </c>
      <c r="I1105" s="4" t="e">
        <f>VLOOKUP(A1105,Revisión!$A$2:$L$703,7,FALSE)</f>
        <v>#N/A</v>
      </c>
      <c r="J1105" s="4" t="e">
        <f>VLOOKUP(A1105,Revisión!$A$2:$L$703,8,FALSE)</f>
        <v>#N/A</v>
      </c>
      <c r="K1105" s="4" t="e">
        <f>VLOOKUP(A1105,Revisión!$A$2:$L$703,9,FALSE)</f>
        <v>#N/A</v>
      </c>
      <c r="L1105" s="4" t="e">
        <f>VLOOKUP(A1105,Revisión!$A$2:$L$703,10,FALSE)</f>
        <v>#N/A</v>
      </c>
      <c r="M1105" s="18" t="e">
        <f>VLOOKUP(A1105,Revisión!$A$2:$L$703,11,FALSE)</f>
        <v>#N/A</v>
      </c>
      <c r="N1105" s="30" t="e">
        <f>IF(E1105="Coinciden",D1105,IF(E1105="Revisar",VLOOKUP(A1105,Revisión!$A$2:$L$703,12,FALSE),""))</f>
        <v>#N/A</v>
      </c>
    </row>
    <row r="1106" spans="1:14" x14ac:dyDescent="0.3">
      <c r="A1106" t="s">
        <v>2288</v>
      </c>
      <c r="D1106" t="s">
        <v>2289</v>
      </c>
      <c r="E1106" t="s">
        <v>8</v>
      </c>
      <c r="F1106" t="s">
        <v>9</v>
      </c>
      <c r="H1106" s="23" t="str">
        <f>VLOOKUP(A1106,Revisión!$A$2:$L$703,6,FALSE)</f>
        <v>Hypochaeris laciniata</v>
      </c>
      <c r="I1106" s="4" t="str">
        <f>VLOOKUP(A1106,Revisión!$A$2:$L$703,7,FALSE)</f>
        <v>Hypochaeris laciniata</v>
      </c>
      <c r="J1106" s="4" t="str">
        <f>VLOOKUP(A1106,Revisión!$A$2:$L$703,8,FALSE)</f>
        <v>-</v>
      </c>
      <c r="K1106" s="4" t="str">
        <f>VLOOKUP(A1106,Revisión!$A$2:$L$703,9,FALSE)</f>
        <v>Hypochaeris laciniata</v>
      </c>
      <c r="L1106" s="4" t="str">
        <f>VLOOKUP(A1106,Revisión!$A$2:$L$703,10,FALSE)</f>
        <v>Hypochaeris laciniata</v>
      </c>
      <c r="M1106" s="18">
        <f>VLOOKUP(A1106,Revisión!$A$2:$L$703,11,FALSE)</f>
        <v>4</v>
      </c>
      <c r="N1106" s="30" t="str">
        <f>IF(E1106="Coinciden",D1106,IF(E1106="Revisar",VLOOKUP(A1106,Revisión!$A$2:$L$703,12,FALSE),""))</f>
        <v>Hypochaeris laciniata</v>
      </c>
    </row>
    <row r="1107" spans="1:14" x14ac:dyDescent="0.3">
      <c r="A1107" t="s">
        <v>2290</v>
      </c>
      <c r="B1107" t="s">
        <v>2291</v>
      </c>
      <c r="C1107" t="s">
        <v>2291</v>
      </c>
      <c r="D1107" t="s">
        <v>2291</v>
      </c>
      <c r="E1107" t="s">
        <v>18</v>
      </c>
      <c r="F1107" t="s">
        <v>19</v>
      </c>
      <c r="H1107" s="23" t="e">
        <f>VLOOKUP(A1107,Revisión!$A$2:$L$703,6,FALSE)</f>
        <v>#N/A</v>
      </c>
      <c r="I1107" s="4" t="e">
        <f>VLOOKUP(A1107,Revisión!$A$2:$L$703,7,FALSE)</f>
        <v>#N/A</v>
      </c>
      <c r="J1107" s="4" t="e">
        <f>VLOOKUP(A1107,Revisión!$A$2:$L$703,8,FALSE)</f>
        <v>#N/A</v>
      </c>
      <c r="K1107" s="4" t="e">
        <f>VLOOKUP(A1107,Revisión!$A$2:$L$703,9,FALSE)</f>
        <v>#N/A</v>
      </c>
      <c r="L1107" s="4" t="e">
        <f>VLOOKUP(A1107,Revisión!$A$2:$L$703,10,FALSE)</f>
        <v>#N/A</v>
      </c>
      <c r="M1107" s="18" t="e">
        <f>VLOOKUP(A1107,Revisión!$A$2:$L$703,11,FALSE)</f>
        <v>#N/A</v>
      </c>
      <c r="N1107" s="30" t="str">
        <f>IF(E1107="Coinciden",D1107,IF(E1107="Revisar",VLOOKUP(A1107,Revisión!$A$2:$L$703,12,FALSE),""))</f>
        <v>Hypoxis hirsuta</v>
      </c>
    </row>
    <row r="1108" spans="1:14" x14ac:dyDescent="0.3">
      <c r="A1108" t="s">
        <v>2292</v>
      </c>
      <c r="B1108" t="s">
        <v>2293</v>
      </c>
      <c r="C1108" t="s">
        <v>2293</v>
      </c>
      <c r="D1108" t="s">
        <v>2293</v>
      </c>
      <c r="E1108" t="s">
        <v>18</v>
      </c>
      <c r="F1108" t="s">
        <v>19</v>
      </c>
      <c r="H1108" s="23" t="e">
        <f>VLOOKUP(A1108,Revisión!$A$2:$L$703,6,FALSE)</f>
        <v>#N/A</v>
      </c>
      <c r="I1108" s="4" t="e">
        <f>VLOOKUP(A1108,Revisión!$A$2:$L$703,7,FALSE)</f>
        <v>#N/A</v>
      </c>
      <c r="J1108" s="4" t="e">
        <f>VLOOKUP(A1108,Revisión!$A$2:$L$703,8,FALSE)</f>
        <v>#N/A</v>
      </c>
      <c r="K1108" s="4" t="e">
        <f>VLOOKUP(A1108,Revisión!$A$2:$L$703,9,FALSE)</f>
        <v>#N/A</v>
      </c>
      <c r="L1108" s="4" t="e">
        <f>VLOOKUP(A1108,Revisión!$A$2:$L$703,10,FALSE)</f>
        <v>#N/A</v>
      </c>
      <c r="M1108" s="18" t="e">
        <f>VLOOKUP(A1108,Revisión!$A$2:$L$703,11,FALSE)</f>
        <v>#N/A</v>
      </c>
      <c r="N1108" s="30" t="str">
        <f>IF(E1108="Coinciden",D1108,IF(E1108="Revisar",VLOOKUP(A1108,Revisión!$A$2:$L$703,12,FALSE),""))</f>
        <v>Hyptis conferta</v>
      </c>
    </row>
    <row r="1109" spans="1:14" x14ac:dyDescent="0.3">
      <c r="A1109" t="s">
        <v>2294</v>
      </c>
      <c r="B1109" t="s">
        <v>2295</v>
      </c>
      <c r="C1109" t="s">
        <v>2295</v>
      </c>
      <c r="D1109" t="s">
        <v>2295</v>
      </c>
      <c r="E1109" t="s">
        <v>18</v>
      </c>
      <c r="F1109" t="s">
        <v>19</v>
      </c>
      <c r="H1109" s="23" t="e">
        <f>VLOOKUP(A1109,Revisión!$A$2:$L$703,6,FALSE)</f>
        <v>#N/A</v>
      </c>
      <c r="I1109" s="4" t="e">
        <f>VLOOKUP(A1109,Revisión!$A$2:$L$703,7,FALSE)</f>
        <v>#N/A</v>
      </c>
      <c r="J1109" s="4" t="e">
        <f>VLOOKUP(A1109,Revisión!$A$2:$L$703,8,FALSE)</f>
        <v>#N/A</v>
      </c>
      <c r="K1109" s="4" t="e">
        <f>VLOOKUP(A1109,Revisión!$A$2:$L$703,9,FALSE)</f>
        <v>#N/A</v>
      </c>
      <c r="L1109" s="4" t="e">
        <f>VLOOKUP(A1109,Revisión!$A$2:$L$703,10,FALSE)</f>
        <v>#N/A</v>
      </c>
      <c r="M1109" s="18" t="e">
        <f>VLOOKUP(A1109,Revisión!$A$2:$L$703,11,FALSE)</f>
        <v>#N/A</v>
      </c>
      <c r="N1109" s="30" t="str">
        <f>IF(E1109="Coinciden",D1109,IF(E1109="Revisar",VLOOKUP(A1109,Revisión!$A$2:$L$703,12,FALSE),""))</f>
        <v>Hyptis dilatata</v>
      </c>
    </row>
    <row r="1110" spans="1:14" x14ac:dyDescent="0.3">
      <c r="A1110" t="s">
        <v>2296</v>
      </c>
      <c r="B1110" t="s">
        <v>2297</v>
      </c>
      <c r="C1110" t="s">
        <v>2297</v>
      </c>
      <c r="D1110" t="s">
        <v>2297</v>
      </c>
      <c r="E1110" t="s">
        <v>18</v>
      </c>
      <c r="F1110" t="s">
        <v>19</v>
      </c>
      <c r="H1110" s="23" t="e">
        <f>VLOOKUP(A1110,Revisión!$A$2:$L$703,6,FALSE)</f>
        <v>#N/A</v>
      </c>
      <c r="I1110" s="4" t="e">
        <f>VLOOKUP(A1110,Revisión!$A$2:$L$703,7,FALSE)</f>
        <v>#N/A</v>
      </c>
      <c r="J1110" s="4" t="e">
        <f>VLOOKUP(A1110,Revisión!$A$2:$L$703,8,FALSE)</f>
        <v>#N/A</v>
      </c>
      <c r="K1110" s="4" t="e">
        <f>VLOOKUP(A1110,Revisión!$A$2:$L$703,9,FALSE)</f>
        <v>#N/A</v>
      </c>
      <c r="L1110" s="4" t="e">
        <f>VLOOKUP(A1110,Revisión!$A$2:$L$703,10,FALSE)</f>
        <v>#N/A</v>
      </c>
      <c r="M1110" s="18" t="e">
        <f>VLOOKUP(A1110,Revisión!$A$2:$L$703,11,FALSE)</f>
        <v>#N/A</v>
      </c>
      <c r="N1110" s="30" t="str">
        <f>IF(E1110="Coinciden",D1110,IF(E1110="Revisar",VLOOKUP(A1110,Revisión!$A$2:$L$703,12,FALSE),""))</f>
        <v>Neja pinifolia</v>
      </c>
    </row>
    <row r="1111" spans="1:14" x14ac:dyDescent="0.3">
      <c r="A1111" t="s">
        <v>2298</v>
      </c>
      <c r="B1111" t="s">
        <v>2299</v>
      </c>
      <c r="C1111" t="s">
        <v>2299</v>
      </c>
      <c r="D1111" t="s">
        <v>2299</v>
      </c>
      <c r="E1111" t="s">
        <v>18</v>
      </c>
      <c r="F1111" t="s">
        <v>19</v>
      </c>
      <c r="H1111" s="23" t="e">
        <f>VLOOKUP(A1111,Revisión!$A$2:$L$703,6,FALSE)</f>
        <v>#N/A</v>
      </c>
      <c r="I1111" s="4" t="e">
        <f>VLOOKUP(A1111,Revisión!$A$2:$L$703,7,FALSE)</f>
        <v>#N/A</v>
      </c>
      <c r="J1111" s="4" t="e">
        <f>VLOOKUP(A1111,Revisión!$A$2:$L$703,8,FALSE)</f>
        <v>#N/A</v>
      </c>
      <c r="K1111" s="4" t="e">
        <f>VLOOKUP(A1111,Revisión!$A$2:$L$703,9,FALSE)</f>
        <v>#N/A</v>
      </c>
      <c r="L1111" s="4" t="e">
        <f>VLOOKUP(A1111,Revisión!$A$2:$L$703,10,FALSE)</f>
        <v>#N/A</v>
      </c>
      <c r="M1111" s="18" t="e">
        <f>VLOOKUP(A1111,Revisión!$A$2:$L$703,11,FALSE)</f>
        <v>#N/A</v>
      </c>
      <c r="N1111" s="30" t="str">
        <f>IF(E1111="Coinciden",D1111,IF(E1111="Revisar",VLOOKUP(A1111,Revisión!$A$2:$L$703,12,FALSE),""))</f>
        <v>Hysterionica jasionoides</v>
      </c>
    </row>
    <row r="1112" spans="1:14" x14ac:dyDescent="0.3">
      <c r="A1112" t="s">
        <v>2300</v>
      </c>
      <c r="B1112" t="s">
        <v>2301</v>
      </c>
      <c r="C1112" t="s">
        <v>2301</v>
      </c>
      <c r="D1112" t="s">
        <v>2301</v>
      </c>
      <c r="E1112" t="s">
        <v>18</v>
      </c>
      <c r="F1112" t="s">
        <v>19</v>
      </c>
      <c r="H1112" s="23" t="e">
        <f>VLOOKUP(A1112,Revisión!$A$2:$L$703,6,FALSE)</f>
        <v>#N/A</v>
      </c>
      <c r="I1112" s="4" t="e">
        <f>VLOOKUP(A1112,Revisión!$A$2:$L$703,7,FALSE)</f>
        <v>#N/A</v>
      </c>
      <c r="J1112" s="4" t="e">
        <f>VLOOKUP(A1112,Revisión!$A$2:$L$703,8,FALSE)</f>
        <v>#N/A</v>
      </c>
      <c r="K1112" s="4" t="e">
        <f>VLOOKUP(A1112,Revisión!$A$2:$L$703,9,FALSE)</f>
        <v>#N/A</v>
      </c>
      <c r="L1112" s="4" t="e">
        <f>VLOOKUP(A1112,Revisión!$A$2:$L$703,10,FALSE)</f>
        <v>#N/A</v>
      </c>
      <c r="M1112" s="18" t="e">
        <f>VLOOKUP(A1112,Revisión!$A$2:$L$703,11,FALSE)</f>
        <v>#N/A</v>
      </c>
      <c r="N1112" s="30" t="str">
        <f>IF(E1112="Coinciden",D1112,IF(E1112="Revisar",VLOOKUP(A1112,Revisión!$A$2:$L$703,12,FALSE),""))</f>
        <v>Spiranthes romanzoffiana</v>
      </c>
    </row>
    <row r="1113" spans="1:14" x14ac:dyDescent="0.3">
      <c r="A1113" t="s">
        <v>2302</v>
      </c>
      <c r="B1113" t="s">
        <v>2303</v>
      </c>
      <c r="C1113" t="s">
        <v>2303</v>
      </c>
      <c r="D1113" t="s">
        <v>2303</v>
      </c>
      <c r="E1113" t="s">
        <v>18</v>
      </c>
      <c r="F1113" t="s">
        <v>19</v>
      </c>
      <c r="H1113" s="23" t="e">
        <f>VLOOKUP(A1113,Revisión!$A$2:$L$703,6,FALSE)</f>
        <v>#N/A</v>
      </c>
      <c r="I1113" s="4" t="e">
        <f>VLOOKUP(A1113,Revisión!$A$2:$L$703,7,FALSE)</f>
        <v>#N/A</v>
      </c>
      <c r="J1113" s="4" t="e">
        <f>VLOOKUP(A1113,Revisión!$A$2:$L$703,8,FALSE)</f>
        <v>#N/A</v>
      </c>
      <c r="K1113" s="4" t="e">
        <f>VLOOKUP(A1113,Revisión!$A$2:$L$703,9,FALSE)</f>
        <v>#N/A</v>
      </c>
      <c r="L1113" s="4" t="e">
        <f>VLOOKUP(A1113,Revisión!$A$2:$L$703,10,FALSE)</f>
        <v>#N/A</v>
      </c>
      <c r="M1113" s="18" t="e">
        <f>VLOOKUP(A1113,Revisión!$A$2:$L$703,11,FALSE)</f>
        <v>#N/A</v>
      </c>
      <c r="N1113" s="30" t="str">
        <f>IF(E1113="Coinciden",D1113,IF(E1113="Revisar",VLOOKUP(A1113,Revisión!$A$2:$L$703,12,FALSE),""))</f>
        <v>Idesia polycarpa</v>
      </c>
    </row>
    <row r="1114" spans="1:14" x14ac:dyDescent="0.3">
      <c r="A1114" t="s">
        <v>2304</v>
      </c>
      <c r="B1114" t="s">
        <v>2305</v>
      </c>
      <c r="C1114" t="s">
        <v>2305</v>
      </c>
      <c r="D1114" t="s">
        <v>2305</v>
      </c>
      <c r="E1114" t="s">
        <v>18</v>
      </c>
      <c r="F1114" t="s">
        <v>19</v>
      </c>
      <c r="H1114" s="23" t="e">
        <f>VLOOKUP(A1114,Revisión!$A$2:$L$703,6,FALSE)</f>
        <v>#N/A</v>
      </c>
      <c r="I1114" s="4" t="e">
        <f>VLOOKUP(A1114,Revisión!$A$2:$L$703,7,FALSE)</f>
        <v>#N/A</v>
      </c>
      <c r="J1114" s="4" t="e">
        <f>VLOOKUP(A1114,Revisión!$A$2:$L$703,8,FALSE)</f>
        <v>#N/A</v>
      </c>
      <c r="K1114" s="4" t="e">
        <f>VLOOKUP(A1114,Revisión!$A$2:$L$703,9,FALSE)</f>
        <v>#N/A</v>
      </c>
      <c r="L1114" s="4" t="e">
        <f>VLOOKUP(A1114,Revisión!$A$2:$L$703,10,FALSE)</f>
        <v>#N/A</v>
      </c>
      <c r="M1114" s="18" t="e">
        <f>VLOOKUP(A1114,Revisión!$A$2:$L$703,11,FALSE)</f>
        <v>#N/A</v>
      </c>
      <c r="N1114" s="30" t="str">
        <f>IF(E1114="Coinciden",D1114,IF(E1114="Revisar",VLOOKUP(A1114,Revisión!$A$2:$L$703,12,FALSE),""))</f>
        <v>Ilex retusa</v>
      </c>
    </row>
    <row r="1115" spans="1:14" x14ac:dyDescent="0.3">
      <c r="A1115" t="s">
        <v>2306</v>
      </c>
      <c r="B1115" t="s">
        <v>2307</v>
      </c>
      <c r="D1115" t="s">
        <v>2307</v>
      </c>
      <c r="E1115" t="s">
        <v>8</v>
      </c>
      <c r="F1115" t="s">
        <v>34</v>
      </c>
      <c r="H1115" s="23" t="str">
        <f>VLOOKUP(A1115,Revisión!$A$2:$L$703,6,FALSE)</f>
        <v>Ilex integra</v>
      </c>
      <c r="I1115" s="4" t="str">
        <f>VLOOKUP(A1115,Revisión!$A$2:$L$703,7,FALSE)</f>
        <v>Ilex integra</v>
      </c>
      <c r="J1115" s="4" t="str">
        <f>VLOOKUP(A1115,Revisión!$A$2:$L$703,8,FALSE)</f>
        <v>-</v>
      </c>
      <c r="K1115" s="4" t="str">
        <f>VLOOKUP(A1115,Revisión!$A$2:$L$703,9,FALSE)</f>
        <v>Ilex integra</v>
      </c>
      <c r="L1115" s="4" t="str">
        <f>VLOOKUP(A1115,Revisión!$A$2:$L$703,10,FALSE)</f>
        <v>Ilex integra</v>
      </c>
      <c r="M1115" s="18">
        <f>VLOOKUP(A1115,Revisión!$A$2:$L$703,11,FALSE)</f>
        <v>4</v>
      </c>
      <c r="N1115" s="30" t="str">
        <f>IF(E1115="Coinciden",D1115,IF(E1115="Revisar",VLOOKUP(A1115,Revisión!$A$2:$L$703,12,FALSE),""))</f>
        <v>Ilex integra</v>
      </c>
    </row>
    <row r="1116" spans="1:14" x14ac:dyDescent="0.3">
      <c r="A1116" t="s">
        <v>2308</v>
      </c>
      <c r="C1116" t="s">
        <v>2309</v>
      </c>
      <c r="D1116" t="s">
        <v>2309</v>
      </c>
      <c r="E1116" t="s">
        <v>8</v>
      </c>
      <c r="F1116" t="s">
        <v>49</v>
      </c>
      <c r="H1116" s="23" t="str">
        <f>VLOOKUP(A1116,Revisión!$A$2:$L$703,6,FALSE)</f>
        <v>Ilex canariensis</v>
      </c>
      <c r="I1116" s="4" t="str">
        <f>VLOOKUP(A1116,Revisión!$A$2:$L$703,7,FALSE)</f>
        <v>Ilex canariensis</v>
      </c>
      <c r="J1116" s="4" t="str">
        <f>VLOOKUP(A1116,Revisión!$A$2:$L$703,8,FALSE)</f>
        <v>-</v>
      </c>
      <c r="K1116" s="4" t="str">
        <f>VLOOKUP(A1116,Revisión!$A$2:$L$703,9,FALSE)</f>
        <v>Ilex canariensis</v>
      </c>
      <c r="L1116" s="4" t="str">
        <f>VLOOKUP(A1116,Revisión!$A$2:$L$703,10,FALSE)</f>
        <v>Ilex canariensis</v>
      </c>
      <c r="M1116" s="18">
        <f>VLOOKUP(A1116,Revisión!$A$2:$L$703,11,FALSE)</f>
        <v>4</v>
      </c>
      <c r="N1116" s="30" t="str">
        <f>IF(E1116="Coinciden",D1116,IF(E1116="Revisar",VLOOKUP(A1116,Revisión!$A$2:$L$703,12,FALSE),""))</f>
        <v>Ilex canariensis</v>
      </c>
    </row>
    <row r="1117" spans="1:14" x14ac:dyDescent="0.3">
      <c r="A1117" t="s">
        <v>2310</v>
      </c>
      <c r="B1117" t="s">
        <v>2311</v>
      </c>
      <c r="C1117" t="s">
        <v>2311</v>
      </c>
      <c r="D1117" t="s">
        <v>2311</v>
      </c>
      <c r="E1117" t="s">
        <v>18</v>
      </c>
      <c r="F1117" t="s">
        <v>19</v>
      </c>
      <c r="H1117" s="23" t="e">
        <f>VLOOKUP(A1117,Revisión!$A$2:$L$703,6,FALSE)</f>
        <v>#N/A</v>
      </c>
      <c r="I1117" s="4" t="e">
        <f>VLOOKUP(A1117,Revisión!$A$2:$L$703,7,FALSE)</f>
        <v>#N/A</v>
      </c>
      <c r="J1117" s="4" t="e">
        <f>VLOOKUP(A1117,Revisión!$A$2:$L$703,8,FALSE)</f>
        <v>#N/A</v>
      </c>
      <c r="K1117" s="4" t="e">
        <f>VLOOKUP(A1117,Revisión!$A$2:$L$703,9,FALSE)</f>
        <v>#N/A</v>
      </c>
      <c r="L1117" s="4" t="e">
        <f>VLOOKUP(A1117,Revisión!$A$2:$L$703,10,FALSE)</f>
        <v>#N/A</v>
      </c>
      <c r="M1117" s="18" t="e">
        <f>VLOOKUP(A1117,Revisión!$A$2:$L$703,11,FALSE)</f>
        <v>#N/A</v>
      </c>
      <c r="N1117" s="30" t="str">
        <f>IF(E1117="Coinciden",D1117,IF(E1117="Revisar",VLOOKUP(A1117,Revisión!$A$2:$L$703,12,FALSE),""))</f>
        <v>Ilex serrata</v>
      </c>
    </row>
    <row r="1118" spans="1:14" x14ac:dyDescent="0.3">
      <c r="A1118" t="s">
        <v>2312</v>
      </c>
      <c r="B1118" t="s">
        <v>2313</v>
      </c>
      <c r="C1118" t="s">
        <v>2313</v>
      </c>
      <c r="D1118" t="s">
        <v>2313</v>
      </c>
      <c r="E1118" t="s">
        <v>18</v>
      </c>
      <c r="F1118" t="s">
        <v>19</v>
      </c>
      <c r="H1118" s="23" t="e">
        <f>VLOOKUP(A1118,Revisión!$A$2:$L$703,6,FALSE)</f>
        <v>#N/A</v>
      </c>
      <c r="I1118" s="4" t="e">
        <f>VLOOKUP(A1118,Revisión!$A$2:$L$703,7,FALSE)</f>
        <v>#N/A</v>
      </c>
      <c r="J1118" s="4" t="e">
        <f>VLOOKUP(A1118,Revisión!$A$2:$L$703,8,FALSE)</f>
        <v>#N/A</v>
      </c>
      <c r="K1118" s="4" t="e">
        <f>VLOOKUP(A1118,Revisión!$A$2:$L$703,9,FALSE)</f>
        <v>#N/A</v>
      </c>
      <c r="L1118" s="4" t="e">
        <f>VLOOKUP(A1118,Revisión!$A$2:$L$703,10,FALSE)</f>
        <v>#N/A</v>
      </c>
      <c r="M1118" s="18" t="e">
        <f>VLOOKUP(A1118,Revisión!$A$2:$L$703,11,FALSE)</f>
        <v>#N/A</v>
      </c>
      <c r="N1118" s="30" t="str">
        <f>IF(E1118="Coinciden",D1118,IF(E1118="Revisar",VLOOKUP(A1118,Revisión!$A$2:$L$703,12,FALSE),""))</f>
        <v>Impatiens pallida</v>
      </c>
    </row>
    <row r="1119" spans="1:14" x14ac:dyDescent="0.3">
      <c r="A1119" t="s">
        <v>2314</v>
      </c>
      <c r="B1119" t="s">
        <v>2315</v>
      </c>
      <c r="D1119" t="s">
        <v>2315</v>
      </c>
      <c r="E1119" t="s">
        <v>8</v>
      </c>
      <c r="F1119" t="s">
        <v>34</v>
      </c>
      <c r="H1119" s="23" t="str">
        <f>VLOOKUP(A1119,Revisión!$A$2:$L$703,6,FALSE)</f>
        <v>Impatiens noli-tangere</v>
      </c>
      <c r="I1119" s="4" t="str">
        <f>VLOOKUP(A1119,Revisión!$A$2:$L$703,7,FALSE)</f>
        <v>Impatiens noli-tangere</v>
      </c>
      <c r="J1119" s="4" t="str">
        <f>VLOOKUP(A1119,Revisión!$A$2:$L$703,8,FALSE)</f>
        <v>-</v>
      </c>
      <c r="K1119" s="4" t="str">
        <f>VLOOKUP(A1119,Revisión!$A$2:$L$703,9,FALSE)</f>
        <v>Impatiens noli-tangere</v>
      </c>
      <c r="L1119" s="4" t="str">
        <f>VLOOKUP(A1119,Revisión!$A$2:$L$703,10,FALSE)</f>
        <v>Impatiens noli-tangere</v>
      </c>
      <c r="M1119" s="18">
        <f>VLOOKUP(A1119,Revisión!$A$2:$L$703,11,FALSE)</f>
        <v>4</v>
      </c>
      <c r="N1119" s="30" t="str">
        <f>IF(E1119="Coinciden",D1119,IF(E1119="Revisar",VLOOKUP(A1119,Revisión!$A$2:$L$703,12,FALSE),""))</f>
        <v>Impatiens noli-tangere</v>
      </c>
    </row>
    <row r="1120" spans="1:14" x14ac:dyDescent="0.3">
      <c r="A1120" t="s">
        <v>2316</v>
      </c>
      <c r="B1120" t="s">
        <v>2317</v>
      </c>
      <c r="C1120" t="s">
        <v>2317</v>
      </c>
      <c r="D1120" t="s">
        <v>2317</v>
      </c>
      <c r="E1120" t="s">
        <v>18</v>
      </c>
      <c r="F1120" t="s">
        <v>19</v>
      </c>
      <c r="H1120" s="23" t="e">
        <f>VLOOKUP(A1120,Revisión!$A$2:$L$703,6,FALSE)</f>
        <v>#N/A</v>
      </c>
      <c r="I1120" s="4" t="e">
        <f>VLOOKUP(A1120,Revisión!$A$2:$L$703,7,FALSE)</f>
        <v>#N/A</v>
      </c>
      <c r="J1120" s="4" t="e">
        <f>VLOOKUP(A1120,Revisión!$A$2:$L$703,8,FALSE)</f>
        <v>#N/A</v>
      </c>
      <c r="K1120" s="4" t="e">
        <f>VLOOKUP(A1120,Revisión!$A$2:$L$703,9,FALSE)</f>
        <v>#N/A</v>
      </c>
      <c r="L1120" s="4" t="e">
        <f>VLOOKUP(A1120,Revisión!$A$2:$L$703,10,FALSE)</f>
        <v>#N/A</v>
      </c>
      <c r="M1120" s="18" t="e">
        <f>VLOOKUP(A1120,Revisión!$A$2:$L$703,11,FALSE)</f>
        <v>#N/A</v>
      </c>
      <c r="N1120" s="30" t="str">
        <f>IF(E1120="Coinciden",D1120,IF(E1120="Revisar",VLOOKUP(A1120,Revisión!$A$2:$L$703,12,FALSE),""))</f>
        <v>Impatiens capensis</v>
      </c>
    </row>
    <row r="1121" spans="1:14" x14ac:dyDescent="0.3">
      <c r="A1121" t="s">
        <v>2318</v>
      </c>
      <c r="B1121" t="s">
        <v>2319</v>
      </c>
      <c r="C1121" t="s">
        <v>2319</v>
      </c>
      <c r="D1121" t="s">
        <v>2319</v>
      </c>
      <c r="E1121" t="s">
        <v>18</v>
      </c>
      <c r="F1121" t="s">
        <v>19</v>
      </c>
      <c r="H1121" s="23" t="e">
        <f>VLOOKUP(A1121,Revisión!$A$2:$L$703,6,FALSE)</f>
        <v>#N/A</v>
      </c>
      <c r="I1121" s="4" t="e">
        <f>VLOOKUP(A1121,Revisión!$A$2:$L$703,7,FALSE)</f>
        <v>#N/A</v>
      </c>
      <c r="J1121" s="4" t="e">
        <f>VLOOKUP(A1121,Revisión!$A$2:$L$703,8,FALSE)</f>
        <v>#N/A</v>
      </c>
      <c r="K1121" s="4" t="e">
        <f>VLOOKUP(A1121,Revisión!$A$2:$L$703,9,FALSE)</f>
        <v>#N/A</v>
      </c>
      <c r="L1121" s="4" t="e">
        <f>VLOOKUP(A1121,Revisión!$A$2:$L$703,10,FALSE)</f>
        <v>#N/A</v>
      </c>
      <c r="M1121" s="18" t="e">
        <f>VLOOKUP(A1121,Revisión!$A$2:$L$703,11,FALSE)</f>
        <v>#N/A</v>
      </c>
      <c r="N1121" s="30" t="str">
        <f>IF(E1121="Coinciden",D1121,IF(E1121="Revisar",VLOOKUP(A1121,Revisión!$A$2:$L$703,12,FALSE),""))</f>
        <v>Impatiens walleriana</v>
      </c>
    </row>
    <row r="1122" spans="1:14" x14ac:dyDescent="0.3">
      <c r="A1122" t="s">
        <v>2320</v>
      </c>
      <c r="B1122" t="s">
        <v>2321</v>
      </c>
      <c r="C1122" t="s">
        <v>2321</v>
      </c>
      <c r="D1122" t="s">
        <v>2321</v>
      </c>
      <c r="E1122" t="s">
        <v>18</v>
      </c>
      <c r="F1122" t="s">
        <v>19</v>
      </c>
      <c r="H1122" s="23" t="e">
        <f>VLOOKUP(A1122,Revisión!$A$2:$L$703,6,FALSE)</f>
        <v>#N/A</v>
      </c>
      <c r="I1122" s="4" t="e">
        <f>VLOOKUP(A1122,Revisión!$A$2:$L$703,7,FALSE)</f>
        <v>#N/A</v>
      </c>
      <c r="J1122" s="4" t="e">
        <f>VLOOKUP(A1122,Revisión!$A$2:$L$703,8,FALSE)</f>
        <v>#N/A</v>
      </c>
      <c r="K1122" s="4" t="e">
        <f>VLOOKUP(A1122,Revisión!$A$2:$L$703,9,FALSE)</f>
        <v>#N/A</v>
      </c>
      <c r="L1122" s="4" t="e">
        <f>VLOOKUP(A1122,Revisión!$A$2:$L$703,10,FALSE)</f>
        <v>#N/A</v>
      </c>
      <c r="M1122" s="18" t="e">
        <f>VLOOKUP(A1122,Revisión!$A$2:$L$703,11,FALSE)</f>
        <v>#N/A</v>
      </c>
      <c r="N1122" s="30" t="str">
        <f>IF(E1122="Coinciden",D1122,IF(E1122="Revisar",VLOOKUP(A1122,Revisión!$A$2:$L$703,12,FALSE),""))</f>
        <v>Impatiens textorii</v>
      </c>
    </row>
    <row r="1123" spans="1:14" x14ac:dyDescent="0.3">
      <c r="A1123" t="s">
        <v>2322</v>
      </c>
      <c r="B1123" t="s">
        <v>2323</v>
      </c>
      <c r="D1123" t="s">
        <v>2323</v>
      </c>
      <c r="E1123" t="s">
        <v>8</v>
      </c>
      <c r="F1123" t="s">
        <v>34</v>
      </c>
      <c r="H1123" s="23" t="str">
        <f>VLOOKUP(A1123,Revisión!$A$2:$L$703,6,FALSE)</f>
        <v>Indigofera tinctoria</v>
      </c>
      <c r="I1123" s="4" t="str">
        <f>VLOOKUP(A1123,Revisión!$A$2:$L$703,7,FALSE)</f>
        <v>Indigofera tinctoria</v>
      </c>
      <c r="J1123" s="4" t="str">
        <f>VLOOKUP(A1123,Revisión!$A$2:$L$703,8,FALSE)</f>
        <v>-</v>
      </c>
      <c r="K1123" s="4" t="str">
        <f>VLOOKUP(A1123,Revisión!$A$2:$L$703,9,FALSE)</f>
        <v>Indigofera tinctoria</v>
      </c>
      <c r="L1123" s="4" t="str">
        <f>VLOOKUP(A1123,Revisión!$A$2:$L$703,10,FALSE)</f>
        <v>Indigofera tinctoria</v>
      </c>
      <c r="M1123" s="18">
        <f>VLOOKUP(A1123,Revisión!$A$2:$L$703,11,FALSE)</f>
        <v>4</v>
      </c>
      <c r="N1123" s="30" t="str">
        <f>IF(E1123="Coinciden",D1123,IF(E1123="Revisar",VLOOKUP(A1123,Revisión!$A$2:$L$703,12,FALSE),""))</f>
        <v>Indigofera tinctoria</v>
      </c>
    </row>
    <row r="1124" spans="1:14" x14ac:dyDescent="0.3">
      <c r="A1124" t="s">
        <v>2324</v>
      </c>
      <c r="B1124" t="s">
        <v>2325</v>
      </c>
      <c r="C1124" t="s">
        <v>2325</v>
      </c>
      <c r="D1124" t="s">
        <v>2325</v>
      </c>
      <c r="E1124" t="s">
        <v>18</v>
      </c>
      <c r="F1124" t="s">
        <v>19</v>
      </c>
      <c r="H1124" s="23" t="e">
        <f>VLOOKUP(A1124,Revisión!$A$2:$L$703,6,FALSE)</f>
        <v>#N/A</v>
      </c>
      <c r="I1124" s="4" t="e">
        <f>VLOOKUP(A1124,Revisión!$A$2:$L$703,7,FALSE)</f>
        <v>#N/A</v>
      </c>
      <c r="J1124" s="4" t="e">
        <f>VLOOKUP(A1124,Revisión!$A$2:$L$703,8,FALSE)</f>
        <v>#N/A</v>
      </c>
      <c r="K1124" s="4" t="e">
        <f>VLOOKUP(A1124,Revisión!$A$2:$L$703,9,FALSE)</f>
        <v>#N/A</v>
      </c>
      <c r="L1124" s="4" t="e">
        <f>VLOOKUP(A1124,Revisión!$A$2:$L$703,10,FALSE)</f>
        <v>#N/A</v>
      </c>
      <c r="M1124" s="18" t="e">
        <f>VLOOKUP(A1124,Revisión!$A$2:$L$703,11,FALSE)</f>
        <v>#N/A</v>
      </c>
      <c r="N1124" s="30" t="str">
        <f>IF(E1124="Coinciden",D1124,IF(E1124="Revisar",VLOOKUP(A1124,Revisión!$A$2:$L$703,12,FALSE),""))</f>
        <v>Inga edulis</v>
      </c>
    </row>
    <row r="1125" spans="1:14" x14ac:dyDescent="0.3">
      <c r="A1125" t="s">
        <v>2326</v>
      </c>
      <c r="B1125" t="s">
        <v>2327</v>
      </c>
      <c r="D1125" t="s">
        <v>2327</v>
      </c>
      <c r="E1125" t="s">
        <v>8</v>
      </c>
      <c r="F1125" t="s">
        <v>34</v>
      </c>
      <c r="H1125" s="23" t="str">
        <f>VLOOKUP(A1125,Revisión!$A$2:$L$703,6,FALSE)</f>
        <v>Pentanema salicinum</v>
      </c>
      <c r="I1125" s="4" t="str">
        <f>VLOOKUP(A1125,Revisión!$A$2:$L$703,7,FALSE)</f>
        <v>Inula salicina</v>
      </c>
      <c r="J1125" s="4" t="str">
        <f>VLOOKUP(A1125,Revisión!$A$2:$L$703,8,FALSE)</f>
        <v>-</v>
      </c>
      <c r="K1125" s="4" t="str">
        <f>VLOOKUP(A1125,Revisión!$A$2:$L$703,9,FALSE)</f>
        <v>Pentanema salicinum</v>
      </c>
      <c r="L1125" s="4" t="str">
        <f>VLOOKUP(A1125,Revisión!$A$2:$L$703,10,FALSE)</f>
        <v>Pentanema salicinum</v>
      </c>
      <c r="M1125" s="18">
        <f>VLOOKUP(A1125,Revisión!$A$2:$L$703,11,FALSE)</f>
        <v>3</v>
      </c>
      <c r="N1125" s="30" t="str">
        <f>IF(E1125="Coinciden",D1125,IF(E1125="Revisar",VLOOKUP(A1125,Revisión!$A$2:$L$703,12,FALSE),""))</f>
        <v>Pentanema salicinum</v>
      </c>
    </row>
    <row r="1126" spans="1:14" x14ac:dyDescent="0.3">
      <c r="A1126" t="s">
        <v>2328</v>
      </c>
      <c r="B1126" t="s">
        <v>2329</v>
      </c>
      <c r="C1126" t="s">
        <v>2329</v>
      </c>
      <c r="D1126" t="s">
        <v>2329</v>
      </c>
      <c r="E1126" t="s">
        <v>18</v>
      </c>
      <c r="F1126" t="s">
        <v>19</v>
      </c>
      <c r="H1126" s="23" t="e">
        <f>VLOOKUP(A1126,Revisión!$A$2:$L$703,6,FALSE)</f>
        <v>#N/A</v>
      </c>
      <c r="I1126" s="4" t="e">
        <f>VLOOKUP(A1126,Revisión!$A$2:$L$703,7,FALSE)</f>
        <v>#N/A</v>
      </c>
      <c r="J1126" s="4" t="e">
        <f>VLOOKUP(A1126,Revisión!$A$2:$L$703,8,FALSE)</f>
        <v>#N/A</v>
      </c>
      <c r="K1126" s="4" t="e">
        <f>VLOOKUP(A1126,Revisión!$A$2:$L$703,9,FALSE)</f>
        <v>#N/A</v>
      </c>
      <c r="L1126" s="4" t="e">
        <f>VLOOKUP(A1126,Revisión!$A$2:$L$703,10,FALSE)</f>
        <v>#N/A</v>
      </c>
      <c r="M1126" s="18" t="e">
        <f>VLOOKUP(A1126,Revisión!$A$2:$L$703,11,FALSE)</f>
        <v>#N/A</v>
      </c>
      <c r="N1126" s="30" t="str">
        <f>IF(E1126="Coinciden",D1126,IF(E1126="Revisar",VLOOKUP(A1126,Revisión!$A$2:$L$703,12,FALSE),""))</f>
        <v>Inula japonica</v>
      </c>
    </row>
    <row r="1127" spans="1:14" x14ac:dyDescent="0.3">
      <c r="A1127" t="s">
        <v>2330</v>
      </c>
      <c r="D1127" t="s">
        <v>2331</v>
      </c>
      <c r="E1127" t="s">
        <v>8</v>
      </c>
      <c r="F1127" t="s">
        <v>9</v>
      </c>
      <c r="H1127" s="23" t="str">
        <f>VLOOKUP(A1127,Revisión!$A$2:$L$703,6,FALSE)</f>
        <v>Ipomoea violacea </v>
      </c>
      <c r="I1127" s="4" t="str">
        <f>VLOOKUP(A1127,Revisión!$A$2:$L$703,7,FALSE)</f>
        <v>Ipomoea violacea </v>
      </c>
      <c r="J1127" s="4" t="str">
        <f>VLOOKUP(A1127,Revisión!$A$2:$L$703,8,FALSE)</f>
        <v>-</v>
      </c>
      <c r="K1127" s="4" t="str">
        <f>VLOOKUP(A1127,Revisión!$A$2:$L$703,9,FALSE)</f>
        <v>Ipomoea violacea </v>
      </c>
      <c r="L1127" s="4" t="str">
        <f>VLOOKUP(A1127,Revisión!$A$2:$L$703,10,FALSE)</f>
        <v>Ipomoea violacea </v>
      </c>
      <c r="M1127" s="18">
        <f>VLOOKUP(A1127,Revisión!$A$2:$L$703,11,FALSE)</f>
        <v>4</v>
      </c>
      <c r="N1127" s="30" t="str">
        <f>IF(E1127="Coinciden",D1127,IF(E1127="Revisar",VLOOKUP(A1127,Revisión!$A$2:$L$703,12,FALSE),""))</f>
        <v>Ipomoea violacea </v>
      </c>
    </row>
    <row r="1128" spans="1:14" x14ac:dyDescent="0.3">
      <c r="A1128" t="s">
        <v>2332</v>
      </c>
      <c r="B1128" t="s">
        <v>2333</v>
      </c>
      <c r="C1128" t="s">
        <v>2333</v>
      </c>
      <c r="D1128" t="s">
        <v>2333</v>
      </c>
      <c r="E1128" t="s">
        <v>18</v>
      </c>
      <c r="F1128" t="s">
        <v>19</v>
      </c>
      <c r="H1128" s="23" t="e">
        <f>VLOOKUP(A1128,Revisión!$A$2:$L$703,6,FALSE)</f>
        <v>#N/A</v>
      </c>
      <c r="I1128" s="4" t="e">
        <f>VLOOKUP(A1128,Revisión!$A$2:$L$703,7,FALSE)</f>
        <v>#N/A</v>
      </c>
      <c r="J1128" s="4" t="e">
        <f>VLOOKUP(A1128,Revisión!$A$2:$L$703,8,FALSE)</f>
        <v>#N/A</v>
      </c>
      <c r="K1128" s="4" t="e">
        <f>VLOOKUP(A1128,Revisión!$A$2:$L$703,9,FALSE)</f>
        <v>#N/A</v>
      </c>
      <c r="L1128" s="4" t="e">
        <f>VLOOKUP(A1128,Revisión!$A$2:$L$703,10,FALSE)</f>
        <v>#N/A</v>
      </c>
      <c r="M1128" s="18" t="e">
        <f>VLOOKUP(A1128,Revisión!$A$2:$L$703,11,FALSE)</f>
        <v>#N/A</v>
      </c>
      <c r="N1128" s="30" t="str">
        <f>IF(E1128="Coinciden",D1128,IF(E1128="Revisar",VLOOKUP(A1128,Revisión!$A$2:$L$703,12,FALSE),""))</f>
        <v>Ipomoea incarnata</v>
      </c>
    </row>
    <row r="1129" spans="1:14" x14ac:dyDescent="0.3">
      <c r="A1129" t="s">
        <v>2334</v>
      </c>
      <c r="B1129" t="s">
        <v>2335</v>
      </c>
      <c r="D1129" t="s">
        <v>2335</v>
      </c>
      <c r="E1129" t="s">
        <v>8</v>
      </c>
      <c r="F1129" t="s">
        <v>34</v>
      </c>
      <c r="H1129" s="23" t="str">
        <f>VLOOKUP(A1129,Revisión!$A$2:$L$703,6,FALSE)</f>
        <v>Ipomoea hederacea</v>
      </c>
      <c r="I1129" s="4" t="str">
        <f>VLOOKUP(A1129,Revisión!$A$2:$L$703,7,FALSE)</f>
        <v>Ipomoea hederacea</v>
      </c>
      <c r="J1129" s="4" t="str">
        <f>VLOOKUP(A1129,Revisión!$A$2:$L$703,8,FALSE)</f>
        <v>-</v>
      </c>
      <c r="K1129" s="4" t="str">
        <f>VLOOKUP(A1129,Revisión!$A$2:$L$703,9,FALSE)</f>
        <v>Ipomoea hederacea</v>
      </c>
      <c r="L1129" s="4" t="str">
        <f>VLOOKUP(A1129,Revisión!$A$2:$L$703,10,FALSE)</f>
        <v>Ipomoea hederacea</v>
      </c>
      <c r="M1129" s="18">
        <f>VLOOKUP(A1129,Revisión!$A$2:$L$703,11,FALSE)</f>
        <v>4</v>
      </c>
      <c r="N1129" s="30" t="str">
        <f>IF(E1129="Coinciden",D1129,IF(E1129="Revisar",VLOOKUP(A1129,Revisión!$A$2:$L$703,12,FALSE),""))</f>
        <v>Ipomoea hederacea</v>
      </c>
    </row>
    <row r="1130" spans="1:14" x14ac:dyDescent="0.3">
      <c r="A1130" t="s">
        <v>2336</v>
      </c>
      <c r="B1130" t="s">
        <v>2337</v>
      </c>
      <c r="C1130" t="s">
        <v>2337</v>
      </c>
      <c r="D1130" t="s">
        <v>2337</v>
      </c>
      <c r="E1130" t="s">
        <v>18</v>
      </c>
      <c r="F1130" t="s">
        <v>19</v>
      </c>
      <c r="H1130" s="23" t="e">
        <f>VLOOKUP(A1130,Revisión!$A$2:$L$703,6,FALSE)</f>
        <v>#N/A</v>
      </c>
      <c r="I1130" s="4" t="e">
        <f>VLOOKUP(A1130,Revisión!$A$2:$L$703,7,FALSE)</f>
        <v>#N/A</v>
      </c>
      <c r="J1130" s="4" t="e">
        <f>VLOOKUP(A1130,Revisión!$A$2:$L$703,8,FALSE)</f>
        <v>#N/A</v>
      </c>
      <c r="K1130" s="4" t="e">
        <f>VLOOKUP(A1130,Revisión!$A$2:$L$703,9,FALSE)</f>
        <v>#N/A</v>
      </c>
      <c r="L1130" s="4" t="e">
        <f>VLOOKUP(A1130,Revisión!$A$2:$L$703,10,FALSE)</f>
        <v>#N/A</v>
      </c>
      <c r="M1130" s="18" t="e">
        <f>VLOOKUP(A1130,Revisión!$A$2:$L$703,11,FALSE)</f>
        <v>#N/A</v>
      </c>
      <c r="N1130" s="30" t="str">
        <f>IF(E1130="Coinciden",D1130,IF(E1130="Revisar",VLOOKUP(A1130,Revisión!$A$2:$L$703,12,FALSE),""))</f>
        <v>Ipomoea purpurea</v>
      </c>
    </row>
    <row r="1131" spans="1:14" x14ac:dyDescent="0.3">
      <c r="A1131" t="s">
        <v>2338</v>
      </c>
      <c r="B1131" t="s">
        <v>2339</v>
      </c>
      <c r="C1131" t="s">
        <v>2339</v>
      </c>
      <c r="D1131" t="s">
        <v>2339</v>
      </c>
      <c r="E1131" t="s">
        <v>18</v>
      </c>
      <c r="F1131" t="s">
        <v>19</v>
      </c>
      <c r="H1131" s="23" t="e">
        <f>VLOOKUP(A1131,Revisión!$A$2:$L$703,6,FALSE)</f>
        <v>#N/A</v>
      </c>
      <c r="I1131" s="4" t="e">
        <f>VLOOKUP(A1131,Revisión!$A$2:$L$703,7,FALSE)</f>
        <v>#N/A</v>
      </c>
      <c r="J1131" s="4" t="e">
        <f>VLOOKUP(A1131,Revisión!$A$2:$L$703,8,FALSE)</f>
        <v>#N/A</v>
      </c>
      <c r="K1131" s="4" t="e">
        <f>VLOOKUP(A1131,Revisión!$A$2:$L$703,9,FALSE)</f>
        <v>#N/A</v>
      </c>
      <c r="L1131" s="4" t="e">
        <f>VLOOKUP(A1131,Revisión!$A$2:$L$703,10,FALSE)</f>
        <v>#N/A</v>
      </c>
      <c r="M1131" s="18" t="e">
        <f>VLOOKUP(A1131,Revisión!$A$2:$L$703,11,FALSE)</f>
        <v>#N/A</v>
      </c>
      <c r="N1131" s="30" t="str">
        <f>IF(E1131="Coinciden",D1131,IF(E1131="Revisar",VLOOKUP(A1131,Revisión!$A$2:$L$703,12,FALSE),""))</f>
        <v>Ipomoea tiliacea</v>
      </c>
    </row>
    <row r="1132" spans="1:14" x14ac:dyDescent="0.3">
      <c r="A1132" t="s">
        <v>2340</v>
      </c>
      <c r="B1132" t="s">
        <v>2341</v>
      </c>
      <c r="C1132" t="s">
        <v>2341</v>
      </c>
      <c r="D1132" t="s">
        <v>2341</v>
      </c>
      <c r="E1132" t="s">
        <v>18</v>
      </c>
      <c r="F1132" t="s">
        <v>19</v>
      </c>
      <c r="H1132" s="23" t="e">
        <f>VLOOKUP(A1132,Revisión!$A$2:$L$703,6,FALSE)</f>
        <v>#N/A</v>
      </c>
      <c r="I1132" s="4" t="e">
        <f>VLOOKUP(A1132,Revisión!$A$2:$L$703,7,FALSE)</f>
        <v>#N/A</v>
      </c>
      <c r="J1132" s="4" t="e">
        <f>VLOOKUP(A1132,Revisión!$A$2:$L$703,8,FALSE)</f>
        <v>#N/A</v>
      </c>
      <c r="K1132" s="4" t="e">
        <f>VLOOKUP(A1132,Revisión!$A$2:$L$703,9,FALSE)</f>
        <v>#N/A</v>
      </c>
      <c r="L1132" s="4" t="e">
        <f>VLOOKUP(A1132,Revisión!$A$2:$L$703,10,FALSE)</f>
        <v>#N/A</v>
      </c>
      <c r="M1132" s="18" t="e">
        <f>VLOOKUP(A1132,Revisión!$A$2:$L$703,11,FALSE)</f>
        <v>#N/A</v>
      </c>
      <c r="N1132" s="30" t="str">
        <f>IF(E1132="Coinciden",D1132,IF(E1132="Revisar",VLOOKUP(A1132,Revisión!$A$2:$L$703,12,FALSE),""))</f>
        <v>Ipomoea indica</v>
      </c>
    </row>
    <row r="1133" spans="1:14" x14ac:dyDescent="0.3">
      <c r="A1133" t="s">
        <v>2342</v>
      </c>
      <c r="E1133" t="s">
        <v>8</v>
      </c>
      <c r="F1133" t="s">
        <v>11</v>
      </c>
      <c r="H1133" s="23" t="e">
        <f>VLOOKUP(A1133,Revisión!$A$2:$L$703,6,FALSE)</f>
        <v>#N/A</v>
      </c>
      <c r="I1133" s="4" t="e">
        <f>VLOOKUP(A1133,Revisión!$A$2:$L$703,7,FALSE)</f>
        <v>#N/A</v>
      </c>
      <c r="J1133" s="4" t="e">
        <f>VLOOKUP(A1133,Revisión!$A$2:$L$703,8,FALSE)</f>
        <v>#N/A</v>
      </c>
      <c r="K1133" s="4" t="e">
        <f>VLOOKUP(A1133,Revisión!$A$2:$L$703,9,FALSE)</f>
        <v>#N/A</v>
      </c>
      <c r="L1133" s="4" t="e">
        <f>VLOOKUP(A1133,Revisión!$A$2:$L$703,10,FALSE)</f>
        <v>#N/A</v>
      </c>
      <c r="M1133" s="18" t="e">
        <f>VLOOKUP(A1133,Revisión!$A$2:$L$703,11,FALSE)</f>
        <v>#N/A</v>
      </c>
      <c r="N1133" s="30" t="e">
        <f>IF(E1133="Coinciden",D1133,IF(E1133="Revisar",VLOOKUP(A1133,Revisión!$A$2:$L$703,12,FALSE),""))</f>
        <v>#N/A</v>
      </c>
    </row>
    <row r="1134" spans="1:14" x14ac:dyDescent="0.3">
      <c r="A1134" t="s">
        <v>2343</v>
      </c>
      <c r="B1134" t="s">
        <v>2344</v>
      </c>
      <c r="D1134" t="s">
        <v>2344</v>
      </c>
      <c r="E1134" t="s">
        <v>8</v>
      </c>
      <c r="F1134" t="s">
        <v>34</v>
      </c>
      <c r="H1134" s="23" t="str">
        <f>VLOOKUP(A1134,Revisión!$A$2:$L$703,6,FALSE)</f>
        <v>Ipomoea pandurata</v>
      </c>
      <c r="I1134" s="4" t="str">
        <f>VLOOKUP(A1134,Revisión!$A$2:$L$703,7,FALSE)</f>
        <v>Ipomoea pandurata</v>
      </c>
      <c r="J1134" s="4" t="str">
        <f>VLOOKUP(A1134,Revisión!$A$2:$L$703,8,FALSE)</f>
        <v>-</v>
      </c>
      <c r="K1134" s="4" t="str">
        <f>VLOOKUP(A1134,Revisión!$A$2:$L$703,9,FALSE)</f>
        <v>Ipomoea pandurata</v>
      </c>
      <c r="L1134" s="4" t="str">
        <f>VLOOKUP(A1134,Revisión!$A$2:$L$703,10,FALSE)</f>
        <v>Ipomoea pandurata</v>
      </c>
      <c r="M1134" s="18">
        <f>VLOOKUP(A1134,Revisión!$A$2:$L$703,11,FALSE)</f>
        <v>4</v>
      </c>
      <c r="N1134" s="30" t="str">
        <f>IF(E1134="Coinciden",D1134,IF(E1134="Revisar",VLOOKUP(A1134,Revisión!$A$2:$L$703,12,FALSE),""))</f>
        <v>Ipomoea pandurata</v>
      </c>
    </row>
    <row r="1135" spans="1:14" x14ac:dyDescent="0.3">
      <c r="A1135" t="s">
        <v>2345</v>
      </c>
      <c r="B1135" t="s">
        <v>2346</v>
      </c>
      <c r="C1135" t="s">
        <v>2346</v>
      </c>
      <c r="D1135" t="s">
        <v>2346</v>
      </c>
      <c r="E1135" t="s">
        <v>18</v>
      </c>
      <c r="F1135" t="s">
        <v>19</v>
      </c>
      <c r="H1135" s="23" t="e">
        <f>VLOOKUP(A1135,Revisión!$A$2:$L$703,6,FALSE)</f>
        <v>#N/A</v>
      </c>
      <c r="I1135" s="4" t="e">
        <f>VLOOKUP(A1135,Revisión!$A$2:$L$703,7,FALSE)</f>
        <v>#N/A</v>
      </c>
      <c r="J1135" s="4" t="e">
        <f>VLOOKUP(A1135,Revisión!$A$2:$L$703,8,FALSE)</f>
        <v>#N/A</v>
      </c>
      <c r="K1135" s="4" t="e">
        <f>VLOOKUP(A1135,Revisión!$A$2:$L$703,9,FALSE)</f>
        <v>#N/A</v>
      </c>
      <c r="L1135" s="4" t="e">
        <f>VLOOKUP(A1135,Revisión!$A$2:$L$703,10,FALSE)</f>
        <v>#N/A</v>
      </c>
      <c r="M1135" s="18" t="e">
        <f>VLOOKUP(A1135,Revisión!$A$2:$L$703,11,FALSE)</f>
        <v>#N/A</v>
      </c>
      <c r="N1135" s="30" t="str">
        <f>IF(E1135="Coinciden",D1135,IF(E1135="Revisar",VLOOKUP(A1135,Revisión!$A$2:$L$703,12,FALSE),""))</f>
        <v>Ipomoea pes-caprae</v>
      </c>
    </row>
    <row r="1136" spans="1:14" x14ac:dyDescent="0.3">
      <c r="A1136" t="s">
        <v>2347</v>
      </c>
      <c r="C1136" t="s">
        <v>2348</v>
      </c>
      <c r="D1136" t="s">
        <v>2348</v>
      </c>
      <c r="E1136" t="s">
        <v>8</v>
      </c>
      <c r="F1136" t="s">
        <v>49</v>
      </c>
      <c r="H1136" s="23" t="str">
        <f>VLOOKUP(A1136,Revisión!$A$2:$L$703,6,FALSE)</f>
        <v>Iris laevigata</v>
      </c>
      <c r="I1136" s="4" t="str">
        <f>VLOOKUP(A1136,Revisión!$A$2:$L$703,7,FALSE)</f>
        <v>Iris laevigata</v>
      </c>
      <c r="J1136" s="4" t="str">
        <f>VLOOKUP(A1136,Revisión!$A$2:$L$703,8,FALSE)</f>
        <v>-</v>
      </c>
      <c r="K1136" s="4" t="str">
        <f>VLOOKUP(A1136,Revisión!$A$2:$L$703,9,FALSE)</f>
        <v>Iris laevigata</v>
      </c>
      <c r="L1136" s="4" t="str">
        <f>VLOOKUP(A1136,Revisión!$A$2:$L$703,10,FALSE)</f>
        <v>Iris laevigata</v>
      </c>
      <c r="M1136" s="18">
        <f>VLOOKUP(A1136,Revisión!$A$2:$L$703,11,FALSE)</f>
        <v>4</v>
      </c>
      <c r="N1136" s="30" t="str">
        <f>IF(E1136="Coinciden",D1136,IF(E1136="Revisar",VLOOKUP(A1136,Revisión!$A$2:$L$703,12,FALSE),""))</f>
        <v>Iris laevigata</v>
      </c>
    </row>
    <row r="1137" spans="1:14" x14ac:dyDescent="0.3">
      <c r="A1137" t="s">
        <v>2349</v>
      </c>
      <c r="B1137" t="s">
        <v>2350</v>
      </c>
      <c r="D1137" t="s">
        <v>2350</v>
      </c>
      <c r="E1137" t="s">
        <v>8</v>
      </c>
      <c r="F1137" t="s">
        <v>34</v>
      </c>
      <c r="H1137" s="23" t="str">
        <f>VLOOKUP(A1137,Revisión!$A$2:$L$703,6,FALSE)</f>
        <v>Iris versicolor</v>
      </c>
      <c r="I1137" s="4" t="str">
        <f>VLOOKUP(A1137,Revisión!$A$2:$L$703,7,FALSE)</f>
        <v>Iris versicolor</v>
      </c>
      <c r="J1137" s="4" t="str">
        <f>VLOOKUP(A1137,Revisión!$A$2:$L$703,8,FALSE)</f>
        <v>-</v>
      </c>
      <c r="K1137" s="4" t="str">
        <f>VLOOKUP(A1137,Revisión!$A$2:$L$703,9,FALSE)</f>
        <v>Iris versicolor</v>
      </c>
      <c r="L1137" s="4" t="str">
        <f>VLOOKUP(A1137,Revisión!$A$2:$L$703,10,FALSE)</f>
        <v>Iris versicolor</v>
      </c>
      <c r="M1137" s="18">
        <f>VLOOKUP(A1137,Revisión!$A$2:$L$703,11,FALSE)</f>
        <v>4</v>
      </c>
      <c r="N1137" s="30" t="str">
        <f>IF(E1137="Coinciden",D1137,IF(E1137="Revisar",VLOOKUP(A1137,Revisión!$A$2:$L$703,12,FALSE),""))</f>
        <v>Iris versicolor</v>
      </c>
    </row>
    <row r="1138" spans="1:14" x14ac:dyDescent="0.3">
      <c r="A1138" t="s">
        <v>2351</v>
      </c>
      <c r="B1138" t="s">
        <v>2352</v>
      </c>
      <c r="C1138" t="s">
        <v>2352</v>
      </c>
      <c r="D1138" t="s">
        <v>2352</v>
      </c>
      <c r="E1138" t="s">
        <v>18</v>
      </c>
      <c r="F1138" t="s">
        <v>19</v>
      </c>
      <c r="H1138" s="23" t="e">
        <f>VLOOKUP(A1138,Revisión!$A$2:$L$703,6,FALSE)</f>
        <v>#N/A</v>
      </c>
      <c r="I1138" s="4" t="e">
        <f>VLOOKUP(A1138,Revisión!$A$2:$L$703,7,FALSE)</f>
        <v>#N/A</v>
      </c>
      <c r="J1138" s="4" t="e">
        <f>VLOOKUP(A1138,Revisión!$A$2:$L$703,8,FALSE)</f>
        <v>#N/A</v>
      </c>
      <c r="K1138" s="4" t="e">
        <f>VLOOKUP(A1138,Revisión!$A$2:$L$703,9,FALSE)</f>
        <v>#N/A</v>
      </c>
      <c r="L1138" s="4" t="e">
        <f>VLOOKUP(A1138,Revisión!$A$2:$L$703,10,FALSE)</f>
        <v>#N/A</v>
      </c>
      <c r="M1138" s="18" t="e">
        <f>VLOOKUP(A1138,Revisión!$A$2:$L$703,11,FALSE)</f>
        <v>#N/A</v>
      </c>
      <c r="N1138" s="30" t="str">
        <f>IF(E1138="Coinciden",D1138,IF(E1138="Revisar",VLOOKUP(A1138,Revisión!$A$2:$L$703,12,FALSE),""))</f>
        <v>Iris sanguinea</v>
      </c>
    </row>
    <row r="1139" spans="1:14" x14ac:dyDescent="0.3">
      <c r="A1139" t="s">
        <v>2353</v>
      </c>
      <c r="B1139" t="s">
        <v>2354</v>
      </c>
      <c r="C1139" t="s">
        <v>2354</v>
      </c>
      <c r="D1139" t="s">
        <v>2354</v>
      </c>
      <c r="E1139" t="s">
        <v>18</v>
      </c>
      <c r="F1139" t="s">
        <v>19</v>
      </c>
      <c r="H1139" s="23" t="e">
        <f>VLOOKUP(A1139,Revisión!$A$2:$L$703,6,FALSE)</f>
        <v>#N/A</v>
      </c>
      <c r="I1139" s="4" t="e">
        <f>VLOOKUP(A1139,Revisión!$A$2:$L$703,7,FALSE)</f>
        <v>#N/A</v>
      </c>
      <c r="J1139" s="4" t="e">
        <f>VLOOKUP(A1139,Revisión!$A$2:$L$703,8,FALSE)</f>
        <v>#N/A</v>
      </c>
      <c r="K1139" s="4" t="e">
        <f>VLOOKUP(A1139,Revisión!$A$2:$L$703,9,FALSE)</f>
        <v>#N/A</v>
      </c>
      <c r="L1139" s="4" t="e">
        <f>VLOOKUP(A1139,Revisión!$A$2:$L$703,10,FALSE)</f>
        <v>#N/A</v>
      </c>
      <c r="M1139" s="18" t="e">
        <f>VLOOKUP(A1139,Revisión!$A$2:$L$703,11,FALSE)</f>
        <v>#N/A</v>
      </c>
      <c r="N1139" s="30" t="str">
        <f>IF(E1139="Coinciden",D1139,IF(E1139="Revisar",VLOOKUP(A1139,Revisión!$A$2:$L$703,12,FALSE),""))</f>
        <v>Iris japonica</v>
      </c>
    </row>
    <row r="1140" spans="1:14" x14ac:dyDescent="0.3">
      <c r="A1140" t="s">
        <v>2355</v>
      </c>
      <c r="B1140" t="s">
        <v>2356</v>
      </c>
      <c r="C1140" t="s">
        <v>2356</v>
      </c>
      <c r="D1140" t="s">
        <v>2356</v>
      </c>
      <c r="E1140" t="s">
        <v>18</v>
      </c>
      <c r="F1140" t="s">
        <v>19</v>
      </c>
      <c r="H1140" s="23" t="e">
        <f>VLOOKUP(A1140,Revisión!$A$2:$L$703,6,FALSE)</f>
        <v>#N/A</v>
      </c>
      <c r="I1140" s="4" t="e">
        <f>VLOOKUP(A1140,Revisión!$A$2:$L$703,7,FALSE)</f>
        <v>#N/A</v>
      </c>
      <c r="J1140" s="4" t="e">
        <f>VLOOKUP(A1140,Revisión!$A$2:$L$703,8,FALSE)</f>
        <v>#N/A</v>
      </c>
      <c r="K1140" s="4" t="e">
        <f>VLOOKUP(A1140,Revisión!$A$2:$L$703,9,FALSE)</f>
        <v>#N/A</v>
      </c>
      <c r="L1140" s="4" t="e">
        <f>VLOOKUP(A1140,Revisión!$A$2:$L$703,10,FALSE)</f>
        <v>#N/A</v>
      </c>
      <c r="M1140" s="18" t="e">
        <f>VLOOKUP(A1140,Revisión!$A$2:$L$703,11,FALSE)</f>
        <v>#N/A</v>
      </c>
      <c r="N1140" s="30" t="str">
        <f>IF(E1140="Coinciden",D1140,IF(E1140="Revisar",VLOOKUP(A1140,Revisión!$A$2:$L$703,12,FALSE),""))</f>
        <v>Iris rossii</v>
      </c>
    </row>
    <row r="1141" spans="1:14" x14ac:dyDescent="0.3">
      <c r="A1141" t="s">
        <v>2357</v>
      </c>
      <c r="B1141" t="s">
        <v>2358</v>
      </c>
      <c r="C1141" t="s">
        <v>2358</v>
      </c>
      <c r="D1141" t="s">
        <v>2358</v>
      </c>
      <c r="E1141" t="s">
        <v>18</v>
      </c>
      <c r="F1141" t="s">
        <v>19</v>
      </c>
      <c r="H1141" s="23" t="e">
        <f>VLOOKUP(A1141,Revisión!$A$2:$L$703,6,FALSE)</f>
        <v>#N/A</v>
      </c>
      <c r="I1141" s="4" t="e">
        <f>VLOOKUP(A1141,Revisión!$A$2:$L$703,7,FALSE)</f>
        <v>#N/A</v>
      </c>
      <c r="J1141" s="4" t="e">
        <f>VLOOKUP(A1141,Revisión!$A$2:$L$703,8,FALSE)</f>
        <v>#N/A</v>
      </c>
      <c r="K1141" s="4" t="e">
        <f>VLOOKUP(A1141,Revisión!$A$2:$L$703,9,FALSE)</f>
        <v>#N/A</v>
      </c>
      <c r="L1141" s="4" t="e">
        <f>VLOOKUP(A1141,Revisión!$A$2:$L$703,10,FALSE)</f>
        <v>#N/A</v>
      </c>
      <c r="M1141" s="18" t="e">
        <f>VLOOKUP(A1141,Revisión!$A$2:$L$703,11,FALSE)</f>
        <v>#N/A</v>
      </c>
      <c r="N1141" s="30" t="str">
        <f>IF(E1141="Coinciden",D1141,IF(E1141="Revisar",VLOOKUP(A1141,Revisión!$A$2:$L$703,12,FALSE),""))</f>
        <v>Iris pumila</v>
      </c>
    </row>
    <row r="1142" spans="1:14" x14ac:dyDescent="0.3">
      <c r="A1142" t="s">
        <v>2359</v>
      </c>
      <c r="B1142" t="s">
        <v>2360</v>
      </c>
      <c r="C1142" t="s">
        <v>2360</v>
      </c>
      <c r="D1142" t="s">
        <v>2360</v>
      </c>
      <c r="E1142" t="s">
        <v>18</v>
      </c>
      <c r="F1142" t="s">
        <v>19</v>
      </c>
      <c r="H1142" s="23" t="e">
        <f>VLOOKUP(A1142,Revisión!$A$2:$L$703,6,FALSE)</f>
        <v>#N/A</v>
      </c>
      <c r="I1142" s="4" t="e">
        <f>VLOOKUP(A1142,Revisión!$A$2:$L$703,7,FALSE)</f>
        <v>#N/A</v>
      </c>
      <c r="J1142" s="4" t="e">
        <f>VLOOKUP(A1142,Revisión!$A$2:$L$703,8,FALSE)</f>
        <v>#N/A</v>
      </c>
      <c r="K1142" s="4" t="e">
        <f>VLOOKUP(A1142,Revisión!$A$2:$L$703,9,FALSE)</f>
        <v>#N/A</v>
      </c>
      <c r="L1142" s="4" t="e">
        <f>VLOOKUP(A1142,Revisión!$A$2:$L$703,10,FALSE)</f>
        <v>#N/A</v>
      </c>
      <c r="M1142" s="18" t="e">
        <f>VLOOKUP(A1142,Revisión!$A$2:$L$703,11,FALSE)</f>
        <v>#N/A</v>
      </c>
      <c r="N1142" s="30" t="str">
        <f>IF(E1142="Coinciden",D1142,IF(E1142="Revisar",VLOOKUP(A1142,Revisión!$A$2:$L$703,12,FALSE),""))</f>
        <v>Iris pseudacorus</v>
      </c>
    </row>
    <row r="1143" spans="1:14" x14ac:dyDescent="0.3">
      <c r="A1143" t="s">
        <v>2361</v>
      </c>
      <c r="B1143" t="s">
        <v>2362</v>
      </c>
      <c r="C1143" t="s">
        <v>2362</v>
      </c>
      <c r="D1143" t="s">
        <v>2362</v>
      </c>
      <c r="E1143" t="s">
        <v>18</v>
      </c>
      <c r="F1143" t="s">
        <v>19</v>
      </c>
      <c r="H1143" s="23" t="e">
        <f>VLOOKUP(A1143,Revisión!$A$2:$L$703,6,FALSE)</f>
        <v>#N/A</v>
      </c>
      <c r="I1143" s="4" t="e">
        <f>VLOOKUP(A1143,Revisión!$A$2:$L$703,7,FALSE)</f>
        <v>#N/A</v>
      </c>
      <c r="J1143" s="4" t="e">
        <f>VLOOKUP(A1143,Revisión!$A$2:$L$703,8,FALSE)</f>
        <v>#N/A</v>
      </c>
      <c r="K1143" s="4" t="e">
        <f>VLOOKUP(A1143,Revisión!$A$2:$L$703,9,FALSE)</f>
        <v>#N/A</v>
      </c>
      <c r="L1143" s="4" t="e">
        <f>VLOOKUP(A1143,Revisión!$A$2:$L$703,10,FALSE)</f>
        <v>#N/A</v>
      </c>
      <c r="M1143" s="18" t="e">
        <f>VLOOKUP(A1143,Revisión!$A$2:$L$703,11,FALSE)</f>
        <v>#N/A</v>
      </c>
      <c r="N1143" s="30" t="str">
        <f>IF(E1143="Coinciden",D1143,IF(E1143="Revisar",VLOOKUP(A1143,Revisión!$A$2:$L$703,12,FALSE),""))</f>
        <v>Iris hexagona</v>
      </c>
    </row>
    <row r="1144" spans="1:14" x14ac:dyDescent="0.3">
      <c r="A1144" t="s">
        <v>2363</v>
      </c>
      <c r="B1144" t="s">
        <v>2364</v>
      </c>
      <c r="C1144" t="s">
        <v>2364</v>
      </c>
      <c r="D1144" t="s">
        <v>2364</v>
      </c>
      <c r="E1144" t="s">
        <v>18</v>
      </c>
      <c r="F1144" t="s">
        <v>19</v>
      </c>
      <c r="H1144" s="23" t="e">
        <f>VLOOKUP(A1144,Revisión!$A$2:$L$703,6,FALSE)</f>
        <v>#N/A</v>
      </c>
      <c r="I1144" s="4" t="e">
        <f>VLOOKUP(A1144,Revisión!$A$2:$L$703,7,FALSE)</f>
        <v>#N/A</v>
      </c>
      <c r="J1144" s="4" t="e">
        <f>VLOOKUP(A1144,Revisión!$A$2:$L$703,8,FALSE)</f>
        <v>#N/A</v>
      </c>
      <c r="K1144" s="4" t="e">
        <f>VLOOKUP(A1144,Revisión!$A$2:$L$703,9,FALSE)</f>
        <v>#N/A</v>
      </c>
      <c r="L1144" s="4" t="e">
        <f>VLOOKUP(A1144,Revisión!$A$2:$L$703,10,FALSE)</f>
        <v>#N/A</v>
      </c>
      <c r="M1144" s="18" t="e">
        <f>VLOOKUP(A1144,Revisión!$A$2:$L$703,11,FALSE)</f>
        <v>#N/A</v>
      </c>
      <c r="N1144" s="30" t="str">
        <f>IF(E1144="Coinciden",D1144,IF(E1144="Revisar",VLOOKUP(A1144,Revisión!$A$2:$L$703,12,FALSE),""))</f>
        <v>Iris missouriensis</v>
      </c>
    </row>
    <row r="1145" spans="1:14" x14ac:dyDescent="0.3">
      <c r="A1145" t="s">
        <v>2365</v>
      </c>
      <c r="B1145" t="s">
        <v>2366</v>
      </c>
      <c r="C1145" t="s">
        <v>2366</v>
      </c>
      <c r="D1145" t="s">
        <v>2366</v>
      </c>
      <c r="E1145" t="s">
        <v>18</v>
      </c>
      <c r="F1145" t="s">
        <v>19</v>
      </c>
      <c r="H1145" s="23" t="e">
        <f>VLOOKUP(A1145,Revisión!$A$2:$L$703,6,FALSE)</f>
        <v>#N/A</v>
      </c>
      <c r="I1145" s="4" t="e">
        <f>VLOOKUP(A1145,Revisión!$A$2:$L$703,7,FALSE)</f>
        <v>#N/A</v>
      </c>
      <c r="J1145" s="4" t="e">
        <f>VLOOKUP(A1145,Revisión!$A$2:$L$703,8,FALSE)</f>
        <v>#N/A</v>
      </c>
      <c r="K1145" s="4" t="e">
        <f>VLOOKUP(A1145,Revisión!$A$2:$L$703,9,FALSE)</f>
        <v>#N/A</v>
      </c>
      <c r="L1145" s="4" t="e">
        <f>VLOOKUP(A1145,Revisión!$A$2:$L$703,10,FALSE)</f>
        <v>#N/A</v>
      </c>
      <c r="M1145" s="18" t="e">
        <f>VLOOKUP(A1145,Revisión!$A$2:$L$703,11,FALSE)</f>
        <v>#N/A</v>
      </c>
      <c r="N1145" s="30" t="str">
        <f>IF(E1145="Coinciden",D1145,IF(E1145="Revisar",VLOOKUP(A1145,Revisión!$A$2:$L$703,12,FALSE),""))</f>
        <v>Irlbachia nemorosa</v>
      </c>
    </row>
    <row r="1146" spans="1:14" x14ac:dyDescent="0.3">
      <c r="A1146" t="s">
        <v>2367</v>
      </c>
      <c r="B1146" t="s">
        <v>2368</v>
      </c>
      <c r="C1146" t="s">
        <v>2368</v>
      </c>
      <c r="D1146" t="s">
        <v>2368</v>
      </c>
      <c r="E1146" t="s">
        <v>18</v>
      </c>
      <c r="F1146" t="s">
        <v>19</v>
      </c>
      <c r="H1146" s="23" t="e">
        <f>VLOOKUP(A1146,Revisión!$A$2:$L$703,6,FALSE)</f>
        <v>#N/A</v>
      </c>
      <c r="I1146" s="4" t="e">
        <f>VLOOKUP(A1146,Revisión!$A$2:$L$703,7,FALSE)</f>
        <v>#N/A</v>
      </c>
      <c r="J1146" s="4" t="e">
        <f>VLOOKUP(A1146,Revisión!$A$2:$L$703,8,FALSE)</f>
        <v>#N/A</v>
      </c>
      <c r="K1146" s="4" t="e">
        <f>VLOOKUP(A1146,Revisión!$A$2:$L$703,9,FALSE)</f>
        <v>#N/A</v>
      </c>
      <c r="L1146" s="4" t="e">
        <f>VLOOKUP(A1146,Revisión!$A$2:$L$703,10,FALSE)</f>
        <v>#N/A</v>
      </c>
      <c r="M1146" s="18" t="e">
        <f>VLOOKUP(A1146,Revisión!$A$2:$L$703,11,FALSE)</f>
        <v>#N/A</v>
      </c>
      <c r="N1146" s="30" t="str">
        <f>IF(E1146="Coinciden",D1146,IF(E1146="Revisar",VLOOKUP(A1146,Revisión!$A$2:$L$703,12,FALSE),""))</f>
        <v>Isachne globosa</v>
      </c>
    </row>
    <row r="1147" spans="1:14" x14ac:dyDescent="0.3">
      <c r="A1147" t="s">
        <v>2369</v>
      </c>
      <c r="B1147" t="s">
        <v>2370</v>
      </c>
      <c r="C1147" t="s">
        <v>2370</v>
      </c>
      <c r="D1147" t="s">
        <v>2370</v>
      </c>
      <c r="E1147" t="s">
        <v>18</v>
      </c>
      <c r="F1147" t="s">
        <v>19</v>
      </c>
      <c r="H1147" s="23" t="e">
        <f>VLOOKUP(A1147,Revisión!$A$2:$L$703,6,FALSE)</f>
        <v>#N/A</v>
      </c>
      <c r="I1147" s="4" t="e">
        <f>VLOOKUP(A1147,Revisión!$A$2:$L$703,7,FALSE)</f>
        <v>#N/A</v>
      </c>
      <c r="J1147" s="4" t="e">
        <f>VLOOKUP(A1147,Revisión!$A$2:$L$703,8,FALSE)</f>
        <v>#N/A</v>
      </c>
      <c r="K1147" s="4" t="e">
        <f>VLOOKUP(A1147,Revisión!$A$2:$L$703,9,FALSE)</f>
        <v>#N/A</v>
      </c>
      <c r="L1147" s="4" t="e">
        <f>VLOOKUP(A1147,Revisión!$A$2:$L$703,10,FALSE)</f>
        <v>#N/A</v>
      </c>
      <c r="M1147" s="18" t="e">
        <f>VLOOKUP(A1147,Revisión!$A$2:$L$703,11,FALSE)</f>
        <v>#N/A</v>
      </c>
      <c r="N1147" s="30" t="str">
        <f>IF(E1147="Coinciden",D1147,IF(E1147="Revisar",VLOOKUP(A1147,Revisión!$A$2:$L$703,12,FALSE),""))</f>
        <v>Isodon inflexus</v>
      </c>
    </row>
    <row r="1148" spans="1:14" x14ac:dyDescent="0.3">
      <c r="A1148" t="s">
        <v>2371</v>
      </c>
      <c r="B1148" t="s">
        <v>2372</v>
      </c>
      <c r="C1148" t="s">
        <v>2372</v>
      </c>
      <c r="D1148" t="s">
        <v>2372</v>
      </c>
      <c r="E1148" t="s">
        <v>18</v>
      </c>
      <c r="F1148" t="s">
        <v>19</v>
      </c>
      <c r="H1148" s="23" t="e">
        <f>VLOOKUP(A1148,Revisión!$A$2:$L$703,6,FALSE)</f>
        <v>#N/A</v>
      </c>
      <c r="I1148" s="4" t="e">
        <f>VLOOKUP(A1148,Revisión!$A$2:$L$703,7,FALSE)</f>
        <v>#N/A</v>
      </c>
      <c r="J1148" s="4" t="e">
        <f>VLOOKUP(A1148,Revisión!$A$2:$L$703,8,FALSE)</f>
        <v>#N/A</v>
      </c>
      <c r="K1148" s="4" t="e">
        <f>VLOOKUP(A1148,Revisión!$A$2:$L$703,9,FALSE)</f>
        <v>#N/A</v>
      </c>
      <c r="L1148" s="4" t="e">
        <f>VLOOKUP(A1148,Revisión!$A$2:$L$703,10,FALSE)</f>
        <v>#N/A</v>
      </c>
      <c r="M1148" s="18" t="e">
        <f>VLOOKUP(A1148,Revisión!$A$2:$L$703,11,FALSE)</f>
        <v>#N/A</v>
      </c>
      <c r="N1148" s="30" t="str">
        <f>IF(E1148="Coinciden",D1148,IF(E1148="Revisar",VLOOKUP(A1148,Revisión!$A$2:$L$703,12,FALSE),""))</f>
        <v>Enemion biternatum</v>
      </c>
    </row>
    <row r="1149" spans="1:14" x14ac:dyDescent="0.3">
      <c r="A1149" t="s">
        <v>2373</v>
      </c>
      <c r="B1149" t="s">
        <v>2374</v>
      </c>
      <c r="C1149" t="s">
        <v>2374</v>
      </c>
      <c r="D1149" t="s">
        <v>2374</v>
      </c>
      <c r="E1149" t="s">
        <v>18</v>
      </c>
      <c r="F1149" t="s">
        <v>19</v>
      </c>
      <c r="H1149" s="23" t="e">
        <f>VLOOKUP(A1149,Revisión!$A$2:$L$703,6,FALSE)</f>
        <v>#N/A</v>
      </c>
      <c r="I1149" s="4" t="e">
        <f>VLOOKUP(A1149,Revisión!$A$2:$L$703,7,FALSE)</f>
        <v>#N/A</v>
      </c>
      <c r="J1149" s="4" t="e">
        <f>VLOOKUP(A1149,Revisión!$A$2:$L$703,8,FALSE)</f>
        <v>#N/A</v>
      </c>
      <c r="K1149" s="4" t="e">
        <f>VLOOKUP(A1149,Revisión!$A$2:$L$703,9,FALSE)</f>
        <v>#N/A</v>
      </c>
      <c r="L1149" s="4" t="e">
        <f>VLOOKUP(A1149,Revisión!$A$2:$L$703,10,FALSE)</f>
        <v>#N/A</v>
      </c>
      <c r="M1149" s="18" t="e">
        <f>VLOOKUP(A1149,Revisión!$A$2:$L$703,11,FALSE)</f>
        <v>#N/A</v>
      </c>
      <c r="N1149" s="30" t="str">
        <f>IF(E1149="Coinciden",D1149,IF(E1149="Revisar",VLOOKUP(A1149,Revisión!$A$2:$L$703,12,FALSE),""))</f>
        <v>Isotoma fluviatilis</v>
      </c>
    </row>
    <row r="1150" spans="1:14" x14ac:dyDescent="0.3">
      <c r="A1150" t="s">
        <v>2375</v>
      </c>
      <c r="B1150" t="s">
        <v>2376</v>
      </c>
      <c r="C1150" t="s">
        <v>2376</v>
      </c>
      <c r="D1150" t="s">
        <v>2376</v>
      </c>
      <c r="E1150" t="s">
        <v>18</v>
      </c>
      <c r="F1150" t="s">
        <v>19</v>
      </c>
      <c r="H1150" s="23" t="e">
        <f>VLOOKUP(A1150,Revisión!$A$2:$L$703,6,FALSE)</f>
        <v>#N/A</v>
      </c>
      <c r="I1150" s="4" t="e">
        <f>VLOOKUP(A1150,Revisión!$A$2:$L$703,7,FALSE)</f>
        <v>#N/A</v>
      </c>
      <c r="J1150" s="4" t="e">
        <f>VLOOKUP(A1150,Revisión!$A$2:$L$703,8,FALSE)</f>
        <v>#N/A</v>
      </c>
      <c r="K1150" s="4" t="e">
        <f>VLOOKUP(A1150,Revisión!$A$2:$L$703,9,FALSE)</f>
        <v>#N/A</v>
      </c>
      <c r="L1150" s="4" t="e">
        <f>VLOOKUP(A1150,Revisión!$A$2:$L$703,10,FALSE)</f>
        <v>#N/A</v>
      </c>
      <c r="M1150" s="18" t="e">
        <f>VLOOKUP(A1150,Revisión!$A$2:$L$703,11,FALSE)</f>
        <v>#N/A</v>
      </c>
      <c r="N1150" s="30" t="str">
        <f>IF(E1150="Coinciden",D1150,IF(E1150="Revisar",VLOOKUP(A1150,Revisión!$A$2:$L$703,12,FALSE),""))</f>
        <v>Itea parviflora</v>
      </c>
    </row>
    <row r="1151" spans="1:14" x14ac:dyDescent="0.3">
      <c r="A1151" t="s">
        <v>2377</v>
      </c>
      <c r="B1151" t="s">
        <v>2378</v>
      </c>
      <c r="C1151" t="s">
        <v>2378</v>
      </c>
      <c r="D1151" t="s">
        <v>2379</v>
      </c>
      <c r="E1151" t="s">
        <v>8</v>
      </c>
      <c r="F1151" t="s">
        <v>15</v>
      </c>
      <c r="H1151" s="23" t="str">
        <f>VLOOKUP(A1151,Revisión!$A$2:$L$703,6,FALSE)</f>
        <v>Ixeris japonica</v>
      </c>
      <c r="I1151" s="4" t="str">
        <f>VLOOKUP(A1151,Revisión!$A$2:$L$703,7,FALSE)</f>
        <v>Ixeris japonica</v>
      </c>
      <c r="J1151" s="4" t="str">
        <f>VLOOKUP(A1151,Revisión!$A$2:$L$703,8,FALSE)</f>
        <v>-</v>
      </c>
      <c r="K1151" s="4" t="str">
        <f>VLOOKUP(A1151,Revisión!$A$2:$L$703,9,FALSE)</f>
        <v>Ixeris japonica</v>
      </c>
      <c r="L1151" s="4" t="str">
        <f>VLOOKUP(A1151,Revisión!$A$2:$L$703,10,FALSE)</f>
        <v>Ixeris japonica</v>
      </c>
      <c r="M1151" s="18">
        <f>VLOOKUP(A1151,Revisión!$A$2:$L$703,11,FALSE)</f>
        <v>4</v>
      </c>
      <c r="N1151" s="30" t="str">
        <f>IF(E1151="Coinciden",D1151,IF(E1151="Revisar",VLOOKUP(A1151,Revisión!$A$2:$L$703,12,FALSE),""))</f>
        <v>Ixeris japonica</v>
      </c>
    </row>
    <row r="1152" spans="1:14" x14ac:dyDescent="0.3">
      <c r="A1152" t="s">
        <v>2380</v>
      </c>
      <c r="B1152" t="s">
        <v>2381</v>
      </c>
      <c r="C1152" t="s">
        <v>2382</v>
      </c>
      <c r="D1152" t="s">
        <v>2382</v>
      </c>
      <c r="E1152" t="s">
        <v>8</v>
      </c>
      <c r="F1152" t="s">
        <v>23</v>
      </c>
      <c r="H1152" s="23" t="str">
        <f>VLOOKUP(A1152,Revisión!$A$2:$L$703,6,FALSE)</f>
        <v>Ixeridium dentatum subsp. dentatum</v>
      </c>
      <c r="I1152" s="4" t="str">
        <f>VLOOKUP(A1152,Revisión!$A$2:$L$703,7,FALSE)</f>
        <v xml:space="preserve">Ixeridium dentatum </v>
      </c>
      <c r="J1152" s="4" t="str">
        <f>VLOOKUP(A1152,Revisión!$A$2:$L$703,8,FALSE)</f>
        <v>-</v>
      </c>
      <c r="K1152" s="4" t="str">
        <f>VLOOKUP(A1152,Revisión!$A$2:$L$703,9,FALSE)</f>
        <v xml:space="preserve">Ixeridium dentatum </v>
      </c>
      <c r="L1152" s="4" t="str">
        <f>VLOOKUP(A1152,Revisión!$A$2:$L$703,10,FALSE)</f>
        <v>Ixeridium dentatum subsp. dentatum</v>
      </c>
      <c r="M1152" s="18">
        <f>VLOOKUP(A1152,Revisión!$A$2:$L$703,11,FALSE)</f>
        <v>4</v>
      </c>
      <c r="N1152" s="30" t="str">
        <f>IF(E1152="Coinciden",D1152,IF(E1152="Revisar",VLOOKUP(A1152,Revisión!$A$2:$L$703,12,FALSE),""))</f>
        <v>Ixeridium dentatum</v>
      </c>
    </row>
    <row r="1153" spans="1:14" x14ac:dyDescent="0.3">
      <c r="A1153" t="s">
        <v>2383</v>
      </c>
      <c r="B1153" t="s">
        <v>2384</v>
      </c>
      <c r="C1153" t="s">
        <v>2384</v>
      </c>
      <c r="D1153" t="s">
        <v>2384</v>
      </c>
      <c r="E1153" t="s">
        <v>18</v>
      </c>
      <c r="F1153" t="s">
        <v>19</v>
      </c>
      <c r="H1153" s="23" t="e">
        <f>VLOOKUP(A1153,Revisión!$A$2:$L$703,6,FALSE)</f>
        <v>#N/A</v>
      </c>
      <c r="I1153" s="4" t="e">
        <f>VLOOKUP(A1153,Revisión!$A$2:$L$703,7,FALSE)</f>
        <v>#N/A</v>
      </c>
      <c r="J1153" s="4" t="e">
        <f>VLOOKUP(A1153,Revisión!$A$2:$L$703,8,FALSE)</f>
        <v>#N/A</v>
      </c>
      <c r="K1153" s="4" t="e">
        <f>VLOOKUP(A1153,Revisión!$A$2:$L$703,9,FALSE)</f>
        <v>#N/A</v>
      </c>
      <c r="L1153" s="4" t="e">
        <f>VLOOKUP(A1153,Revisión!$A$2:$L$703,10,FALSE)</f>
        <v>#N/A</v>
      </c>
      <c r="M1153" s="18" t="e">
        <f>VLOOKUP(A1153,Revisión!$A$2:$L$703,11,FALSE)</f>
        <v>#N/A</v>
      </c>
      <c r="N1153" s="30" t="str">
        <f>IF(E1153="Coinciden",D1153,IF(E1153="Revisar",VLOOKUP(A1153,Revisión!$A$2:$L$703,12,FALSE),""))</f>
        <v>Ixora pudica</v>
      </c>
    </row>
    <row r="1154" spans="1:14" x14ac:dyDescent="0.3">
      <c r="A1154" t="s">
        <v>2385</v>
      </c>
      <c r="B1154" t="s">
        <v>2386</v>
      </c>
      <c r="C1154" t="s">
        <v>2386</v>
      </c>
      <c r="D1154" t="s">
        <v>2386</v>
      </c>
      <c r="E1154" t="s">
        <v>18</v>
      </c>
      <c r="F1154" t="s">
        <v>19</v>
      </c>
      <c r="H1154" s="23" t="e">
        <f>VLOOKUP(A1154,Revisión!$A$2:$L$703,6,FALSE)</f>
        <v>#N/A</v>
      </c>
      <c r="I1154" s="4" t="e">
        <f>VLOOKUP(A1154,Revisión!$A$2:$L$703,7,FALSE)</f>
        <v>#N/A</v>
      </c>
      <c r="J1154" s="4" t="e">
        <f>VLOOKUP(A1154,Revisión!$A$2:$L$703,8,FALSE)</f>
        <v>#N/A</v>
      </c>
      <c r="K1154" s="4" t="e">
        <f>VLOOKUP(A1154,Revisión!$A$2:$L$703,9,FALSE)</f>
        <v>#N/A</v>
      </c>
      <c r="L1154" s="4" t="e">
        <f>VLOOKUP(A1154,Revisión!$A$2:$L$703,10,FALSE)</f>
        <v>#N/A</v>
      </c>
      <c r="M1154" s="18" t="e">
        <f>VLOOKUP(A1154,Revisión!$A$2:$L$703,11,FALSE)</f>
        <v>#N/A</v>
      </c>
      <c r="N1154" s="30" t="str">
        <f>IF(E1154="Coinciden",D1154,IF(E1154="Revisar",VLOOKUP(A1154,Revisión!$A$2:$L$703,12,FALSE),""))</f>
        <v>Jaborosa laciniata</v>
      </c>
    </row>
    <row r="1155" spans="1:14" x14ac:dyDescent="0.3">
      <c r="A1155" t="s">
        <v>2387</v>
      </c>
      <c r="B1155" t="s">
        <v>2388</v>
      </c>
      <c r="C1155" t="s">
        <v>2388</v>
      </c>
      <c r="D1155" t="s">
        <v>2388</v>
      </c>
      <c r="E1155" t="s">
        <v>18</v>
      </c>
      <c r="F1155" t="s">
        <v>19</v>
      </c>
      <c r="H1155" s="23" t="e">
        <f>VLOOKUP(A1155,Revisión!$A$2:$L$703,6,FALSE)</f>
        <v>#N/A</v>
      </c>
      <c r="I1155" s="4" t="e">
        <f>VLOOKUP(A1155,Revisión!$A$2:$L$703,7,FALSE)</f>
        <v>#N/A</v>
      </c>
      <c r="J1155" s="4" t="e">
        <f>VLOOKUP(A1155,Revisión!$A$2:$L$703,8,FALSE)</f>
        <v>#N/A</v>
      </c>
      <c r="K1155" s="4" t="e">
        <f>VLOOKUP(A1155,Revisión!$A$2:$L$703,9,FALSE)</f>
        <v>#N/A</v>
      </c>
      <c r="L1155" s="4" t="e">
        <f>VLOOKUP(A1155,Revisión!$A$2:$L$703,10,FALSE)</f>
        <v>#N/A</v>
      </c>
      <c r="M1155" s="18" t="e">
        <f>VLOOKUP(A1155,Revisión!$A$2:$L$703,11,FALSE)</f>
        <v>#N/A</v>
      </c>
      <c r="N1155" s="30" t="str">
        <f>IF(E1155="Coinciden",D1155,IF(E1155="Revisar",VLOOKUP(A1155,Revisión!$A$2:$L$703,12,FALSE),""))</f>
        <v>Jacquinia arborea</v>
      </c>
    </row>
    <row r="1156" spans="1:14" x14ac:dyDescent="0.3">
      <c r="A1156" t="s">
        <v>2389</v>
      </c>
      <c r="B1156" t="s">
        <v>2390</v>
      </c>
      <c r="C1156" t="s">
        <v>2390</v>
      </c>
      <c r="D1156" t="s">
        <v>2390</v>
      </c>
      <c r="E1156" t="s">
        <v>18</v>
      </c>
      <c r="F1156" t="s">
        <v>19</v>
      </c>
      <c r="H1156" s="23" t="e">
        <f>VLOOKUP(A1156,Revisión!$A$2:$L$703,6,FALSE)</f>
        <v>#N/A</v>
      </c>
      <c r="I1156" s="4" t="e">
        <f>VLOOKUP(A1156,Revisión!$A$2:$L$703,7,FALSE)</f>
        <v>#N/A</v>
      </c>
      <c r="J1156" s="4" t="e">
        <f>VLOOKUP(A1156,Revisión!$A$2:$L$703,8,FALSE)</f>
        <v>#N/A</v>
      </c>
      <c r="K1156" s="4" t="e">
        <f>VLOOKUP(A1156,Revisión!$A$2:$L$703,9,FALSE)</f>
        <v>#N/A</v>
      </c>
      <c r="L1156" s="4" t="e">
        <f>VLOOKUP(A1156,Revisión!$A$2:$L$703,10,FALSE)</f>
        <v>#N/A</v>
      </c>
      <c r="M1156" s="18" t="e">
        <f>VLOOKUP(A1156,Revisión!$A$2:$L$703,11,FALSE)</f>
        <v>#N/A</v>
      </c>
      <c r="N1156" s="30" t="str">
        <f>IF(E1156="Coinciden",D1156,IF(E1156="Revisar",VLOOKUP(A1156,Revisión!$A$2:$L$703,12,FALSE),""))</f>
        <v>Jaegeria gracilis</v>
      </c>
    </row>
    <row r="1157" spans="1:14" x14ac:dyDescent="0.3">
      <c r="A1157" t="s">
        <v>2391</v>
      </c>
      <c r="B1157" t="s">
        <v>2392</v>
      </c>
      <c r="C1157" t="s">
        <v>2392</v>
      </c>
      <c r="D1157" t="s">
        <v>2392</v>
      </c>
      <c r="E1157" t="s">
        <v>18</v>
      </c>
      <c r="F1157" t="s">
        <v>19</v>
      </c>
      <c r="H1157" s="23" t="e">
        <f>VLOOKUP(A1157,Revisión!$A$2:$L$703,6,FALSE)</f>
        <v>#N/A</v>
      </c>
      <c r="I1157" s="4" t="e">
        <f>VLOOKUP(A1157,Revisión!$A$2:$L$703,7,FALSE)</f>
        <v>#N/A</v>
      </c>
      <c r="J1157" s="4" t="e">
        <f>VLOOKUP(A1157,Revisión!$A$2:$L$703,8,FALSE)</f>
        <v>#N/A</v>
      </c>
      <c r="K1157" s="4" t="e">
        <f>VLOOKUP(A1157,Revisión!$A$2:$L$703,9,FALSE)</f>
        <v>#N/A</v>
      </c>
      <c r="L1157" s="4" t="e">
        <f>VLOOKUP(A1157,Revisión!$A$2:$L$703,10,FALSE)</f>
        <v>#N/A</v>
      </c>
      <c r="M1157" s="18" t="e">
        <f>VLOOKUP(A1157,Revisión!$A$2:$L$703,11,FALSE)</f>
        <v>#N/A</v>
      </c>
      <c r="N1157" s="30" t="str">
        <f>IF(E1157="Coinciden",D1157,IF(E1157="Revisar",VLOOKUP(A1157,Revisión!$A$2:$L$703,12,FALSE),""))</f>
        <v>Jamesia americana</v>
      </c>
    </row>
    <row r="1158" spans="1:14" x14ac:dyDescent="0.3">
      <c r="A1158" t="s">
        <v>2393</v>
      </c>
      <c r="B1158" t="s">
        <v>2394</v>
      </c>
      <c r="C1158" t="s">
        <v>2394</v>
      </c>
      <c r="D1158" t="s">
        <v>2395</v>
      </c>
      <c r="E1158" t="s">
        <v>8</v>
      </c>
      <c r="F1158" t="s">
        <v>15</v>
      </c>
      <c r="H1158" s="23" t="str">
        <f>VLOOKUP(A1158,Revisión!$A$2:$L$703,6,FALSE)</f>
        <v>Schwannia anisandra</v>
      </c>
      <c r="I1158" s="4" t="str">
        <f>VLOOKUP(A1158,Revisión!$A$2:$L$703,7,FALSE)</f>
        <v>-</v>
      </c>
      <c r="J1158" s="4" t="str">
        <f>VLOOKUP(A1158,Revisión!$A$2:$L$703,8,FALSE)</f>
        <v>-</v>
      </c>
      <c r="K1158" s="4" t="str">
        <f>VLOOKUP(A1158,Revisión!$A$2:$L$703,9,FALSE)</f>
        <v>Schwannia anisandra</v>
      </c>
      <c r="L1158" s="4" t="str">
        <f>VLOOKUP(A1158,Revisión!$A$2:$L$703,10,FALSE)</f>
        <v>Schwannia anisandra</v>
      </c>
      <c r="M1158" s="18">
        <f>VLOOKUP(A1158,Revisión!$A$2:$L$703,11,FALSE)</f>
        <v>3</v>
      </c>
      <c r="N1158" s="30" t="str">
        <f>IF(E1158="Coinciden",D1158,IF(E1158="Revisar",VLOOKUP(A1158,Revisión!$A$2:$L$703,12,FALSE),""))</f>
        <v>Schwannia anisandra</v>
      </c>
    </row>
    <row r="1159" spans="1:14" x14ac:dyDescent="0.3">
      <c r="A1159" t="s">
        <v>2396</v>
      </c>
      <c r="C1159" t="s">
        <v>2397</v>
      </c>
      <c r="D1159" t="s">
        <v>2397</v>
      </c>
      <c r="E1159" t="s">
        <v>8</v>
      </c>
      <c r="F1159" t="s">
        <v>49</v>
      </c>
      <c r="H1159" s="23" t="str">
        <f>VLOOKUP(A1159,Revisión!$A$2:$L$703,6,FALSE)</f>
        <v>Jasminocereus thouarsii</v>
      </c>
      <c r="I1159" s="4" t="str">
        <f>VLOOKUP(A1159,Revisión!$A$2:$L$703,7,FALSE)</f>
        <v>-</v>
      </c>
      <c r="J1159" s="4" t="str">
        <f>VLOOKUP(A1159,Revisión!$A$2:$L$703,8,FALSE)</f>
        <v>Jasminocereus thouarsii</v>
      </c>
      <c r="K1159" s="4" t="str">
        <f>VLOOKUP(A1159,Revisión!$A$2:$L$703,9,FALSE)</f>
        <v>Jasminocereus thouarsii</v>
      </c>
      <c r="L1159" s="4" t="str">
        <f>VLOOKUP(A1159,Revisión!$A$2:$L$703,10,FALSE)</f>
        <v>Jasminocereus thouarsii</v>
      </c>
      <c r="M1159" s="18">
        <f>VLOOKUP(A1159,Revisión!$A$2:$L$703,11,FALSE)</f>
        <v>4</v>
      </c>
      <c r="N1159" s="30" t="str">
        <f>IF(E1159="Coinciden",D1159,IF(E1159="Revisar",VLOOKUP(A1159,Revisión!$A$2:$L$703,12,FALSE),""))</f>
        <v>Jasminocereus thouarsii</v>
      </c>
    </row>
    <row r="1160" spans="1:14" x14ac:dyDescent="0.3">
      <c r="A1160" t="s">
        <v>2398</v>
      </c>
      <c r="B1160" t="s">
        <v>2399</v>
      </c>
      <c r="C1160" t="s">
        <v>2399</v>
      </c>
      <c r="D1160" t="s">
        <v>2399</v>
      </c>
      <c r="E1160" t="s">
        <v>18</v>
      </c>
      <c r="F1160" t="s">
        <v>19</v>
      </c>
      <c r="H1160" s="23" t="e">
        <f>VLOOKUP(A1160,Revisión!$A$2:$L$703,6,FALSE)</f>
        <v>#N/A</v>
      </c>
      <c r="I1160" s="4" t="e">
        <f>VLOOKUP(A1160,Revisión!$A$2:$L$703,7,FALSE)</f>
        <v>#N/A</v>
      </c>
      <c r="J1160" s="4" t="e">
        <f>VLOOKUP(A1160,Revisión!$A$2:$L$703,8,FALSE)</f>
        <v>#N/A</v>
      </c>
      <c r="K1160" s="4" t="e">
        <f>VLOOKUP(A1160,Revisión!$A$2:$L$703,9,FALSE)</f>
        <v>#N/A</v>
      </c>
      <c r="L1160" s="4" t="e">
        <f>VLOOKUP(A1160,Revisión!$A$2:$L$703,10,FALSE)</f>
        <v>#N/A</v>
      </c>
      <c r="M1160" s="18" t="e">
        <f>VLOOKUP(A1160,Revisión!$A$2:$L$703,11,FALSE)</f>
        <v>#N/A</v>
      </c>
      <c r="N1160" s="30" t="str">
        <f>IF(E1160="Coinciden",D1160,IF(E1160="Revisar",VLOOKUP(A1160,Revisión!$A$2:$L$703,12,FALSE),""))</f>
        <v>Juncus effusus</v>
      </c>
    </row>
    <row r="1161" spans="1:14" x14ac:dyDescent="0.3">
      <c r="A1161" t="s">
        <v>2400</v>
      </c>
      <c r="B1161" t="s">
        <v>2401</v>
      </c>
      <c r="C1161" t="s">
        <v>2401</v>
      </c>
      <c r="D1161" t="s">
        <v>2401</v>
      </c>
      <c r="E1161" t="s">
        <v>18</v>
      </c>
      <c r="F1161" t="s">
        <v>19</v>
      </c>
      <c r="H1161" s="23" t="e">
        <f>VLOOKUP(A1161,Revisión!$A$2:$L$703,6,FALSE)</f>
        <v>#N/A</v>
      </c>
      <c r="I1161" s="4" t="e">
        <f>VLOOKUP(A1161,Revisión!$A$2:$L$703,7,FALSE)</f>
        <v>#N/A</v>
      </c>
      <c r="J1161" s="4" t="e">
        <f>VLOOKUP(A1161,Revisión!$A$2:$L$703,8,FALSE)</f>
        <v>#N/A</v>
      </c>
      <c r="K1161" s="4" t="e">
        <f>VLOOKUP(A1161,Revisión!$A$2:$L$703,9,FALSE)</f>
        <v>#N/A</v>
      </c>
      <c r="L1161" s="4" t="e">
        <f>VLOOKUP(A1161,Revisión!$A$2:$L$703,10,FALSE)</f>
        <v>#N/A</v>
      </c>
      <c r="M1161" s="18" t="e">
        <f>VLOOKUP(A1161,Revisión!$A$2:$L$703,11,FALSE)</f>
        <v>#N/A</v>
      </c>
      <c r="N1161" s="30" t="str">
        <f>IF(E1161="Coinciden",D1161,IF(E1161="Revisar",VLOOKUP(A1161,Revisión!$A$2:$L$703,12,FALSE),""))</f>
        <v>Junellia toninii</v>
      </c>
    </row>
    <row r="1162" spans="1:14" x14ac:dyDescent="0.3">
      <c r="A1162" t="s">
        <v>2402</v>
      </c>
      <c r="B1162" t="s">
        <v>2403</v>
      </c>
      <c r="C1162" t="s">
        <v>2403</v>
      </c>
      <c r="D1162" t="s">
        <v>2403</v>
      </c>
      <c r="E1162" t="s">
        <v>18</v>
      </c>
      <c r="F1162" t="s">
        <v>19</v>
      </c>
      <c r="H1162" s="23" t="e">
        <f>VLOOKUP(A1162,Revisión!$A$2:$L$703,6,FALSE)</f>
        <v>#N/A</v>
      </c>
      <c r="I1162" s="4" t="e">
        <f>VLOOKUP(A1162,Revisión!$A$2:$L$703,7,FALSE)</f>
        <v>#N/A</v>
      </c>
      <c r="J1162" s="4" t="e">
        <f>VLOOKUP(A1162,Revisión!$A$2:$L$703,8,FALSE)</f>
        <v>#N/A</v>
      </c>
      <c r="K1162" s="4" t="e">
        <f>VLOOKUP(A1162,Revisión!$A$2:$L$703,9,FALSE)</f>
        <v>#N/A</v>
      </c>
      <c r="L1162" s="4" t="e">
        <f>VLOOKUP(A1162,Revisión!$A$2:$L$703,10,FALSE)</f>
        <v>#N/A</v>
      </c>
      <c r="M1162" s="18" t="e">
        <f>VLOOKUP(A1162,Revisión!$A$2:$L$703,11,FALSE)</f>
        <v>#N/A</v>
      </c>
      <c r="N1162" s="30" t="str">
        <f>IF(E1162="Coinciden",D1162,IF(E1162="Revisar",VLOOKUP(A1162,Revisión!$A$2:$L$703,12,FALSE),""))</f>
        <v>Junellia uniflora</v>
      </c>
    </row>
    <row r="1163" spans="1:14" x14ac:dyDescent="0.3">
      <c r="A1163" t="s">
        <v>2404</v>
      </c>
      <c r="B1163" t="s">
        <v>2405</v>
      </c>
      <c r="C1163" t="s">
        <v>2405</v>
      </c>
      <c r="D1163" t="s">
        <v>2405</v>
      </c>
      <c r="E1163" t="s">
        <v>18</v>
      </c>
      <c r="F1163" t="s">
        <v>19</v>
      </c>
      <c r="H1163" s="23" t="e">
        <f>VLOOKUP(A1163,Revisión!$A$2:$L$703,6,FALSE)</f>
        <v>#N/A</v>
      </c>
      <c r="I1163" s="4" t="e">
        <f>VLOOKUP(A1163,Revisión!$A$2:$L$703,7,FALSE)</f>
        <v>#N/A</v>
      </c>
      <c r="J1163" s="4" t="e">
        <f>VLOOKUP(A1163,Revisión!$A$2:$L$703,8,FALSE)</f>
        <v>#N/A</v>
      </c>
      <c r="K1163" s="4" t="e">
        <f>VLOOKUP(A1163,Revisión!$A$2:$L$703,9,FALSE)</f>
        <v>#N/A</v>
      </c>
      <c r="L1163" s="4" t="e">
        <f>VLOOKUP(A1163,Revisión!$A$2:$L$703,10,FALSE)</f>
        <v>#N/A</v>
      </c>
      <c r="M1163" s="18" t="e">
        <f>VLOOKUP(A1163,Revisión!$A$2:$L$703,11,FALSE)</f>
        <v>#N/A</v>
      </c>
      <c r="N1163" s="30" t="str">
        <f>IF(E1163="Coinciden",D1163,IF(E1163="Revisar",VLOOKUP(A1163,Revisión!$A$2:$L$703,12,FALSE),""))</f>
        <v>Justicia galapagana</v>
      </c>
    </row>
    <row r="1164" spans="1:14" x14ac:dyDescent="0.3">
      <c r="A1164" t="s">
        <v>2406</v>
      </c>
      <c r="D1164" t="s">
        <v>2407</v>
      </c>
      <c r="E1164" t="s">
        <v>8</v>
      </c>
      <c r="F1164" t="s">
        <v>9</v>
      </c>
      <c r="H1164" s="23" t="str">
        <f>VLOOKUP(A1164,Revisión!$A$2:$L$703,6,FALSE)</f>
        <v>Rostellulararia procumbens</v>
      </c>
      <c r="I1164" s="4" t="str">
        <f>VLOOKUP(A1164,Revisión!$A$2:$L$703,7,FALSE)</f>
        <v>-</v>
      </c>
      <c r="J1164" s="4" t="str">
        <f>VLOOKUP(A1164,Revisión!$A$2:$L$703,8,FALSE)</f>
        <v>Rostellulararia procumbens</v>
      </c>
      <c r="K1164" s="4" t="str">
        <f>VLOOKUP(A1164,Revisión!$A$2:$L$703,9,FALSE)</f>
        <v>Justicia procumbens</v>
      </c>
      <c r="L1164" s="4" t="str">
        <f>VLOOKUP(A1164,Revisión!$A$2:$L$703,10,FALSE)</f>
        <v>Justicia procumbens</v>
      </c>
      <c r="M1164" s="18">
        <f>VLOOKUP(A1164,Revisión!$A$2:$L$703,11,FALSE)</f>
        <v>4</v>
      </c>
      <c r="N1164" s="30" t="str">
        <f>IF(E1164="Coinciden",D1164,IF(E1164="Revisar",VLOOKUP(A1164,Revisión!$A$2:$L$703,12,FALSE),""))</f>
        <v>Rostellulararia procumbens</v>
      </c>
    </row>
    <row r="1165" spans="1:14" x14ac:dyDescent="0.3">
      <c r="A1165" t="s">
        <v>2408</v>
      </c>
      <c r="B1165" t="s">
        <v>2409</v>
      </c>
      <c r="C1165" t="s">
        <v>2410</v>
      </c>
      <c r="D1165" t="s">
        <v>2410</v>
      </c>
      <c r="E1165" t="s">
        <v>8</v>
      </c>
      <c r="F1165" t="s">
        <v>23</v>
      </c>
      <c r="H1165" s="23" t="str">
        <f>VLOOKUP(A1165,Revisión!$A$2:$L$703,6,FALSE)</f>
        <v>Aster pinnatifidus</v>
      </c>
      <c r="I1165" s="4" t="str">
        <f>VLOOKUP(A1165,Revisión!$A$2:$L$703,7,FALSE)</f>
        <v>-</v>
      </c>
      <c r="J1165" s="4" t="str">
        <f>VLOOKUP(A1165,Revisión!$A$2:$L$703,8,FALSE)</f>
        <v>Aster iinumae</v>
      </c>
      <c r="K1165" s="4" t="str">
        <f>VLOOKUP(A1165,Revisión!$A$2:$L$703,9,FALSE)</f>
        <v>Aster iinumae</v>
      </c>
      <c r="L1165" s="4" t="str">
        <f>VLOOKUP(A1165,Revisión!$A$2:$L$703,10,FALSE)</f>
        <v>Aster pinnatifidus</v>
      </c>
      <c r="M1165" s="18">
        <f>VLOOKUP(A1165,Revisión!$A$2:$L$703,11,FALSE)</f>
        <v>4</v>
      </c>
      <c r="N1165" s="30" t="str">
        <f>IF(E1165="Coinciden",D1165,IF(E1165="Revisar",VLOOKUP(A1165,Revisión!$A$2:$L$703,12,FALSE),""))</f>
        <v>Aster iinumae</v>
      </c>
    </row>
    <row r="1166" spans="1:14" x14ac:dyDescent="0.3">
      <c r="A1166" t="s">
        <v>2411</v>
      </c>
      <c r="B1166" t="s">
        <v>2412</v>
      </c>
      <c r="C1166" t="s">
        <v>2413</v>
      </c>
      <c r="D1166" t="s">
        <v>2413</v>
      </c>
      <c r="E1166" t="s">
        <v>8</v>
      </c>
      <c r="F1166" t="s">
        <v>23</v>
      </c>
      <c r="H1166" s="23" t="str">
        <f>VLOOKUP(A1166,Revisión!$A$2:$L$703,6,FALSE)</f>
        <v>Aster yomena</v>
      </c>
      <c r="I1166" s="4" t="str">
        <f>VLOOKUP(A1166,Revisión!$A$2:$L$703,7,FALSE)</f>
        <v>-</v>
      </c>
      <c r="J1166" s="4" t="str">
        <f>VLOOKUP(A1166,Revisión!$A$2:$L$703,8,FALSE)</f>
        <v>Aster yomena</v>
      </c>
      <c r="K1166" s="4" t="str">
        <f>VLOOKUP(A1166,Revisión!$A$2:$L$703,9,FALSE)</f>
        <v>Aster yomena</v>
      </c>
      <c r="L1166" s="4" t="str">
        <f>VLOOKUP(A1166,Revisión!$A$2:$L$703,10,FALSE)</f>
        <v>Aster yomena</v>
      </c>
      <c r="M1166" s="18">
        <f>VLOOKUP(A1166,Revisión!$A$2:$L$703,11,FALSE)</f>
        <v>5</v>
      </c>
      <c r="N1166" s="30" t="str">
        <f>IF(E1166="Coinciden",D1166,IF(E1166="Revisar",VLOOKUP(A1166,Revisión!$A$2:$L$703,12,FALSE),""))</f>
        <v>Aster yomena</v>
      </c>
    </row>
    <row r="1167" spans="1:14" x14ac:dyDescent="0.3">
      <c r="A1167" t="s">
        <v>2414</v>
      </c>
      <c r="B1167" t="s">
        <v>2415</v>
      </c>
      <c r="C1167" t="s">
        <v>2415</v>
      </c>
      <c r="D1167" t="s">
        <v>2415</v>
      </c>
      <c r="E1167" t="s">
        <v>18</v>
      </c>
      <c r="F1167" t="s">
        <v>19</v>
      </c>
      <c r="H1167" s="23" t="e">
        <f>VLOOKUP(A1167,Revisión!$A$2:$L$703,6,FALSE)</f>
        <v>#N/A</v>
      </c>
      <c r="I1167" s="4" t="e">
        <f>VLOOKUP(A1167,Revisión!$A$2:$L$703,7,FALSE)</f>
        <v>#N/A</v>
      </c>
      <c r="J1167" s="4" t="e">
        <f>VLOOKUP(A1167,Revisión!$A$2:$L$703,8,FALSE)</f>
        <v>#N/A</v>
      </c>
      <c r="K1167" s="4" t="e">
        <f>VLOOKUP(A1167,Revisión!$A$2:$L$703,9,FALSE)</f>
        <v>#N/A</v>
      </c>
      <c r="L1167" s="4" t="e">
        <f>VLOOKUP(A1167,Revisión!$A$2:$L$703,10,FALSE)</f>
        <v>#N/A</v>
      </c>
      <c r="M1167" s="18" t="e">
        <f>VLOOKUP(A1167,Revisión!$A$2:$L$703,11,FALSE)</f>
        <v>#N/A</v>
      </c>
      <c r="N1167" s="30" t="str">
        <f>IF(E1167="Coinciden",D1167,IF(E1167="Revisar",VLOOKUP(A1167,Revisión!$A$2:$L$703,12,FALSE),""))</f>
        <v>Kalmia angustifolia</v>
      </c>
    </row>
    <row r="1168" spans="1:14" x14ac:dyDescent="0.3">
      <c r="A1168" t="s">
        <v>2416</v>
      </c>
      <c r="B1168" t="s">
        <v>2417</v>
      </c>
      <c r="C1168" t="s">
        <v>2417</v>
      </c>
      <c r="D1168" t="s">
        <v>2417</v>
      </c>
      <c r="E1168" t="s">
        <v>18</v>
      </c>
      <c r="F1168" t="s">
        <v>19</v>
      </c>
      <c r="H1168" s="23" t="e">
        <f>VLOOKUP(A1168,Revisión!$A$2:$L$703,6,FALSE)</f>
        <v>#N/A</v>
      </c>
      <c r="I1168" s="4" t="e">
        <f>VLOOKUP(A1168,Revisión!$A$2:$L$703,7,FALSE)</f>
        <v>#N/A</v>
      </c>
      <c r="J1168" s="4" t="e">
        <f>VLOOKUP(A1168,Revisión!$A$2:$L$703,8,FALSE)</f>
        <v>#N/A</v>
      </c>
      <c r="K1168" s="4" t="e">
        <f>VLOOKUP(A1168,Revisión!$A$2:$L$703,9,FALSE)</f>
        <v>#N/A</v>
      </c>
      <c r="L1168" s="4" t="e">
        <f>VLOOKUP(A1168,Revisión!$A$2:$L$703,10,FALSE)</f>
        <v>#N/A</v>
      </c>
      <c r="M1168" s="18" t="e">
        <f>VLOOKUP(A1168,Revisión!$A$2:$L$703,11,FALSE)</f>
        <v>#N/A</v>
      </c>
      <c r="N1168" s="30" t="str">
        <f>IF(E1168="Coinciden",D1168,IF(E1168="Revisar",VLOOKUP(A1168,Revisión!$A$2:$L$703,12,FALSE),""))</f>
        <v>Kalmia polifolia</v>
      </c>
    </row>
    <row r="1169" spans="1:14" x14ac:dyDescent="0.3">
      <c r="A1169" t="s">
        <v>2418</v>
      </c>
      <c r="C1169" t="s">
        <v>2419</v>
      </c>
      <c r="D1169" t="s">
        <v>2419</v>
      </c>
      <c r="E1169" t="s">
        <v>8</v>
      </c>
      <c r="F1169" t="s">
        <v>49</v>
      </c>
      <c r="H1169" s="23" t="str">
        <f>VLOOKUP(A1169,Revisión!$A$2:$L$703,6,FALSE)</f>
        <v>Kandelia candel</v>
      </c>
      <c r="I1169" s="4" t="str">
        <f>VLOOKUP(A1169,Revisión!$A$2:$L$703,7,FALSE)</f>
        <v>-</v>
      </c>
      <c r="J1169" s="4" t="str">
        <f>VLOOKUP(A1169,Revisión!$A$2:$L$703,8,FALSE)</f>
        <v>Kandelia candel</v>
      </c>
      <c r="K1169" s="4" t="str">
        <f>VLOOKUP(A1169,Revisión!$A$2:$L$703,9,FALSE)</f>
        <v>Kandelia candel</v>
      </c>
      <c r="L1169" s="4" t="str">
        <f>VLOOKUP(A1169,Revisión!$A$2:$L$703,10,FALSE)</f>
        <v>Kandelia candel</v>
      </c>
      <c r="M1169" s="18">
        <f>VLOOKUP(A1169,Revisión!$A$2:$L$703,11,FALSE)</f>
        <v>5</v>
      </c>
      <c r="N1169" s="30" t="str">
        <f>IF(E1169="Coinciden",D1169,IF(E1169="Revisar",VLOOKUP(A1169,Revisión!$A$2:$L$703,12,FALSE),""))</f>
        <v>Kandelia candel</v>
      </c>
    </row>
    <row r="1170" spans="1:14" x14ac:dyDescent="0.3">
      <c r="A1170" t="s">
        <v>2420</v>
      </c>
      <c r="B1170" t="s">
        <v>2421</v>
      </c>
      <c r="C1170" t="s">
        <v>2421</v>
      </c>
      <c r="D1170" t="s">
        <v>2421</v>
      </c>
      <c r="E1170" t="s">
        <v>18</v>
      </c>
      <c r="F1170" t="s">
        <v>19</v>
      </c>
      <c r="H1170" s="23" t="e">
        <f>VLOOKUP(A1170,Revisión!$A$2:$L$703,6,FALSE)</f>
        <v>#N/A</v>
      </c>
      <c r="I1170" s="4" t="e">
        <f>VLOOKUP(A1170,Revisión!$A$2:$L$703,7,FALSE)</f>
        <v>#N/A</v>
      </c>
      <c r="J1170" s="4" t="e">
        <f>VLOOKUP(A1170,Revisión!$A$2:$L$703,8,FALSE)</f>
        <v>#N/A</v>
      </c>
      <c r="K1170" s="4" t="e">
        <f>VLOOKUP(A1170,Revisión!$A$2:$L$703,9,FALSE)</f>
        <v>#N/A</v>
      </c>
      <c r="L1170" s="4" t="e">
        <f>VLOOKUP(A1170,Revisión!$A$2:$L$703,10,FALSE)</f>
        <v>#N/A</v>
      </c>
      <c r="M1170" s="18" t="e">
        <f>VLOOKUP(A1170,Revisión!$A$2:$L$703,11,FALSE)</f>
        <v>#N/A</v>
      </c>
      <c r="N1170" s="30" t="str">
        <f>IF(E1170="Coinciden",D1170,IF(E1170="Revisar",VLOOKUP(A1170,Revisión!$A$2:$L$703,12,FALSE),""))</f>
        <v>Kerria japonica</v>
      </c>
    </row>
    <row r="1171" spans="1:14" x14ac:dyDescent="0.3">
      <c r="A1171" t="s">
        <v>2422</v>
      </c>
      <c r="B1171" t="s">
        <v>2423</v>
      </c>
      <c r="C1171" t="s">
        <v>2423</v>
      </c>
      <c r="D1171" t="s">
        <v>2423</v>
      </c>
      <c r="E1171" t="s">
        <v>18</v>
      </c>
      <c r="F1171" t="s">
        <v>19</v>
      </c>
      <c r="H1171" s="23" t="e">
        <f>VLOOKUP(A1171,Revisión!$A$2:$L$703,6,FALSE)</f>
        <v>#N/A</v>
      </c>
      <c r="I1171" s="4" t="e">
        <f>VLOOKUP(A1171,Revisión!$A$2:$L$703,7,FALSE)</f>
        <v>#N/A</v>
      </c>
      <c r="J1171" s="4" t="e">
        <f>VLOOKUP(A1171,Revisión!$A$2:$L$703,8,FALSE)</f>
        <v>#N/A</v>
      </c>
      <c r="K1171" s="4" t="e">
        <f>VLOOKUP(A1171,Revisión!$A$2:$L$703,9,FALSE)</f>
        <v>#N/A</v>
      </c>
      <c r="L1171" s="4" t="e">
        <f>VLOOKUP(A1171,Revisión!$A$2:$L$703,10,FALSE)</f>
        <v>#N/A</v>
      </c>
      <c r="M1171" s="18" t="e">
        <f>VLOOKUP(A1171,Revisión!$A$2:$L$703,11,FALSE)</f>
        <v>#N/A</v>
      </c>
      <c r="N1171" s="30" t="str">
        <f>IF(E1171="Coinciden",D1171,IF(E1171="Revisar",VLOOKUP(A1171,Revisión!$A$2:$L$703,12,FALSE),""))</f>
        <v>Knautia arvensis</v>
      </c>
    </row>
    <row r="1172" spans="1:14" x14ac:dyDescent="0.3">
      <c r="A1172" t="s">
        <v>2424</v>
      </c>
      <c r="B1172" t="s">
        <v>2425</v>
      </c>
      <c r="C1172" t="s">
        <v>2425</v>
      </c>
      <c r="D1172" t="s">
        <v>2425</v>
      </c>
      <c r="E1172" t="s">
        <v>18</v>
      </c>
      <c r="F1172" t="s">
        <v>19</v>
      </c>
      <c r="H1172" s="23" t="e">
        <f>VLOOKUP(A1172,Revisión!$A$2:$L$703,6,FALSE)</f>
        <v>#N/A</v>
      </c>
      <c r="I1172" s="4" t="e">
        <f>VLOOKUP(A1172,Revisión!$A$2:$L$703,7,FALSE)</f>
        <v>#N/A</v>
      </c>
      <c r="J1172" s="4" t="e">
        <f>VLOOKUP(A1172,Revisión!$A$2:$L$703,8,FALSE)</f>
        <v>#N/A</v>
      </c>
      <c r="K1172" s="4" t="e">
        <f>VLOOKUP(A1172,Revisión!$A$2:$L$703,9,FALSE)</f>
        <v>#N/A</v>
      </c>
      <c r="L1172" s="4" t="e">
        <f>VLOOKUP(A1172,Revisión!$A$2:$L$703,10,FALSE)</f>
        <v>#N/A</v>
      </c>
      <c r="M1172" s="18" t="e">
        <f>VLOOKUP(A1172,Revisión!$A$2:$L$703,11,FALSE)</f>
        <v>#N/A</v>
      </c>
      <c r="N1172" s="30" t="str">
        <f>IF(E1172="Coinciden",D1172,IF(E1172="Revisar",VLOOKUP(A1172,Revisión!$A$2:$L$703,12,FALSE),""))</f>
        <v>Krigia biflora</v>
      </c>
    </row>
    <row r="1173" spans="1:14" x14ac:dyDescent="0.3">
      <c r="A1173" t="s">
        <v>2426</v>
      </c>
      <c r="B1173" t="s">
        <v>2427</v>
      </c>
      <c r="C1173" t="s">
        <v>2427</v>
      </c>
      <c r="D1173" t="s">
        <v>2427</v>
      </c>
      <c r="E1173" t="s">
        <v>18</v>
      </c>
      <c r="F1173" t="s">
        <v>19</v>
      </c>
      <c r="H1173" s="23" t="e">
        <f>VLOOKUP(A1173,Revisión!$A$2:$L$703,6,FALSE)</f>
        <v>#N/A</v>
      </c>
      <c r="I1173" s="4" t="e">
        <f>VLOOKUP(A1173,Revisión!$A$2:$L$703,7,FALSE)</f>
        <v>#N/A</v>
      </c>
      <c r="J1173" s="4" t="e">
        <f>VLOOKUP(A1173,Revisión!$A$2:$L$703,8,FALSE)</f>
        <v>#N/A</v>
      </c>
      <c r="K1173" s="4" t="e">
        <f>VLOOKUP(A1173,Revisión!$A$2:$L$703,9,FALSE)</f>
        <v>#N/A</v>
      </c>
      <c r="L1173" s="4" t="e">
        <f>VLOOKUP(A1173,Revisión!$A$2:$L$703,10,FALSE)</f>
        <v>#N/A</v>
      </c>
      <c r="M1173" s="18" t="e">
        <f>VLOOKUP(A1173,Revisión!$A$2:$L$703,11,FALSE)</f>
        <v>#N/A</v>
      </c>
      <c r="N1173" s="30" t="str">
        <f>IF(E1173="Coinciden",D1173,IF(E1173="Revisar",VLOOKUP(A1173,Revisión!$A$2:$L$703,12,FALSE),""))</f>
        <v>Kunzea muelleri</v>
      </c>
    </row>
    <row r="1174" spans="1:14" x14ac:dyDescent="0.3">
      <c r="A1174" t="s">
        <v>2428</v>
      </c>
      <c r="E1174" t="s">
        <v>8</v>
      </c>
      <c r="F1174" t="s">
        <v>11</v>
      </c>
      <c r="H1174" s="23" t="e">
        <f>VLOOKUP(A1174,Revisión!$A$2:$L$703,6,FALSE)</f>
        <v>#N/A</v>
      </c>
      <c r="I1174" s="4" t="e">
        <f>VLOOKUP(A1174,Revisión!$A$2:$L$703,7,FALSE)</f>
        <v>#N/A</v>
      </c>
      <c r="J1174" s="4" t="e">
        <f>VLOOKUP(A1174,Revisión!$A$2:$L$703,8,FALSE)</f>
        <v>#N/A</v>
      </c>
      <c r="K1174" s="4" t="e">
        <f>VLOOKUP(A1174,Revisión!$A$2:$L$703,9,FALSE)</f>
        <v>#N/A</v>
      </c>
      <c r="L1174" s="4" t="e">
        <f>VLOOKUP(A1174,Revisión!$A$2:$L$703,10,FALSE)</f>
        <v>#N/A</v>
      </c>
      <c r="M1174" s="18" t="e">
        <f>VLOOKUP(A1174,Revisión!$A$2:$L$703,11,FALSE)</f>
        <v>#N/A</v>
      </c>
      <c r="N1174" s="30" t="e">
        <f>IF(E1174="Coinciden",D1174,IF(E1174="Revisar",VLOOKUP(A1174,Revisión!$A$2:$L$703,12,FALSE),""))</f>
        <v>#N/A</v>
      </c>
    </row>
    <row r="1175" spans="1:14" x14ac:dyDescent="0.3">
      <c r="A1175" t="s">
        <v>2429</v>
      </c>
      <c r="B1175" t="s">
        <v>2430</v>
      </c>
      <c r="C1175" t="s">
        <v>2430</v>
      </c>
      <c r="D1175" t="s">
        <v>2430</v>
      </c>
      <c r="E1175" t="s">
        <v>18</v>
      </c>
      <c r="F1175" t="s">
        <v>19</v>
      </c>
      <c r="H1175" s="23" t="e">
        <f>VLOOKUP(A1175,Revisión!$A$2:$L$703,6,FALSE)</f>
        <v>#N/A</v>
      </c>
      <c r="I1175" s="4" t="e">
        <f>VLOOKUP(A1175,Revisión!$A$2:$L$703,7,FALSE)</f>
        <v>#N/A</v>
      </c>
      <c r="J1175" s="4" t="e">
        <f>VLOOKUP(A1175,Revisión!$A$2:$L$703,8,FALSE)</f>
        <v>#N/A</v>
      </c>
      <c r="K1175" s="4" t="e">
        <f>VLOOKUP(A1175,Revisión!$A$2:$L$703,9,FALSE)</f>
        <v>#N/A</v>
      </c>
      <c r="L1175" s="4" t="e">
        <f>VLOOKUP(A1175,Revisión!$A$2:$L$703,10,FALSE)</f>
        <v>#N/A</v>
      </c>
      <c r="M1175" s="18" t="e">
        <f>VLOOKUP(A1175,Revisión!$A$2:$L$703,11,FALSE)</f>
        <v>#N/A</v>
      </c>
      <c r="N1175" s="30" t="str">
        <f>IF(E1175="Coinciden",D1175,IF(E1175="Revisar",VLOOKUP(A1175,Revisión!$A$2:$L$703,12,FALSE),""))</f>
        <v>Labourdonnaisia calophylloides</v>
      </c>
    </row>
    <row r="1176" spans="1:14" x14ac:dyDescent="0.3">
      <c r="A1176" t="s">
        <v>2431</v>
      </c>
      <c r="B1176" t="s">
        <v>2432</v>
      </c>
      <c r="C1176" t="s">
        <v>2432</v>
      </c>
      <c r="D1176" t="s">
        <v>2432</v>
      </c>
      <c r="E1176" t="s">
        <v>18</v>
      </c>
      <c r="F1176" t="s">
        <v>19</v>
      </c>
      <c r="H1176" s="23" t="e">
        <f>VLOOKUP(A1176,Revisión!$A$2:$L$703,6,FALSE)</f>
        <v>#N/A</v>
      </c>
      <c r="I1176" s="4" t="e">
        <f>VLOOKUP(A1176,Revisión!$A$2:$L$703,7,FALSE)</f>
        <v>#N/A</v>
      </c>
      <c r="J1176" s="4" t="e">
        <f>VLOOKUP(A1176,Revisión!$A$2:$L$703,8,FALSE)</f>
        <v>#N/A</v>
      </c>
      <c r="K1176" s="4" t="e">
        <f>VLOOKUP(A1176,Revisión!$A$2:$L$703,9,FALSE)</f>
        <v>#N/A</v>
      </c>
      <c r="L1176" s="4" t="e">
        <f>VLOOKUP(A1176,Revisión!$A$2:$L$703,10,FALSE)</f>
        <v>#N/A</v>
      </c>
      <c r="M1176" s="18" t="e">
        <f>VLOOKUP(A1176,Revisión!$A$2:$L$703,11,FALSE)</f>
        <v>#N/A</v>
      </c>
      <c r="N1176" s="30" t="str">
        <f>IF(E1176="Coinciden",D1176,IF(E1176="Revisar",VLOOKUP(A1176,Revisión!$A$2:$L$703,12,FALSE),""))</f>
        <v>Lactuca indica</v>
      </c>
    </row>
    <row r="1177" spans="1:14" x14ac:dyDescent="0.3">
      <c r="A1177" t="s">
        <v>2433</v>
      </c>
      <c r="B1177" t="s">
        <v>2434</v>
      </c>
      <c r="C1177" t="s">
        <v>2434</v>
      </c>
      <c r="D1177" t="s">
        <v>2434</v>
      </c>
      <c r="E1177" t="s">
        <v>18</v>
      </c>
      <c r="F1177" t="s">
        <v>19</v>
      </c>
      <c r="H1177" s="23" t="e">
        <f>VLOOKUP(A1177,Revisión!$A$2:$L$703,6,FALSE)</f>
        <v>#N/A</v>
      </c>
      <c r="I1177" s="4" t="e">
        <f>VLOOKUP(A1177,Revisión!$A$2:$L$703,7,FALSE)</f>
        <v>#N/A</v>
      </c>
      <c r="J1177" s="4" t="e">
        <f>VLOOKUP(A1177,Revisión!$A$2:$L$703,8,FALSE)</f>
        <v>#N/A</v>
      </c>
      <c r="K1177" s="4" t="e">
        <f>VLOOKUP(A1177,Revisión!$A$2:$L$703,9,FALSE)</f>
        <v>#N/A</v>
      </c>
      <c r="L1177" s="4" t="e">
        <f>VLOOKUP(A1177,Revisión!$A$2:$L$703,10,FALSE)</f>
        <v>#N/A</v>
      </c>
      <c r="M1177" s="18" t="e">
        <f>VLOOKUP(A1177,Revisión!$A$2:$L$703,11,FALSE)</f>
        <v>#N/A</v>
      </c>
      <c r="N1177" s="30" t="str">
        <f>IF(E1177="Coinciden",D1177,IF(E1177="Revisar",VLOOKUP(A1177,Revisión!$A$2:$L$703,12,FALSE),""))</f>
        <v>Lactuca floridana</v>
      </c>
    </row>
    <row r="1178" spans="1:14" x14ac:dyDescent="0.3">
      <c r="A1178" t="s">
        <v>2435</v>
      </c>
      <c r="B1178" t="s">
        <v>2436</v>
      </c>
      <c r="C1178" t="s">
        <v>2436</v>
      </c>
      <c r="D1178" t="s">
        <v>2436</v>
      </c>
      <c r="E1178" t="s">
        <v>18</v>
      </c>
      <c r="F1178" t="s">
        <v>19</v>
      </c>
      <c r="H1178" s="23" t="e">
        <f>VLOOKUP(A1178,Revisión!$A$2:$L$703,6,FALSE)</f>
        <v>#N/A</v>
      </c>
      <c r="I1178" s="4" t="e">
        <f>VLOOKUP(A1178,Revisión!$A$2:$L$703,7,FALSE)</f>
        <v>#N/A</v>
      </c>
      <c r="J1178" s="4" t="e">
        <f>VLOOKUP(A1178,Revisión!$A$2:$L$703,8,FALSE)</f>
        <v>#N/A</v>
      </c>
      <c r="K1178" s="4" t="e">
        <f>VLOOKUP(A1178,Revisión!$A$2:$L$703,9,FALSE)</f>
        <v>#N/A</v>
      </c>
      <c r="L1178" s="4" t="e">
        <f>VLOOKUP(A1178,Revisión!$A$2:$L$703,10,FALSE)</f>
        <v>#N/A</v>
      </c>
      <c r="M1178" s="18" t="e">
        <f>VLOOKUP(A1178,Revisión!$A$2:$L$703,11,FALSE)</f>
        <v>#N/A</v>
      </c>
      <c r="N1178" s="30" t="str">
        <f>IF(E1178="Coinciden",D1178,IF(E1178="Revisar",VLOOKUP(A1178,Revisión!$A$2:$L$703,12,FALSE),""))</f>
        <v>Lactuca canadensis</v>
      </c>
    </row>
    <row r="1179" spans="1:14" x14ac:dyDescent="0.3">
      <c r="A1179" t="s">
        <v>2437</v>
      </c>
      <c r="B1179" t="s">
        <v>2438</v>
      </c>
      <c r="C1179" t="s">
        <v>2438</v>
      </c>
      <c r="D1179" t="s">
        <v>2438</v>
      </c>
      <c r="E1179" t="s">
        <v>18</v>
      </c>
      <c r="F1179" t="s">
        <v>19</v>
      </c>
      <c r="H1179" s="23" t="e">
        <f>VLOOKUP(A1179,Revisión!$A$2:$L$703,6,FALSE)</f>
        <v>#N/A</v>
      </c>
      <c r="I1179" s="4" t="e">
        <f>VLOOKUP(A1179,Revisión!$A$2:$L$703,7,FALSE)</f>
        <v>#N/A</v>
      </c>
      <c r="J1179" s="4" t="e">
        <f>VLOOKUP(A1179,Revisión!$A$2:$L$703,8,FALSE)</f>
        <v>#N/A</v>
      </c>
      <c r="K1179" s="4" t="e">
        <f>VLOOKUP(A1179,Revisión!$A$2:$L$703,9,FALSE)</f>
        <v>#N/A</v>
      </c>
      <c r="L1179" s="4" t="e">
        <f>VLOOKUP(A1179,Revisión!$A$2:$L$703,10,FALSE)</f>
        <v>#N/A</v>
      </c>
      <c r="M1179" s="18" t="e">
        <f>VLOOKUP(A1179,Revisión!$A$2:$L$703,11,FALSE)</f>
        <v>#N/A</v>
      </c>
      <c r="N1179" s="30" t="str">
        <f>IF(E1179="Coinciden",D1179,IF(E1179="Revisar",VLOOKUP(A1179,Revisión!$A$2:$L$703,12,FALSE),""))</f>
        <v>Lagerstroemia subcostata</v>
      </c>
    </row>
    <row r="1180" spans="1:14" x14ac:dyDescent="0.3">
      <c r="A1180" t="s">
        <v>2439</v>
      </c>
      <c r="B1180" t="s">
        <v>2440</v>
      </c>
      <c r="C1180" t="s">
        <v>2440</v>
      </c>
      <c r="D1180" t="s">
        <v>2440</v>
      </c>
      <c r="E1180" t="s">
        <v>18</v>
      </c>
      <c r="F1180" t="s">
        <v>19</v>
      </c>
      <c r="H1180" s="23" t="e">
        <f>VLOOKUP(A1180,Revisión!$A$2:$L$703,6,FALSE)</f>
        <v>#N/A</v>
      </c>
      <c r="I1180" s="4" t="e">
        <f>VLOOKUP(A1180,Revisión!$A$2:$L$703,7,FALSE)</f>
        <v>#N/A</v>
      </c>
      <c r="J1180" s="4" t="e">
        <f>VLOOKUP(A1180,Revisión!$A$2:$L$703,8,FALSE)</f>
        <v>#N/A</v>
      </c>
      <c r="K1180" s="4" t="e">
        <f>VLOOKUP(A1180,Revisión!$A$2:$L$703,9,FALSE)</f>
        <v>#N/A</v>
      </c>
      <c r="L1180" s="4" t="e">
        <f>VLOOKUP(A1180,Revisión!$A$2:$L$703,10,FALSE)</f>
        <v>#N/A</v>
      </c>
      <c r="M1180" s="18" t="e">
        <f>VLOOKUP(A1180,Revisión!$A$2:$L$703,11,FALSE)</f>
        <v>#N/A</v>
      </c>
      <c r="N1180" s="30" t="str">
        <f>IF(E1180="Coinciden",D1180,IF(E1180="Revisar",VLOOKUP(A1180,Revisión!$A$2:$L$703,12,FALSE),""))</f>
        <v>Lamium amplexicaule</v>
      </c>
    </row>
    <row r="1181" spans="1:14" x14ac:dyDescent="0.3">
      <c r="A1181" t="s">
        <v>2441</v>
      </c>
      <c r="B1181" t="s">
        <v>2442</v>
      </c>
      <c r="C1181" t="s">
        <v>2442</v>
      </c>
      <c r="D1181" t="s">
        <v>2442</v>
      </c>
      <c r="E1181" t="s">
        <v>18</v>
      </c>
      <c r="F1181" t="s">
        <v>19</v>
      </c>
      <c r="H1181" s="23" t="e">
        <f>VLOOKUP(A1181,Revisión!$A$2:$L$703,6,FALSE)</f>
        <v>#N/A</v>
      </c>
      <c r="I1181" s="4" t="e">
        <f>VLOOKUP(A1181,Revisión!$A$2:$L$703,7,FALSE)</f>
        <v>#N/A</v>
      </c>
      <c r="J1181" s="4" t="e">
        <f>VLOOKUP(A1181,Revisión!$A$2:$L$703,8,FALSE)</f>
        <v>#N/A</v>
      </c>
      <c r="K1181" s="4" t="e">
        <f>VLOOKUP(A1181,Revisión!$A$2:$L$703,9,FALSE)</f>
        <v>#N/A</v>
      </c>
      <c r="L1181" s="4" t="e">
        <f>VLOOKUP(A1181,Revisión!$A$2:$L$703,10,FALSE)</f>
        <v>#N/A</v>
      </c>
      <c r="M1181" s="18" t="e">
        <f>VLOOKUP(A1181,Revisión!$A$2:$L$703,11,FALSE)</f>
        <v>#N/A</v>
      </c>
      <c r="N1181" s="30" t="str">
        <f>IF(E1181="Coinciden",D1181,IF(E1181="Revisar",VLOOKUP(A1181,Revisión!$A$2:$L$703,12,FALSE),""))</f>
        <v>Lantana camara</v>
      </c>
    </row>
    <row r="1182" spans="1:14" x14ac:dyDescent="0.3">
      <c r="A1182" t="s">
        <v>2443</v>
      </c>
      <c r="B1182" t="s">
        <v>2444</v>
      </c>
      <c r="D1182" t="s">
        <v>2444</v>
      </c>
      <c r="E1182" t="s">
        <v>8</v>
      </c>
      <c r="F1182" t="s">
        <v>34</v>
      </c>
      <c r="H1182" s="23" t="str">
        <f>VLOOKUP(A1182,Revisión!$A$2:$L$703,6,FALSE)</f>
        <v>Lantana involucrata</v>
      </c>
      <c r="I1182" s="4" t="str">
        <f>VLOOKUP(A1182,Revisión!$A$2:$L$703,7,FALSE)</f>
        <v>-</v>
      </c>
      <c r="J1182" s="4" t="str">
        <f>VLOOKUP(A1182,Revisión!$A$2:$L$703,8,FALSE)</f>
        <v>Lantana involucrata</v>
      </c>
      <c r="K1182" s="4" t="str">
        <f>VLOOKUP(A1182,Revisión!$A$2:$L$703,9,FALSE)</f>
        <v>Lantana involucrata</v>
      </c>
      <c r="L1182" s="4" t="str">
        <f>VLOOKUP(A1182,Revisión!$A$2:$L$703,10,FALSE)</f>
        <v>Lantana involucrata</v>
      </c>
      <c r="M1182" s="18">
        <f>VLOOKUP(A1182,Revisión!$A$2:$L$703,11,FALSE)</f>
        <v>5</v>
      </c>
      <c r="N1182" s="30" t="str">
        <f>IF(E1182="Coinciden",D1182,IF(E1182="Revisar",VLOOKUP(A1182,Revisión!$A$2:$L$703,12,FALSE),""))</f>
        <v>Lantana involucrata</v>
      </c>
    </row>
    <row r="1183" spans="1:14" x14ac:dyDescent="0.3">
      <c r="A1183" t="s">
        <v>2445</v>
      </c>
      <c r="C1183" t="s">
        <v>2446</v>
      </c>
      <c r="D1183" t="s">
        <v>2446</v>
      </c>
      <c r="E1183" t="s">
        <v>8</v>
      </c>
      <c r="F1183" t="s">
        <v>49</v>
      </c>
      <c r="H1183" s="23" t="str">
        <f>VLOOKUP(A1183,Revisión!$A$2:$L$703,6,FALSE)</f>
        <v>Lantana peduncularis</v>
      </c>
      <c r="I1183" s="4" t="str">
        <f>VLOOKUP(A1183,Revisión!$A$2:$L$703,7,FALSE)</f>
        <v>-</v>
      </c>
      <c r="J1183" s="4" t="str">
        <f>VLOOKUP(A1183,Revisión!$A$2:$L$703,8,FALSE)</f>
        <v>Lantana peduncularis</v>
      </c>
      <c r="K1183" s="4" t="str">
        <f>VLOOKUP(A1183,Revisión!$A$2:$L$703,9,FALSE)</f>
        <v>Lantana peduncularis</v>
      </c>
      <c r="L1183" s="4" t="str">
        <f>VLOOKUP(A1183,Revisión!$A$2:$L$703,10,FALSE)</f>
        <v>Lantana peduncularis</v>
      </c>
      <c r="M1183" s="18">
        <f>VLOOKUP(A1183,Revisión!$A$2:$L$703,11,FALSE)</f>
        <v>4</v>
      </c>
      <c r="N1183" s="30" t="str">
        <f>IF(E1183="Coinciden",D1183,IF(E1183="Revisar",VLOOKUP(A1183,Revisión!$A$2:$L$703,12,FALSE),""))</f>
        <v>Lantana peduncularis</v>
      </c>
    </row>
    <row r="1184" spans="1:14" x14ac:dyDescent="0.3">
      <c r="A1184" t="s">
        <v>2447</v>
      </c>
      <c r="B1184" t="s">
        <v>2448</v>
      </c>
      <c r="C1184" t="s">
        <v>2448</v>
      </c>
      <c r="D1184" t="s">
        <v>2448</v>
      </c>
      <c r="E1184" t="s">
        <v>18</v>
      </c>
      <c r="F1184" t="s">
        <v>19</v>
      </c>
      <c r="H1184" s="23" t="e">
        <f>VLOOKUP(A1184,Revisión!$A$2:$L$703,6,FALSE)</f>
        <v>#N/A</v>
      </c>
      <c r="I1184" s="4" t="e">
        <f>VLOOKUP(A1184,Revisión!$A$2:$L$703,7,FALSE)</f>
        <v>#N/A</v>
      </c>
      <c r="J1184" s="4" t="e">
        <f>VLOOKUP(A1184,Revisión!$A$2:$L$703,8,FALSE)</f>
        <v>#N/A</v>
      </c>
      <c r="K1184" s="4" t="e">
        <f>VLOOKUP(A1184,Revisión!$A$2:$L$703,9,FALSE)</f>
        <v>#N/A</v>
      </c>
      <c r="L1184" s="4" t="e">
        <f>VLOOKUP(A1184,Revisión!$A$2:$L$703,10,FALSE)</f>
        <v>#N/A</v>
      </c>
      <c r="M1184" s="18" t="e">
        <f>VLOOKUP(A1184,Revisión!$A$2:$L$703,11,FALSE)</f>
        <v>#N/A</v>
      </c>
      <c r="N1184" s="30" t="str">
        <f>IF(E1184="Coinciden",D1184,IF(E1184="Revisar",VLOOKUP(A1184,Revisión!$A$2:$L$703,12,FALSE),""))</f>
        <v>Hackelia virginiana</v>
      </c>
    </row>
    <row r="1185" spans="1:14" x14ac:dyDescent="0.3">
      <c r="A1185" t="s">
        <v>2449</v>
      </c>
      <c r="B1185" t="s">
        <v>2450</v>
      </c>
      <c r="C1185" t="s">
        <v>2450</v>
      </c>
      <c r="D1185" t="s">
        <v>2450</v>
      </c>
      <c r="E1185" t="s">
        <v>18</v>
      </c>
      <c r="F1185" t="s">
        <v>19</v>
      </c>
      <c r="H1185" s="23" t="e">
        <f>VLOOKUP(A1185,Revisión!$A$2:$L$703,6,FALSE)</f>
        <v>#N/A</v>
      </c>
      <c r="I1185" s="4" t="e">
        <f>VLOOKUP(A1185,Revisión!$A$2:$L$703,7,FALSE)</f>
        <v>#N/A</v>
      </c>
      <c r="J1185" s="4" t="e">
        <f>VLOOKUP(A1185,Revisión!$A$2:$L$703,8,FALSE)</f>
        <v>#N/A</v>
      </c>
      <c r="K1185" s="4" t="e">
        <f>VLOOKUP(A1185,Revisión!$A$2:$L$703,9,FALSE)</f>
        <v>#N/A</v>
      </c>
      <c r="L1185" s="4" t="e">
        <f>VLOOKUP(A1185,Revisión!$A$2:$L$703,10,FALSE)</f>
        <v>#N/A</v>
      </c>
      <c r="M1185" s="18" t="e">
        <f>VLOOKUP(A1185,Revisión!$A$2:$L$703,11,FALSE)</f>
        <v>#N/A</v>
      </c>
      <c r="N1185" s="30" t="str">
        <f>IF(E1185="Coinciden",D1185,IF(E1185="Revisar",VLOOKUP(A1185,Revisión!$A$2:$L$703,12,FALSE),""))</f>
        <v>Hackelia floribunda</v>
      </c>
    </row>
    <row r="1186" spans="1:14" x14ac:dyDescent="0.3">
      <c r="A1186" t="s">
        <v>2451</v>
      </c>
      <c r="B1186" t="s">
        <v>2452</v>
      </c>
      <c r="C1186" t="s">
        <v>2452</v>
      </c>
      <c r="D1186" t="s">
        <v>2452</v>
      </c>
      <c r="E1186" t="s">
        <v>18</v>
      </c>
      <c r="F1186" t="s">
        <v>19</v>
      </c>
      <c r="H1186" s="23" t="e">
        <f>VLOOKUP(A1186,Revisión!$A$2:$L$703,6,FALSE)</f>
        <v>#N/A</v>
      </c>
      <c r="I1186" s="4" t="e">
        <f>VLOOKUP(A1186,Revisión!$A$2:$L$703,7,FALSE)</f>
        <v>#N/A</v>
      </c>
      <c r="J1186" s="4" t="e">
        <f>VLOOKUP(A1186,Revisión!$A$2:$L$703,8,FALSE)</f>
        <v>#N/A</v>
      </c>
      <c r="K1186" s="4" t="e">
        <f>VLOOKUP(A1186,Revisión!$A$2:$L$703,9,FALSE)</f>
        <v>#N/A</v>
      </c>
      <c r="L1186" s="4" t="e">
        <f>VLOOKUP(A1186,Revisión!$A$2:$L$703,10,FALSE)</f>
        <v>#N/A</v>
      </c>
      <c r="M1186" s="18" t="e">
        <f>VLOOKUP(A1186,Revisión!$A$2:$L$703,11,FALSE)</f>
        <v>#N/A</v>
      </c>
      <c r="N1186" s="30" t="str">
        <f>IF(E1186="Coinciden",D1186,IF(E1186="Revisar",VLOOKUP(A1186,Revisión!$A$2:$L$703,12,FALSE),""))</f>
        <v>Lapsana communis</v>
      </c>
    </row>
    <row r="1187" spans="1:14" x14ac:dyDescent="0.3">
      <c r="A1187" t="s">
        <v>2453</v>
      </c>
      <c r="B1187" t="s">
        <v>2454</v>
      </c>
      <c r="C1187" t="s">
        <v>2454</v>
      </c>
      <c r="D1187" t="s">
        <v>2454</v>
      </c>
      <c r="E1187" t="s">
        <v>18</v>
      </c>
      <c r="F1187" t="s">
        <v>19</v>
      </c>
      <c r="H1187" s="23" t="e">
        <f>VLOOKUP(A1187,Revisión!$A$2:$L$703,6,FALSE)</f>
        <v>#N/A</v>
      </c>
      <c r="I1187" s="4" t="e">
        <f>VLOOKUP(A1187,Revisión!$A$2:$L$703,7,FALSE)</f>
        <v>#N/A</v>
      </c>
      <c r="J1187" s="4" t="e">
        <f>VLOOKUP(A1187,Revisión!$A$2:$L$703,8,FALSE)</f>
        <v>#N/A</v>
      </c>
      <c r="K1187" s="4" t="e">
        <f>VLOOKUP(A1187,Revisión!$A$2:$L$703,9,FALSE)</f>
        <v>#N/A</v>
      </c>
      <c r="L1187" s="4" t="e">
        <f>VLOOKUP(A1187,Revisión!$A$2:$L$703,10,FALSE)</f>
        <v>#N/A</v>
      </c>
      <c r="M1187" s="18" t="e">
        <f>VLOOKUP(A1187,Revisión!$A$2:$L$703,11,FALSE)</f>
        <v>#N/A</v>
      </c>
      <c r="N1187" s="30" t="str">
        <f>IF(E1187="Coinciden",D1187,IF(E1187="Revisar",VLOOKUP(A1187,Revisión!$A$2:$L$703,12,FALSE),""))</f>
        <v>Larrea divaricata</v>
      </c>
    </row>
    <row r="1188" spans="1:14" x14ac:dyDescent="0.3">
      <c r="A1188" t="s">
        <v>2455</v>
      </c>
      <c r="B1188" t="s">
        <v>2456</v>
      </c>
      <c r="C1188" t="s">
        <v>2456</v>
      </c>
      <c r="D1188" t="s">
        <v>2456</v>
      </c>
      <c r="E1188" t="s">
        <v>18</v>
      </c>
      <c r="F1188" t="s">
        <v>19</v>
      </c>
      <c r="H1188" s="23" t="e">
        <f>VLOOKUP(A1188,Revisión!$A$2:$L$703,6,FALSE)</f>
        <v>#N/A</v>
      </c>
      <c r="I1188" s="4" t="e">
        <f>VLOOKUP(A1188,Revisión!$A$2:$L$703,7,FALSE)</f>
        <v>#N/A</v>
      </c>
      <c r="J1188" s="4" t="e">
        <f>VLOOKUP(A1188,Revisión!$A$2:$L$703,8,FALSE)</f>
        <v>#N/A</v>
      </c>
      <c r="K1188" s="4" t="e">
        <f>VLOOKUP(A1188,Revisión!$A$2:$L$703,9,FALSE)</f>
        <v>#N/A</v>
      </c>
      <c r="L1188" s="4" t="e">
        <f>VLOOKUP(A1188,Revisión!$A$2:$L$703,10,FALSE)</f>
        <v>#N/A</v>
      </c>
      <c r="M1188" s="18" t="e">
        <f>VLOOKUP(A1188,Revisión!$A$2:$L$703,11,FALSE)</f>
        <v>#N/A</v>
      </c>
      <c r="N1188" s="30" t="str">
        <f>IF(E1188="Coinciden",D1188,IF(E1188="Revisar",VLOOKUP(A1188,Revisión!$A$2:$L$703,12,FALSE),""))</f>
        <v>Lasianthus japonicus</v>
      </c>
    </row>
    <row r="1189" spans="1:14" x14ac:dyDescent="0.3">
      <c r="A1189" t="s">
        <v>2457</v>
      </c>
      <c r="B1189" t="s">
        <v>2458</v>
      </c>
      <c r="C1189" t="s">
        <v>2458</v>
      </c>
      <c r="D1189" t="s">
        <v>2458</v>
      </c>
      <c r="E1189" t="s">
        <v>18</v>
      </c>
      <c r="F1189" t="s">
        <v>19</v>
      </c>
      <c r="H1189" s="23" t="e">
        <f>VLOOKUP(A1189,Revisión!$A$2:$L$703,6,FALSE)</f>
        <v>#N/A</v>
      </c>
      <c r="I1189" s="4" t="e">
        <f>VLOOKUP(A1189,Revisión!$A$2:$L$703,7,FALSE)</f>
        <v>#N/A</v>
      </c>
      <c r="J1189" s="4" t="e">
        <f>VLOOKUP(A1189,Revisión!$A$2:$L$703,8,FALSE)</f>
        <v>#N/A</v>
      </c>
      <c r="K1189" s="4" t="e">
        <f>VLOOKUP(A1189,Revisión!$A$2:$L$703,9,FALSE)</f>
        <v>#N/A</v>
      </c>
      <c r="L1189" s="4" t="e">
        <f>VLOOKUP(A1189,Revisión!$A$2:$L$703,10,FALSE)</f>
        <v>#N/A</v>
      </c>
      <c r="M1189" s="18" t="e">
        <f>VLOOKUP(A1189,Revisión!$A$2:$L$703,11,FALSE)</f>
        <v>#N/A</v>
      </c>
      <c r="N1189" s="30" t="str">
        <f>IF(E1189="Coinciden",D1189,IF(E1189="Revisar",VLOOKUP(A1189,Revisión!$A$2:$L$703,12,FALSE),""))</f>
        <v>Lathyrus subandinus</v>
      </c>
    </row>
    <row r="1190" spans="1:14" x14ac:dyDescent="0.3">
      <c r="A1190" t="s">
        <v>2459</v>
      </c>
      <c r="B1190" t="s">
        <v>2460</v>
      </c>
      <c r="D1190" t="s">
        <v>2460</v>
      </c>
      <c r="E1190" t="s">
        <v>8</v>
      </c>
      <c r="F1190" t="s">
        <v>34</v>
      </c>
      <c r="H1190" s="23" t="str">
        <f>VLOOKUP(A1190,Revisión!$A$2:$L$703,6,FALSE)</f>
        <v>Lathyrus cicera</v>
      </c>
      <c r="I1190" s="4" t="str">
        <f>VLOOKUP(A1190,Revisión!$A$2:$L$703,7,FALSE)</f>
        <v>-</v>
      </c>
      <c r="J1190" s="4" t="str">
        <f>VLOOKUP(A1190,Revisión!$A$2:$L$703,8,FALSE)</f>
        <v>Lathyrus cicera</v>
      </c>
      <c r="K1190" s="4" t="str">
        <f>VLOOKUP(A1190,Revisión!$A$2:$L$703,9,FALSE)</f>
        <v>Lathyrus cicera</v>
      </c>
      <c r="L1190" s="4" t="str">
        <f>VLOOKUP(A1190,Revisión!$A$2:$L$703,10,FALSE)</f>
        <v>Lathyrus cicera</v>
      </c>
      <c r="M1190" s="18">
        <f>VLOOKUP(A1190,Revisión!$A$2:$L$703,11,FALSE)</f>
        <v>5</v>
      </c>
      <c r="N1190" s="30" t="str">
        <f>IF(E1190="Coinciden",D1190,IF(E1190="Revisar",VLOOKUP(A1190,Revisión!$A$2:$L$703,12,FALSE),""))</f>
        <v>Lathyrus cicera</v>
      </c>
    </row>
    <row r="1191" spans="1:14" x14ac:dyDescent="0.3">
      <c r="A1191" t="s">
        <v>2461</v>
      </c>
      <c r="B1191" t="s">
        <v>2462</v>
      </c>
      <c r="D1191" t="s">
        <v>2462</v>
      </c>
      <c r="E1191" t="s">
        <v>8</v>
      </c>
      <c r="F1191" t="s">
        <v>34</v>
      </c>
      <c r="H1191" s="23" t="str">
        <f>VLOOKUP(A1191,Revisión!$A$2:$L$703,6,FALSE)</f>
        <v>Lathyrus nervosus</v>
      </c>
      <c r="I1191" s="4" t="str">
        <f>VLOOKUP(A1191,Revisión!$A$2:$L$703,7,FALSE)</f>
        <v>-</v>
      </c>
      <c r="J1191" s="4" t="str">
        <f>VLOOKUP(A1191,Revisión!$A$2:$L$703,8,FALSE)</f>
        <v>Lathyrus nervosus</v>
      </c>
      <c r="K1191" s="4" t="str">
        <f>VLOOKUP(A1191,Revisión!$A$2:$L$703,9,FALSE)</f>
        <v>Lathyrus nervosus</v>
      </c>
      <c r="L1191" s="4" t="str">
        <f>VLOOKUP(A1191,Revisión!$A$2:$L$703,10,FALSE)</f>
        <v>Lathyrus nervosus</v>
      </c>
      <c r="M1191" s="18">
        <f>VLOOKUP(A1191,Revisión!$A$2:$L$703,11,FALSE)</f>
        <v>4</v>
      </c>
      <c r="N1191" s="30" t="str">
        <f>IF(E1191="Coinciden",D1191,IF(E1191="Revisar",VLOOKUP(A1191,Revisión!$A$2:$L$703,12,FALSE),""))</f>
        <v>Lathyrus nervosus</v>
      </c>
    </row>
    <row r="1192" spans="1:14" x14ac:dyDescent="0.3">
      <c r="A1192" t="s">
        <v>2463</v>
      </c>
      <c r="C1192" t="s">
        <v>2464</v>
      </c>
      <c r="D1192" t="s">
        <v>2464</v>
      </c>
      <c r="E1192" t="s">
        <v>8</v>
      </c>
      <c r="F1192" t="s">
        <v>49</v>
      </c>
      <c r="H1192" s="23" t="str">
        <f>VLOOKUP(A1192,Revisión!$A$2:$L$703,6,FALSE)</f>
        <v>Lathyrus linifolius</v>
      </c>
      <c r="I1192" s="4" t="str">
        <f>VLOOKUP(A1192,Revisión!$A$2:$L$703,7,FALSE)</f>
        <v>-</v>
      </c>
      <c r="J1192" s="4" t="str">
        <f>VLOOKUP(A1192,Revisión!$A$2:$L$703,8,FALSE)</f>
        <v>Lathyrus linifolius</v>
      </c>
      <c r="K1192" s="4" t="str">
        <f>VLOOKUP(A1192,Revisión!$A$2:$L$703,9,FALSE)</f>
        <v>Lathyrus linifolius</v>
      </c>
      <c r="L1192" s="4" t="str">
        <f>VLOOKUP(A1192,Revisión!$A$2:$L$703,10,FALSE)</f>
        <v>Lathyrus linifolius</v>
      </c>
      <c r="M1192" s="18">
        <f>VLOOKUP(A1192,Revisión!$A$2:$L$703,11,FALSE)</f>
        <v>5</v>
      </c>
      <c r="N1192" s="30" t="str">
        <f>IF(E1192="Coinciden",D1192,IF(E1192="Revisar",VLOOKUP(A1192,Revisión!$A$2:$L$703,12,FALSE),""))</f>
        <v>Lathyrus linifolius</v>
      </c>
    </row>
    <row r="1193" spans="1:14" x14ac:dyDescent="0.3">
      <c r="A1193" t="s">
        <v>2465</v>
      </c>
      <c r="E1193" t="s">
        <v>8</v>
      </c>
      <c r="F1193" t="s">
        <v>11</v>
      </c>
      <c r="H1193" s="23" t="e">
        <f>VLOOKUP(A1193,Revisión!$A$2:$L$703,6,FALSE)</f>
        <v>#N/A</v>
      </c>
      <c r="I1193" s="4" t="e">
        <f>VLOOKUP(A1193,Revisión!$A$2:$L$703,7,FALSE)</f>
        <v>#N/A</v>
      </c>
      <c r="J1193" s="4" t="e">
        <f>VLOOKUP(A1193,Revisión!$A$2:$L$703,8,FALSE)</f>
        <v>#N/A</v>
      </c>
      <c r="K1193" s="4" t="e">
        <f>VLOOKUP(A1193,Revisión!$A$2:$L$703,9,FALSE)</f>
        <v>#N/A</v>
      </c>
      <c r="L1193" s="4" t="e">
        <f>VLOOKUP(A1193,Revisión!$A$2:$L$703,10,FALSE)</f>
        <v>#N/A</v>
      </c>
      <c r="M1193" s="18" t="e">
        <f>VLOOKUP(A1193,Revisión!$A$2:$L$703,11,FALSE)</f>
        <v>#N/A</v>
      </c>
      <c r="N1193" s="30" t="e">
        <f>IF(E1193="Coinciden",D1193,IF(E1193="Revisar",VLOOKUP(A1193,Revisión!$A$2:$L$703,12,FALSE),""))</f>
        <v>#N/A</v>
      </c>
    </row>
    <row r="1194" spans="1:14" x14ac:dyDescent="0.3">
      <c r="A1194" t="s">
        <v>2466</v>
      </c>
      <c r="B1194" t="s">
        <v>2467</v>
      </c>
      <c r="C1194" t="s">
        <v>2467</v>
      </c>
      <c r="D1194" t="s">
        <v>2467</v>
      </c>
      <c r="E1194" t="s">
        <v>18</v>
      </c>
      <c r="F1194" t="s">
        <v>19</v>
      </c>
      <c r="H1194" s="23" t="e">
        <f>VLOOKUP(A1194,Revisión!$A$2:$L$703,6,FALSE)</f>
        <v>#N/A</v>
      </c>
      <c r="I1194" s="4" t="e">
        <f>VLOOKUP(A1194,Revisión!$A$2:$L$703,7,FALSE)</f>
        <v>#N/A</v>
      </c>
      <c r="J1194" s="4" t="e">
        <f>VLOOKUP(A1194,Revisión!$A$2:$L$703,8,FALSE)</f>
        <v>#N/A</v>
      </c>
      <c r="K1194" s="4" t="e">
        <f>VLOOKUP(A1194,Revisión!$A$2:$L$703,9,FALSE)</f>
        <v>#N/A</v>
      </c>
      <c r="L1194" s="4" t="e">
        <f>VLOOKUP(A1194,Revisión!$A$2:$L$703,10,FALSE)</f>
        <v>#N/A</v>
      </c>
      <c r="M1194" s="18" t="e">
        <f>VLOOKUP(A1194,Revisión!$A$2:$L$703,11,FALSE)</f>
        <v>#N/A</v>
      </c>
      <c r="N1194" s="30" t="str">
        <f>IF(E1194="Coinciden",D1194,IF(E1194="Revisar",VLOOKUP(A1194,Revisión!$A$2:$L$703,12,FALSE),""))</f>
        <v>Lathyrus clymenum</v>
      </c>
    </row>
    <row r="1195" spans="1:14" x14ac:dyDescent="0.3">
      <c r="A1195" t="s">
        <v>2468</v>
      </c>
      <c r="B1195" t="s">
        <v>2469</v>
      </c>
      <c r="C1195" t="s">
        <v>2469</v>
      </c>
      <c r="D1195" t="s">
        <v>2469</v>
      </c>
      <c r="E1195" t="s">
        <v>18</v>
      </c>
      <c r="F1195" t="s">
        <v>19</v>
      </c>
      <c r="H1195" s="23" t="e">
        <f>VLOOKUP(A1195,Revisión!$A$2:$L$703,6,FALSE)</f>
        <v>#N/A</v>
      </c>
      <c r="I1195" s="4" t="e">
        <f>VLOOKUP(A1195,Revisión!$A$2:$L$703,7,FALSE)</f>
        <v>#N/A</v>
      </c>
      <c r="J1195" s="4" t="e">
        <f>VLOOKUP(A1195,Revisión!$A$2:$L$703,8,FALSE)</f>
        <v>#N/A</v>
      </c>
      <c r="K1195" s="4" t="e">
        <f>VLOOKUP(A1195,Revisión!$A$2:$L$703,9,FALSE)</f>
        <v>#N/A</v>
      </c>
      <c r="L1195" s="4" t="e">
        <f>VLOOKUP(A1195,Revisión!$A$2:$L$703,10,FALSE)</f>
        <v>#N/A</v>
      </c>
      <c r="M1195" s="18" t="e">
        <f>VLOOKUP(A1195,Revisión!$A$2:$L$703,11,FALSE)</f>
        <v>#N/A</v>
      </c>
      <c r="N1195" s="30" t="str">
        <f>IF(E1195="Coinciden",D1195,IF(E1195="Revisar",VLOOKUP(A1195,Revisión!$A$2:$L$703,12,FALSE),""))</f>
        <v>Lathyrus crassipes</v>
      </c>
    </row>
    <row r="1196" spans="1:14" x14ac:dyDescent="0.3">
      <c r="A1196" t="s">
        <v>2470</v>
      </c>
      <c r="B1196" t="s">
        <v>2471</v>
      </c>
      <c r="D1196" t="s">
        <v>2471</v>
      </c>
      <c r="E1196" t="s">
        <v>8</v>
      </c>
      <c r="F1196" t="s">
        <v>34</v>
      </c>
      <c r="H1196" s="23" t="str">
        <f>VLOOKUP(A1196,Revisión!$A$2:$L$703,6,FALSE)</f>
        <v>Lathyrus pubescens</v>
      </c>
      <c r="I1196" s="4" t="str">
        <f>VLOOKUP(A1196,Revisión!$A$2:$L$703,7,FALSE)</f>
        <v>-</v>
      </c>
      <c r="J1196" s="4" t="str">
        <f>VLOOKUP(A1196,Revisión!$A$2:$L$703,8,FALSE)</f>
        <v>Lathyrus pubescens</v>
      </c>
      <c r="K1196" s="4" t="str">
        <f>VLOOKUP(A1196,Revisión!$A$2:$L$703,9,FALSE)</f>
        <v>Lathyrus pubescens</v>
      </c>
      <c r="L1196" s="4" t="str">
        <f>VLOOKUP(A1196,Revisión!$A$2:$L$703,10,FALSE)</f>
        <v>Lathyrus pubescens</v>
      </c>
      <c r="M1196" s="18">
        <f>VLOOKUP(A1196,Revisión!$A$2:$L$703,11,FALSE)</f>
        <v>4</v>
      </c>
      <c r="N1196" s="30" t="str">
        <f>IF(E1196="Coinciden",D1196,IF(E1196="Revisar",VLOOKUP(A1196,Revisión!$A$2:$L$703,12,FALSE),""))</f>
        <v>Lathyrus pubescens</v>
      </c>
    </row>
    <row r="1197" spans="1:14" x14ac:dyDescent="0.3">
      <c r="A1197" t="s">
        <v>2472</v>
      </c>
      <c r="B1197" t="s">
        <v>2473</v>
      </c>
      <c r="C1197" t="s">
        <v>2473</v>
      </c>
      <c r="D1197" t="s">
        <v>2473</v>
      </c>
      <c r="E1197" t="s">
        <v>18</v>
      </c>
      <c r="F1197" t="s">
        <v>19</v>
      </c>
      <c r="H1197" s="23" t="e">
        <f>VLOOKUP(A1197,Revisión!$A$2:$L$703,6,FALSE)</f>
        <v>#N/A</v>
      </c>
      <c r="I1197" s="4" t="e">
        <f>VLOOKUP(A1197,Revisión!$A$2:$L$703,7,FALSE)</f>
        <v>#N/A</v>
      </c>
      <c r="J1197" s="4" t="e">
        <f>VLOOKUP(A1197,Revisión!$A$2:$L$703,8,FALSE)</f>
        <v>#N/A</v>
      </c>
      <c r="K1197" s="4" t="e">
        <f>VLOOKUP(A1197,Revisión!$A$2:$L$703,9,FALSE)</f>
        <v>#N/A</v>
      </c>
      <c r="L1197" s="4" t="e">
        <f>VLOOKUP(A1197,Revisión!$A$2:$L$703,10,FALSE)</f>
        <v>#N/A</v>
      </c>
      <c r="M1197" s="18" t="e">
        <f>VLOOKUP(A1197,Revisión!$A$2:$L$703,11,FALSE)</f>
        <v>#N/A</v>
      </c>
      <c r="N1197" s="30" t="str">
        <f>IF(E1197="Coinciden",D1197,IF(E1197="Revisar",VLOOKUP(A1197,Revisión!$A$2:$L$703,12,FALSE),""))</f>
        <v>Lathyrus pratensis</v>
      </c>
    </row>
    <row r="1198" spans="1:14" x14ac:dyDescent="0.3">
      <c r="A1198" t="s">
        <v>2474</v>
      </c>
      <c r="B1198" t="s">
        <v>2475</v>
      </c>
      <c r="C1198" t="s">
        <v>2475</v>
      </c>
      <c r="D1198" t="s">
        <v>2476</v>
      </c>
      <c r="E1198" t="s">
        <v>8</v>
      </c>
      <c r="F1198" t="s">
        <v>15</v>
      </c>
      <c r="H1198" s="23" t="str">
        <f>VLOOKUP(A1198,Revisión!$A$2:$L$703,6,FALSE)</f>
        <v>Lathyrus decaphyllus var. decaphyllus</v>
      </c>
      <c r="I1198" s="4" t="str">
        <f>VLOOKUP(A1198,Revisión!$A$2:$L$703,7,FALSE)</f>
        <v>-</v>
      </c>
      <c r="J1198" s="4" t="str">
        <f>VLOOKUP(A1198,Revisión!$A$2:$L$703,8,FALSE)</f>
        <v>Lathyrus decaphyllus var. decaphyllus</v>
      </c>
      <c r="K1198" s="4" t="str">
        <f>VLOOKUP(A1198,Revisión!$A$2:$L$703,9,FALSE)</f>
        <v xml:space="preserve">Lathyrus decaphyllus </v>
      </c>
      <c r="L1198" s="4" t="str">
        <f>VLOOKUP(A1198,Revisión!$A$2:$L$703,10,FALSE)</f>
        <v>Lathyrus decaphyllus</v>
      </c>
      <c r="M1198" s="18">
        <f>VLOOKUP(A1198,Revisión!$A$2:$L$703,11,FALSE)</f>
        <v>4</v>
      </c>
      <c r="N1198" s="30" t="str">
        <f>IF(E1198="Coinciden",D1198,IF(E1198="Revisar",VLOOKUP(A1198,Revisión!$A$2:$L$703,12,FALSE),""))</f>
        <v>Lathyrus decaphyllus</v>
      </c>
    </row>
    <row r="1199" spans="1:14" x14ac:dyDescent="0.3">
      <c r="A1199" t="s">
        <v>2477</v>
      </c>
      <c r="B1199" t="s">
        <v>2478</v>
      </c>
      <c r="C1199" t="s">
        <v>2478</v>
      </c>
      <c r="D1199" t="s">
        <v>2478</v>
      </c>
      <c r="E1199" t="s">
        <v>18</v>
      </c>
      <c r="F1199" t="s">
        <v>19</v>
      </c>
      <c r="H1199" s="23" t="e">
        <f>VLOOKUP(A1199,Revisión!$A$2:$L$703,6,FALSE)</f>
        <v>#N/A</v>
      </c>
      <c r="I1199" s="4" t="e">
        <f>VLOOKUP(A1199,Revisión!$A$2:$L$703,7,FALSE)</f>
        <v>#N/A</v>
      </c>
      <c r="J1199" s="4" t="e">
        <f>VLOOKUP(A1199,Revisión!$A$2:$L$703,8,FALSE)</f>
        <v>#N/A</v>
      </c>
      <c r="K1199" s="4" t="e">
        <f>VLOOKUP(A1199,Revisión!$A$2:$L$703,9,FALSE)</f>
        <v>#N/A</v>
      </c>
      <c r="L1199" s="4" t="e">
        <f>VLOOKUP(A1199,Revisión!$A$2:$L$703,10,FALSE)</f>
        <v>#N/A</v>
      </c>
      <c r="M1199" s="18" t="e">
        <f>VLOOKUP(A1199,Revisión!$A$2:$L$703,11,FALSE)</f>
        <v>#N/A</v>
      </c>
      <c r="N1199" s="30" t="str">
        <f>IF(E1199="Coinciden",D1199,IF(E1199="Revisar",VLOOKUP(A1199,Revisión!$A$2:$L$703,12,FALSE),""))</f>
        <v>Laurus azorica</v>
      </c>
    </row>
    <row r="1200" spans="1:14" x14ac:dyDescent="0.3">
      <c r="A1200" t="s">
        <v>2479</v>
      </c>
      <c r="B1200" t="s">
        <v>2480</v>
      </c>
      <c r="C1200" t="s">
        <v>2480</v>
      </c>
      <c r="D1200" t="s">
        <v>2480</v>
      </c>
      <c r="E1200" t="s">
        <v>18</v>
      </c>
      <c r="F1200" t="s">
        <v>19</v>
      </c>
      <c r="H1200" s="23" t="e">
        <f>VLOOKUP(A1200,Revisión!$A$2:$L$703,6,FALSE)</f>
        <v>#N/A</v>
      </c>
      <c r="I1200" s="4" t="e">
        <f>VLOOKUP(A1200,Revisión!$A$2:$L$703,7,FALSE)</f>
        <v>#N/A</v>
      </c>
      <c r="J1200" s="4" t="e">
        <f>VLOOKUP(A1200,Revisión!$A$2:$L$703,8,FALSE)</f>
        <v>#N/A</v>
      </c>
      <c r="K1200" s="4" t="e">
        <f>VLOOKUP(A1200,Revisión!$A$2:$L$703,9,FALSE)</f>
        <v>#N/A</v>
      </c>
      <c r="L1200" s="4" t="e">
        <f>VLOOKUP(A1200,Revisión!$A$2:$L$703,10,FALSE)</f>
        <v>#N/A</v>
      </c>
      <c r="M1200" s="18" t="e">
        <f>VLOOKUP(A1200,Revisión!$A$2:$L$703,11,FALSE)</f>
        <v>#N/A</v>
      </c>
      <c r="N1200" s="30" t="str">
        <f>IF(E1200="Coinciden",D1200,IF(E1200="Revisar",VLOOKUP(A1200,Revisión!$A$2:$L$703,12,FALSE),""))</f>
        <v>Lavandula buchii</v>
      </c>
    </row>
    <row r="1201" spans="1:14" x14ac:dyDescent="0.3">
      <c r="A1201" t="s">
        <v>2481</v>
      </c>
      <c r="B1201" t="s">
        <v>2482</v>
      </c>
      <c r="C1201" t="s">
        <v>2482</v>
      </c>
      <c r="D1201" t="s">
        <v>2482</v>
      </c>
      <c r="E1201" t="s">
        <v>18</v>
      </c>
      <c r="F1201" t="s">
        <v>19</v>
      </c>
      <c r="H1201" s="23" t="e">
        <f>VLOOKUP(A1201,Revisión!$A$2:$L$703,6,FALSE)</f>
        <v>#N/A</v>
      </c>
      <c r="I1201" s="4" t="e">
        <f>VLOOKUP(A1201,Revisión!$A$2:$L$703,7,FALSE)</f>
        <v>#N/A</v>
      </c>
      <c r="J1201" s="4" t="e">
        <f>VLOOKUP(A1201,Revisión!$A$2:$L$703,8,FALSE)</f>
        <v>#N/A</v>
      </c>
      <c r="K1201" s="4" t="e">
        <f>VLOOKUP(A1201,Revisión!$A$2:$L$703,9,FALSE)</f>
        <v>#N/A</v>
      </c>
      <c r="L1201" s="4" t="e">
        <f>VLOOKUP(A1201,Revisión!$A$2:$L$703,10,FALSE)</f>
        <v>#N/A</v>
      </c>
      <c r="M1201" s="18" t="e">
        <f>VLOOKUP(A1201,Revisión!$A$2:$L$703,11,FALSE)</f>
        <v>#N/A</v>
      </c>
      <c r="N1201" s="30" t="str">
        <f>IF(E1201="Coinciden",D1201,IF(E1201="Revisar",VLOOKUP(A1201,Revisión!$A$2:$L$703,12,FALSE),""))</f>
        <v>Lavandula stoechas</v>
      </c>
    </row>
    <row r="1202" spans="1:14" x14ac:dyDescent="0.3">
      <c r="A1202" t="s">
        <v>2483</v>
      </c>
      <c r="B1202" t="s">
        <v>2484</v>
      </c>
      <c r="C1202" t="s">
        <v>2484</v>
      </c>
      <c r="D1202" t="s">
        <v>2484</v>
      </c>
      <c r="E1202" t="s">
        <v>18</v>
      </c>
      <c r="F1202" t="s">
        <v>19</v>
      </c>
      <c r="H1202" s="23" t="e">
        <f>VLOOKUP(A1202,Revisión!$A$2:$L$703,6,FALSE)</f>
        <v>#N/A</v>
      </c>
      <c r="I1202" s="4" t="e">
        <f>VLOOKUP(A1202,Revisión!$A$2:$L$703,7,FALSE)</f>
        <v>#N/A</v>
      </c>
      <c r="J1202" s="4" t="e">
        <f>VLOOKUP(A1202,Revisión!$A$2:$L$703,8,FALSE)</f>
        <v>#N/A</v>
      </c>
      <c r="K1202" s="4" t="e">
        <f>VLOOKUP(A1202,Revisión!$A$2:$L$703,9,FALSE)</f>
        <v>#N/A</v>
      </c>
      <c r="L1202" s="4" t="e">
        <f>VLOOKUP(A1202,Revisión!$A$2:$L$703,10,FALSE)</f>
        <v>#N/A</v>
      </c>
      <c r="M1202" s="18" t="e">
        <f>VLOOKUP(A1202,Revisión!$A$2:$L$703,11,FALSE)</f>
        <v>#N/A</v>
      </c>
      <c r="N1202" s="30" t="str">
        <f>IF(E1202="Coinciden",D1202,IF(E1202="Revisar",VLOOKUP(A1202,Revisión!$A$2:$L$703,12,FALSE),""))</f>
        <v>Lecanophora heterophylla</v>
      </c>
    </row>
    <row r="1203" spans="1:14" x14ac:dyDescent="0.3">
      <c r="A1203" t="s">
        <v>2485</v>
      </c>
      <c r="B1203" t="s">
        <v>2486</v>
      </c>
      <c r="C1203" t="s">
        <v>2486</v>
      </c>
      <c r="D1203" t="s">
        <v>2486</v>
      </c>
      <c r="E1203" t="s">
        <v>18</v>
      </c>
      <c r="F1203" t="s">
        <v>19</v>
      </c>
      <c r="H1203" s="23" t="e">
        <f>VLOOKUP(A1203,Revisión!$A$2:$L$703,6,FALSE)</f>
        <v>#N/A</v>
      </c>
      <c r="I1203" s="4" t="e">
        <f>VLOOKUP(A1203,Revisión!$A$2:$L$703,7,FALSE)</f>
        <v>#N/A</v>
      </c>
      <c r="J1203" s="4" t="e">
        <f>VLOOKUP(A1203,Revisión!$A$2:$L$703,8,FALSE)</f>
        <v>#N/A</v>
      </c>
      <c r="K1203" s="4" t="e">
        <f>VLOOKUP(A1203,Revisión!$A$2:$L$703,9,FALSE)</f>
        <v>#N/A</v>
      </c>
      <c r="L1203" s="4" t="e">
        <f>VLOOKUP(A1203,Revisión!$A$2:$L$703,10,FALSE)</f>
        <v>#N/A</v>
      </c>
      <c r="M1203" s="18" t="e">
        <f>VLOOKUP(A1203,Revisión!$A$2:$L$703,11,FALSE)</f>
        <v>#N/A</v>
      </c>
      <c r="N1203" s="30" t="str">
        <f>IF(E1203="Coinciden",D1203,IF(E1203="Revisar",VLOOKUP(A1203,Revisión!$A$2:$L$703,12,FALSE),""))</f>
        <v>Rhododendron groenlandicum</v>
      </c>
    </row>
    <row r="1204" spans="1:14" x14ac:dyDescent="0.3">
      <c r="A1204" t="s">
        <v>2487</v>
      </c>
      <c r="C1204" t="s">
        <v>2488</v>
      </c>
      <c r="D1204" t="s">
        <v>2488</v>
      </c>
      <c r="E1204" t="s">
        <v>8</v>
      </c>
      <c r="F1204" t="s">
        <v>49</v>
      </c>
      <c r="H1204" s="23" t="str">
        <f>VLOOKUP(A1204,Revisión!$A$2:$L$703,6,FALSE)</f>
        <v>Leersia japonica</v>
      </c>
      <c r="I1204" s="4" t="str">
        <f>VLOOKUP(A1204,Revisión!$A$2:$L$703,7,FALSE)</f>
        <v>-</v>
      </c>
      <c r="J1204" s="4" t="str">
        <f>VLOOKUP(A1204,Revisión!$A$2:$L$703,8,FALSE)</f>
        <v>Leersia japonica</v>
      </c>
      <c r="K1204" s="4" t="str">
        <f>VLOOKUP(A1204,Revisión!$A$2:$L$703,9,FALSE)</f>
        <v>Leersia japonica</v>
      </c>
      <c r="L1204" s="4" t="str">
        <f>VLOOKUP(A1204,Revisión!$A$2:$L$703,10,FALSE)</f>
        <v>Leersia japonica</v>
      </c>
      <c r="M1204" s="18">
        <f>VLOOKUP(A1204,Revisión!$A$2:$L$703,11,FALSE)</f>
        <v>5</v>
      </c>
      <c r="N1204" s="30" t="str">
        <f>IF(E1204="Coinciden",D1204,IF(E1204="Revisar",VLOOKUP(A1204,Revisión!$A$2:$L$703,12,FALSE),""))</f>
        <v>Leersia japonica</v>
      </c>
    </row>
    <row r="1205" spans="1:14" x14ac:dyDescent="0.3">
      <c r="A1205" t="s">
        <v>2489</v>
      </c>
      <c r="D1205" t="s">
        <v>2490</v>
      </c>
      <c r="E1205" t="s">
        <v>8</v>
      </c>
      <c r="F1205" t="s">
        <v>9</v>
      </c>
      <c r="H1205" s="23" t="str">
        <f>VLOOKUP(A1205,Revisión!$A$2:$L$703,6,FALSE)</f>
        <v>Leontodon saxatilis</v>
      </c>
      <c r="I1205" s="4" t="str">
        <f>VLOOKUP(A1205,Revisión!$A$2:$L$703,7,FALSE)</f>
        <v>-</v>
      </c>
      <c r="J1205" s="4" t="str">
        <f>VLOOKUP(A1205,Revisión!$A$2:$L$703,8,FALSE)</f>
        <v>Leontodon saxatilis</v>
      </c>
      <c r="K1205" s="4" t="str">
        <f>VLOOKUP(A1205,Revisión!$A$2:$L$703,9,FALSE)</f>
        <v>Leontodon saxatilis</v>
      </c>
      <c r="L1205" s="4" t="str">
        <f>VLOOKUP(A1205,Revisión!$A$2:$L$703,10,FALSE)</f>
        <v>Leontodon saxatilis</v>
      </c>
      <c r="M1205" s="18">
        <f>VLOOKUP(A1205,Revisión!$A$2:$L$703,11,FALSE)</f>
        <v>4</v>
      </c>
      <c r="N1205" s="30" t="str">
        <f>IF(E1205="Coinciden",D1205,IF(E1205="Revisar",VLOOKUP(A1205,Revisión!$A$2:$L$703,12,FALSE),""))</f>
        <v>Leontodon saxatilis</v>
      </c>
    </row>
    <row r="1206" spans="1:14" x14ac:dyDescent="0.3">
      <c r="A1206" t="s">
        <v>2491</v>
      </c>
      <c r="B1206" t="s">
        <v>2492</v>
      </c>
      <c r="C1206" t="s">
        <v>2493</v>
      </c>
      <c r="D1206" t="s">
        <v>2494</v>
      </c>
      <c r="E1206" t="s">
        <v>8</v>
      </c>
      <c r="F1206" t="s">
        <v>295</v>
      </c>
      <c r="H1206" s="23" t="str">
        <f>VLOOKUP(A1206,Revisión!$A$2:$L$703,6,FALSE)</f>
        <v>Leontodon saxatilis subsp. saxatilis</v>
      </c>
      <c r="I1206" s="4" t="str">
        <f>VLOOKUP(A1206,Revisión!$A$2:$L$703,7,FALSE)</f>
        <v>-</v>
      </c>
      <c r="J1206" s="4" t="str">
        <f>VLOOKUP(A1206,Revisión!$A$2:$L$703,8,FALSE)</f>
        <v>Leontodon saxatilis subsp. saxatilis</v>
      </c>
      <c r="K1206" s="4" t="str">
        <f>VLOOKUP(A1206,Revisión!$A$2:$L$703,9,FALSE)</f>
        <v>Leontodon saxatilis subsp. saxatilis</v>
      </c>
      <c r="L1206" s="4" t="str">
        <f>VLOOKUP(A1206,Revisión!$A$2:$L$703,10,FALSE)</f>
        <v>Leontodon saxatilis subsp. saxatilis</v>
      </c>
      <c r="M1206" s="18">
        <f>VLOOKUP(A1206,Revisión!$A$2:$L$703,11,FALSE)</f>
        <v>5</v>
      </c>
      <c r="N1206" s="30" t="str">
        <f>IF(E1206="Coinciden",D1206,IF(E1206="Revisar",VLOOKUP(A1206,Revisión!$A$2:$L$703,12,FALSE),""))</f>
        <v>Leontodon saxatilis subsp. saxatilis</v>
      </c>
    </row>
    <row r="1207" spans="1:14" x14ac:dyDescent="0.3">
      <c r="A1207" t="s">
        <v>2495</v>
      </c>
      <c r="B1207" t="s">
        <v>2496</v>
      </c>
      <c r="D1207" t="s">
        <v>2496</v>
      </c>
      <c r="E1207" t="s">
        <v>8</v>
      </c>
      <c r="F1207" t="s">
        <v>34</v>
      </c>
      <c r="H1207" s="23" t="str">
        <f>VLOOKUP(A1207,Revisión!$A$2:$L$703,6,FALSE)</f>
        <v>Leontodon hispidus</v>
      </c>
      <c r="I1207" s="4" t="str">
        <f>VLOOKUP(A1207,Revisión!$A$2:$L$703,7,FALSE)</f>
        <v>-</v>
      </c>
      <c r="J1207" s="4" t="str">
        <f>VLOOKUP(A1207,Revisión!$A$2:$L$703,8,FALSE)</f>
        <v>Leontodon hispidus</v>
      </c>
      <c r="K1207" s="4" t="str">
        <f>VLOOKUP(A1207,Revisión!$A$2:$L$703,9,FALSE)</f>
        <v>Leontodon hispidus</v>
      </c>
      <c r="L1207" s="4" t="str">
        <f>VLOOKUP(A1207,Revisión!$A$2:$L$703,10,FALSE)</f>
        <v>Leontodon hispidus</v>
      </c>
      <c r="M1207" s="18">
        <f>VLOOKUP(A1207,Revisión!$A$2:$L$703,11,FALSE)</f>
        <v>5</v>
      </c>
      <c r="N1207" s="30" t="str">
        <f>IF(E1207="Coinciden",D1207,IF(E1207="Revisar",VLOOKUP(A1207,Revisión!$A$2:$L$703,12,FALSE),""))</f>
        <v>Leontodon hispidus</v>
      </c>
    </row>
    <row r="1208" spans="1:14" x14ac:dyDescent="0.3">
      <c r="A1208" t="s">
        <v>2497</v>
      </c>
      <c r="B1208" t="s">
        <v>2498</v>
      </c>
      <c r="C1208" t="s">
        <v>2499</v>
      </c>
      <c r="D1208" t="s">
        <v>2499</v>
      </c>
      <c r="E1208" t="s">
        <v>8</v>
      </c>
      <c r="F1208" t="s">
        <v>23</v>
      </c>
      <c r="H1208" s="23" t="str">
        <f>VLOOKUP(A1208,Revisión!$A$2:$L$703,6,FALSE)</f>
        <v>Leontodon autumnalis</v>
      </c>
      <c r="I1208" s="4" t="str">
        <f>VLOOKUP(A1208,Revisión!$A$2:$L$703,7,FALSE)</f>
        <v>-</v>
      </c>
      <c r="J1208" s="4" t="str">
        <f>VLOOKUP(A1208,Revisión!$A$2:$L$703,8,FALSE)</f>
        <v>Scorzoneroides autumnalis</v>
      </c>
      <c r="K1208" s="4" t="str">
        <f>VLOOKUP(A1208,Revisión!$A$2:$L$703,9,FALSE)</f>
        <v>Scorzoneroides autumnalis</v>
      </c>
      <c r="L1208" s="4" t="str">
        <f>VLOOKUP(A1208,Revisión!$A$2:$L$703,10,FALSE)</f>
        <v> Scorzoneroides autumnalis subsp. autumnalis</v>
      </c>
      <c r="M1208" s="18">
        <f>VLOOKUP(A1208,Revisión!$A$2:$L$703,11,FALSE)</f>
        <v>5</v>
      </c>
      <c r="N1208" s="30" t="str">
        <f>IF(E1208="Coinciden",D1208,IF(E1208="Revisar",VLOOKUP(A1208,Revisión!$A$2:$L$703,12,FALSE),""))</f>
        <v>Scorzoneroides autumnalis</v>
      </c>
    </row>
    <row r="1209" spans="1:14" x14ac:dyDescent="0.3">
      <c r="A1209" t="s">
        <v>2500</v>
      </c>
      <c r="B1209" t="s">
        <v>2501</v>
      </c>
      <c r="C1209" t="s">
        <v>2501</v>
      </c>
      <c r="D1209" t="s">
        <v>2501</v>
      </c>
      <c r="E1209" t="s">
        <v>18</v>
      </c>
      <c r="F1209" t="s">
        <v>19</v>
      </c>
      <c r="H1209" s="23" t="e">
        <f>VLOOKUP(A1209,Revisión!$A$2:$L$703,6,FALSE)</f>
        <v>#N/A</v>
      </c>
      <c r="I1209" s="4" t="e">
        <f>VLOOKUP(A1209,Revisión!$A$2:$L$703,7,FALSE)</f>
        <v>#N/A</v>
      </c>
      <c r="J1209" s="4" t="e">
        <f>VLOOKUP(A1209,Revisión!$A$2:$L$703,8,FALSE)</f>
        <v>#N/A</v>
      </c>
      <c r="K1209" s="4" t="e">
        <f>VLOOKUP(A1209,Revisión!$A$2:$L$703,9,FALSE)</f>
        <v>#N/A</v>
      </c>
      <c r="L1209" s="4" t="e">
        <f>VLOOKUP(A1209,Revisión!$A$2:$L$703,10,FALSE)</f>
        <v>#N/A</v>
      </c>
      <c r="M1209" s="18" t="e">
        <f>VLOOKUP(A1209,Revisión!$A$2:$L$703,11,FALSE)</f>
        <v>#N/A</v>
      </c>
      <c r="N1209" s="30" t="str">
        <f>IF(E1209="Coinciden",D1209,IF(E1209="Revisar",VLOOKUP(A1209,Revisión!$A$2:$L$703,12,FALSE),""))</f>
        <v>Leonurus cardiaca</v>
      </c>
    </row>
    <row r="1210" spans="1:14" x14ac:dyDescent="0.3">
      <c r="A1210" t="s">
        <v>2502</v>
      </c>
      <c r="B1210" t="s">
        <v>2503</v>
      </c>
      <c r="C1210" t="s">
        <v>2503</v>
      </c>
      <c r="D1210" t="s">
        <v>2503</v>
      </c>
      <c r="E1210" t="s">
        <v>18</v>
      </c>
      <c r="F1210" t="s">
        <v>19</v>
      </c>
      <c r="H1210" s="23" t="e">
        <f>VLOOKUP(A1210,Revisión!$A$2:$L$703,6,FALSE)</f>
        <v>#N/A</v>
      </c>
      <c r="I1210" s="4" t="e">
        <f>VLOOKUP(A1210,Revisión!$A$2:$L$703,7,FALSE)</f>
        <v>#N/A</v>
      </c>
      <c r="J1210" s="4" t="e">
        <f>VLOOKUP(A1210,Revisión!$A$2:$L$703,8,FALSE)</f>
        <v>#N/A</v>
      </c>
      <c r="K1210" s="4" t="e">
        <f>VLOOKUP(A1210,Revisión!$A$2:$L$703,9,FALSE)</f>
        <v>#N/A</v>
      </c>
      <c r="L1210" s="4" t="e">
        <f>VLOOKUP(A1210,Revisión!$A$2:$L$703,10,FALSE)</f>
        <v>#N/A</v>
      </c>
      <c r="M1210" s="18" t="e">
        <f>VLOOKUP(A1210,Revisión!$A$2:$L$703,11,FALSE)</f>
        <v>#N/A</v>
      </c>
      <c r="N1210" s="30" t="str">
        <f>IF(E1210="Coinciden",D1210,IF(E1210="Revisar",VLOOKUP(A1210,Revisión!$A$2:$L$703,12,FALSE),""))</f>
        <v>Ratibida pinnata</v>
      </c>
    </row>
    <row r="1211" spans="1:14" x14ac:dyDescent="0.3">
      <c r="A1211" t="s">
        <v>2504</v>
      </c>
      <c r="B1211" t="s">
        <v>2505</v>
      </c>
      <c r="C1211" t="s">
        <v>2505</v>
      </c>
      <c r="D1211" t="s">
        <v>2505</v>
      </c>
      <c r="E1211" t="s">
        <v>18</v>
      </c>
      <c r="F1211" t="s">
        <v>19</v>
      </c>
      <c r="H1211" s="23" t="e">
        <f>VLOOKUP(A1211,Revisión!$A$2:$L$703,6,FALSE)</f>
        <v>#N/A</v>
      </c>
      <c r="I1211" s="4" t="e">
        <f>VLOOKUP(A1211,Revisión!$A$2:$L$703,7,FALSE)</f>
        <v>#N/A</v>
      </c>
      <c r="J1211" s="4" t="e">
        <f>VLOOKUP(A1211,Revisión!$A$2:$L$703,8,FALSE)</f>
        <v>#N/A</v>
      </c>
      <c r="K1211" s="4" t="e">
        <f>VLOOKUP(A1211,Revisión!$A$2:$L$703,9,FALSE)</f>
        <v>#N/A</v>
      </c>
      <c r="L1211" s="4" t="e">
        <f>VLOOKUP(A1211,Revisión!$A$2:$L$703,10,FALSE)</f>
        <v>#N/A</v>
      </c>
      <c r="M1211" s="18" t="e">
        <f>VLOOKUP(A1211,Revisión!$A$2:$L$703,11,FALSE)</f>
        <v>#N/A</v>
      </c>
      <c r="N1211" s="30" t="str">
        <f>IF(E1211="Coinciden",D1211,IF(E1211="Revisar",VLOOKUP(A1211,Revisión!$A$2:$L$703,12,FALSE),""))</f>
        <v>Lepidium virginicum</v>
      </c>
    </row>
    <row r="1212" spans="1:14" x14ac:dyDescent="0.3">
      <c r="A1212" t="s">
        <v>2506</v>
      </c>
      <c r="D1212" t="s">
        <v>2507</v>
      </c>
      <c r="E1212" t="s">
        <v>8</v>
      </c>
      <c r="F1212" t="s">
        <v>9</v>
      </c>
      <c r="H1212" s="23" t="str">
        <f>VLOOKUP(A1212,Revisión!$A$2:$L$703,6,FALSE)</f>
        <v>Lepidium graminifolium</v>
      </c>
      <c r="I1212" s="4" t="str">
        <f>VLOOKUP(A1212,Revisión!$A$2:$L$703,7,FALSE)</f>
        <v>-</v>
      </c>
      <c r="J1212" s="4" t="str">
        <f>VLOOKUP(A1212,Revisión!$A$2:$L$703,8,FALSE)</f>
        <v>Lepidium graminifolium</v>
      </c>
      <c r="K1212" s="4" t="str">
        <f>VLOOKUP(A1212,Revisión!$A$2:$L$703,9,FALSE)</f>
        <v>Lepidium graminifolium</v>
      </c>
      <c r="L1212" s="4" t="str">
        <f>VLOOKUP(A1212,Revisión!$A$2:$L$703,10,FALSE)</f>
        <v>Lepidium graminifolium</v>
      </c>
      <c r="M1212" s="18">
        <f>VLOOKUP(A1212,Revisión!$A$2:$L$703,11,FALSE)</f>
        <v>4</v>
      </c>
      <c r="N1212" s="30" t="str">
        <f>IF(E1212="Coinciden",D1212,IF(E1212="Revisar",VLOOKUP(A1212,Revisión!$A$2:$L$703,12,FALSE),""))</f>
        <v>Lepidium graminifolium</v>
      </c>
    </row>
    <row r="1213" spans="1:14" x14ac:dyDescent="0.3">
      <c r="A1213" t="s">
        <v>2508</v>
      </c>
      <c r="B1213" t="s">
        <v>2509</v>
      </c>
      <c r="C1213" t="s">
        <v>2509</v>
      </c>
      <c r="D1213" t="s">
        <v>2509</v>
      </c>
      <c r="E1213" t="s">
        <v>18</v>
      </c>
      <c r="F1213" t="s">
        <v>19</v>
      </c>
      <c r="H1213" s="23" t="e">
        <f>VLOOKUP(A1213,Revisión!$A$2:$L$703,6,FALSE)</f>
        <v>#N/A</v>
      </c>
      <c r="I1213" s="4" t="e">
        <f>VLOOKUP(A1213,Revisión!$A$2:$L$703,7,FALSE)</f>
        <v>#N/A</v>
      </c>
      <c r="J1213" s="4" t="e">
        <f>VLOOKUP(A1213,Revisión!$A$2:$L$703,8,FALSE)</f>
        <v>#N/A</v>
      </c>
      <c r="K1213" s="4" t="e">
        <f>VLOOKUP(A1213,Revisión!$A$2:$L$703,9,FALSE)</f>
        <v>#N/A</v>
      </c>
      <c r="L1213" s="4" t="e">
        <f>VLOOKUP(A1213,Revisión!$A$2:$L$703,10,FALSE)</f>
        <v>#N/A</v>
      </c>
      <c r="M1213" s="18" t="e">
        <f>VLOOKUP(A1213,Revisión!$A$2:$L$703,11,FALSE)</f>
        <v>#N/A</v>
      </c>
      <c r="N1213" s="30" t="str">
        <f>IF(E1213="Coinciden",D1213,IF(E1213="Revisar",VLOOKUP(A1213,Revisión!$A$2:$L$703,12,FALSE),""))</f>
        <v>Leptorhynchos squamatus</v>
      </c>
    </row>
    <row r="1214" spans="1:14" x14ac:dyDescent="0.3">
      <c r="A1214" t="s">
        <v>2510</v>
      </c>
      <c r="B1214" t="s">
        <v>2511</v>
      </c>
      <c r="C1214" t="s">
        <v>2511</v>
      </c>
      <c r="D1214" t="s">
        <v>2511</v>
      </c>
      <c r="E1214" t="s">
        <v>18</v>
      </c>
      <c r="F1214" t="s">
        <v>19</v>
      </c>
      <c r="H1214" s="23" t="e">
        <f>VLOOKUP(A1214,Revisión!$A$2:$L$703,6,FALSE)</f>
        <v>#N/A</v>
      </c>
      <c r="I1214" s="4" t="e">
        <f>VLOOKUP(A1214,Revisión!$A$2:$L$703,7,FALSE)</f>
        <v>#N/A</v>
      </c>
      <c r="J1214" s="4" t="e">
        <f>VLOOKUP(A1214,Revisión!$A$2:$L$703,8,FALSE)</f>
        <v>#N/A</v>
      </c>
      <c r="K1214" s="4" t="e">
        <f>VLOOKUP(A1214,Revisión!$A$2:$L$703,9,FALSE)</f>
        <v>#N/A</v>
      </c>
      <c r="L1214" s="4" t="e">
        <f>VLOOKUP(A1214,Revisión!$A$2:$L$703,10,FALSE)</f>
        <v>#N/A</v>
      </c>
      <c r="M1214" s="18" t="e">
        <f>VLOOKUP(A1214,Revisión!$A$2:$L$703,11,FALSE)</f>
        <v>#N/A</v>
      </c>
      <c r="N1214" s="30" t="str">
        <f>IF(E1214="Coinciden",D1214,IF(E1214="Revisar",VLOOKUP(A1214,Revisión!$A$2:$L$703,12,FALSE),""))</f>
        <v>Leptospermum scoparium</v>
      </c>
    </row>
    <row r="1215" spans="1:14" x14ac:dyDescent="0.3">
      <c r="A1215" t="s">
        <v>2512</v>
      </c>
      <c r="B1215" t="s">
        <v>2513</v>
      </c>
      <c r="C1215" t="s">
        <v>2513</v>
      </c>
      <c r="D1215" t="s">
        <v>2513</v>
      </c>
      <c r="E1215" t="s">
        <v>18</v>
      </c>
      <c r="F1215" t="s">
        <v>19</v>
      </c>
      <c r="H1215" s="23" t="e">
        <f>VLOOKUP(A1215,Revisión!$A$2:$L$703,6,FALSE)</f>
        <v>#N/A</v>
      </c>
      <c r="I1215" s="4" t="e">
        <f>VLOOKUP(A1215,Revisión!$A$2:$L$703,7,FALSE)</f>
        <v>#N/A</v>
      </c>
      <c r="J1215" s="4" t="e">
        <f>VLOOKUP(A1215,Revisión!$A$2:$L$703,8,FALSE)</f>
        <v>#N/A</v>
      </c>
      <c r="K1215" s="4" t="e">
        <f>VLOOKUP(A1215,Revisión!$A$2:$L$703,9,FALSE)</f>
        <v>#N/A</v>
      </c>
      <c r="L1215" s="4" t="e">
        <f>VLOOKUP(A1215,Revisión!$A$2:$L$703,10,FALSE)</f>
        <v>#N/A</v>
      </c>
      <c r="M1215" s="18" t="e">
        <f>VLOOKUP(A1215,Revisión!$A$2:$L$703,11,FALSE)</f>
        <v>#N/A</v>
      </c>
      <c r="N1215" s="30" t="str">
        <f>IF(E1215="Coinciden",D1215,IF(E1215="Revisar",VLOOKUP(A1215,Revisión!$A$2:$L$703,12,FALSE),""))</f>
        <v>Lespedeza virginica</v>
      </c>
    </row>
    <row r="1216" spans="1:14" x14ac:dyDescent="0.3">
      <c r="A1216" t="s">
        <v>2514</v>
      </c>
      <c r="B1216" t="s">
        <v>2515</v>
      </c>
      <c r="C1216" t="s">
        <v>2515</v>
      </c>
      <c r="D1216" t="s">
        <v>2515</v>
      </c>
      <c r="E1216" t="s">
        <v>18</v>
      </c>
      <c r="F1216" t="s">
        <v>19</v>
      </c>
      <c r="H1216" s="23" t="e">
        <f>VLOOKUP(A1216,Revisión!$A$2:$L$703,6,FALSE)</f>
        <v>#N/A</v>
      </c>
      <c r="I1216" s="4" t="e">
        <f>VLOOKUP(A1216,Revisión!$A$2:$L$703,7,FALSE)</f>
        <v>#N/A</v>
      </c>
      <c r="J1216" s="4" t="e">
        <f>VLOOKUP(A1216,Revisión!$A$2:$L$703,8,FALSE)</f>
        <v>#N/A</v>
      </c>
      <c r="K1216" s="4" t="e">
        <f>VLOOKUP(A1216,Revisión!$A$2:$L$703,9,FALSE)</f>
        <v>#N/A</v>
      </c>
      <c r="L1216" s="4" t="e">
        <f>VLOOKUP(A1216,Revisión!$A$2:$L$703,10,FALSE)</f>
        <v>#N/A</v>
      </c>
      <c r="M1216" s="18" t="e">
        <f>VLOOKUP(A1216,Revisión!$A$2:$L$703,11,FALSE)</f>
        <v>#N/A</v>
      </c>
      <c r="N1216" s="30" t="str">
        <f>IF(E1216="Coinciden",D1216,IF(E1216="Revisar",VLOOKUP(A1216,Revisión!$A$2:$L$703,12,FALSE),""))</f>
        <v>Lespedeza capitata</v>
      </c>
    </row>
    <row r="1217" spans="1:14" x14ac:dyDescent="0.3">
      <c r="A1217" t="s">
        <v>2516</v>
      </c>
      <c r="B1217" t="s">
        <v>2517</v>
      </c>
      <c r="C1217" t="s">
        <v>2517</v>
      </c>
      <c r="D1217" t="s">
        <v>2517</v>
      </c>
      <c r="E1217" t="s">
        <v>18</v>
      </c>
      <c r="F1217" t="s">
        <v>19</v>
      </c>
      <c r="H1217" s="23" t="e">
        <f>VLOOKUP(A1217,Revisión!$A$2:$L$703,6,FALSE)</f>
        <v>#N/A</v>
      </c>
      <c r="I1217" s="4" t="e">
        <f>VLOOKUP(A1217,Revisión!$A$2:$L$703,7,FALSE)</f>
        <v>#N/A</v>
      </c>
      <c r="J1217" s="4" t="e">
        <f>VLOOKUP(A1217,Revisión!$A$2:$L$703,8,FALSE)</f>
        <v>#N/A</v>
      </c>
      <c r="K1217" s="4" t="e">
        <f>VLOOKUP(A1217,Revisión!$A$2:$L$703,9,FALSE)</f>
        <v>#N/A</v>
      </c>
      <c r="L1217" s="4" t="e">
        <f>VLOOKUP(A1217,Revisión!$A$2:$L$703,10,FALSE)</f>
        <v>#N/A</v>
      </c>
      <c r="M1217" s="18" t="e">
        <f>VLOOKUP(A1217,Revisión!$A$2:$L$703,11,FALSE)</f>
        <v>#N/A</v>
      </c>
      <c r="N1217" s="30" t="str">
        <f>IF(E1217="Coinciden",D1217,IF(E1217="Revisar",VLOOKUP(A1217,Revisión!$A$2:$L$703,12,FALSE),""))</f>
        <v>Lespedeza procumbens</v>
      </c>
    </row>
    <row r="1218" spans="1:14" x14ac:dyDescent="0.3">
      <c r="A1218" t="s">
        <v>2518</v>
      </c>
      <c r="B1218" t="s">
        <v>2519</v>
      </c>
      <c r="C1218" t="s">
        <v>2519</v>
      </c>
      <c r="D1218" t="s">
        <v>2519</v>
      </c>
      <c r="E1218" t="s">
        <v>18</v>
      </c>
      <c r="F1218" t="s">
        <v>19</v>
      </c>
      <c r="H1218" s="23" t="e">
        <f>VLOOKUP(A1218,Revisión!$A$2:$L$703,6,FALSE)</f>
        <v>#N/A</v>
      </c>
      <c r="I1218" s="4" t="e">
        <f>VLOOKUP(A1218,Revisión!$A$2:$L$703,7,FALSE)</f>
        <v>#N/A</v>
      </c>
      <c r="J1218" s="4" t="e">
        <f>VLOOKUP(A1218,Revisión!$A$2:$L$703,8,FALSE)</f>
        <v>#N/A</v>
      </c>
      <c r="K1218" s="4" t="e">
        <f>VLOOKUP(A1218,Revisión!$A$2:$L$703,9,FALSE)</f>
        <v>#N/A</v>
      </c>
      <c r="L1218" s="4" t="e">
        <f>VLOOKUP(A1218,Revisión!$A$2:$L$703,10,FALSE)</f>
        <v>#N/A</v>
      </c>
      <c r="M1218" s="18" t="e">
        <f>VLOOKUP(A1218,Revisión!$A$2:$L$703,11,FALSE)</f>
        <v>#N/A</v>
      </c>
      <c r="N1218" s="30" t="str">
        <f>IF(E1218="Coinciden",D1218,IF(E1218="Revisar",VLOOKUP(A1218,Revisión!$A$2:$L$703,12,FALSE),""))</f>
        <v>Lespedeza bicolor</v>
      </c>
    </row>
    <row r="1219" spans="1:14" x14ac:dyDescent="0.3">
      <c r="A1219" t="s">
        <v>2520</v>
      </c>
      <c r="B1219" t="s">
        <v>2521</v>
      </c>
      <c r="C1219" t="s">
        <v>2521</v>
      </c>
      <c r="D1219" t="s">
        <v>2521</v>
      </c>
      <c r="E1219" t="s">
        <v>18</v>
      </c>
      <c r="F1219" t="s">
        <v>19</v>
      </c>
      <c r="H1219" s="23" t="e">
        <f>VLOOKUP(A1219,Revisión!$A$2:$L$703,6,FALSE)</f>
        <v>#N/A</v>
      </c>
      <c r="I1219" s="4" t="e">
        <f>VLOOKUP(A1219,Revisión!$A$2:$L$703,7,FALSE)</f>
        <v>#N/A</v>
      </c>
      <c r="J1219" s="4" t="e">
        <f>VLOOKUP(A1219,Revisión!$A$2:$L$703,8,FALSE)</f>
        <v>#N/A</v>
      </c>
      <c r="K1219" s="4" t="e">
        <f>VLOOKUP(A1219,Revisión!$A$2:$L$703,9,FALSE)</f>
        <v>#N/A</v>
      </c>
      <c r="L1219" s="4" t="e">
        <f>VLOOKUP(A1219,Revisión!$A$2:$L$703,10,FALSE)</f>
        <v>#N/A</v>
      </c>
      <c r="M1219" s="18" t="e">
        <f>VLOOKUP(A1219,Revisión!$A$2:$L$703,11,FALSE)</f>
        <v>#N/A</v>
      </c>
      <c r="N1219" s="30" t="str">
        <f>IF(E1219="Coinciden",D1219,IF(E1219="Revisar",VLOOKUP(A1219,Revisión!$A$2:$L$703,12,FALSE),""))</f>
        <v>Lespedeza thunbergii</v>
      </c>
    </row>
    <row r="1220" spans="1:14" x14ac:dyDescent="0.3">
      <c r="A1220" t="s">
        <v>2522</v>
      </c>
      <c r="B1220" t="s">
        <v>2523</v>
      </c>
      <c r="C1220" t="s">
        <v>2523</v>
      </c>
      <c r="D1220" t="s">
        <v>2523</v>
      </c>
      <c r="E1220" t="s">
        <v>18</v>
      </c>
      <c r="F1220" t="s">
        <v>19</v>
      </c>
      <c r="H1220" s="23" t="e">
        <f>VLOOKUP(A1220,Revisión!$A$2:$L$703,6,FALSE)</f>
        <v>#N/A</v>
      </c>
      <c r="I1220" s="4" t="e">
        <f>VLOOKUP(A1220,Revisión!$A$2:$L$703,7,FALSE)</f>
        <v>#N/A</v>
      </c>
      <c r="J1220" s="4" t="e">
        <f>VLOOKUP(A1220,Revisión!$A$2:$L$703,8,FALSE)</f>
        <v>#N/A</v>
      </c>
      <c r="K1220" s="4" t="e">
        <f>VLOOKUP(A1220,Revisión!$A$2:$L$703,9,FALSE)</f>
        <v>#N/A</v>
      </c>
      <c r="L1220" s="4" t="e">
        <f>VLOOKUP(A1220,Revisión!$A$2:$L$703,10,FALSE)</f>
        <v>#N/A</v>
      </c>
      <c r="M1220" s="18" t="e">
        <f>VLOOKUP(A1220,Revisión!$A$2:$L$703,11,FALSE)</f>
        <v>#N/A</v>
      </c>
      <c r="N1220" s="30" t="str">
        <f>IF(E1220="Coinciden",D1220,IF(E1220="Revisar",VLOOKUP(A1220,Revisión!$A$2:$L$703,12,FALSE),""))</f>
        <v>Physaria arctica</v>
      </c>
    </row>
    <row r="1221" spans="1:14" x14ac:dyDescent="0.3">
      <c r="A1221" t="s">
        <v>2524</v>
      </c>
      <c r="B1221" t="s">
        <v>2525</v>
      </c>
      <c r="C1221" t="s">
        <v>2525</v>
      </c>
      <c r="D1221" t="s">
        <v>2525</v>
      </c>
      <c r="E1221" t="s">
        <v>18</v>
      </c>
      <c r="F1221" t="s">
        <v>19</v>
      </c>
      <c r="H1221" s="23" t="e">
        <f>VLOOKUP(A1221,Revisión!$A$2:$L$703,6,FALSE)</f>
        <v>#N/A</v>
      </c>
      <c r="I1221" s="4" t="e">
        <f>VLOOKUP(A1221,Revisión!$A$2:$L$703,7,FALSE)</f>
        <v>#N/A</v>
      </c>
      <c r="J1221" s="4" t="e">
        <f>VLOOKUP(A1221,Revisión!$A$2:$L$703,8,FALSE)</f>
        <v>#N/A</v>
      </c>
      <c r="K1221" s="4" t="e">
        <f>VLOOKUP(A1221,Revisión!$A$2:$L$703,9,FALSE)</f>
        <v>#N/A</v>
      </c>
      <c r="L1221" s="4" t="e">
        <f>VLOOKUP(A1221,Revisión!$A$2:$L$703,10,FALSE)</f>
        <v>#N/A</v>
      </c>
      <c r="M1221" s="18" t="e">
        <f>VLOOKUP(A1221,Revisión!$A$2:$L$703,11,FALSE)</f>
        <v>#N/A</v>
      </c>
      <c r="N1221" s="30" t="str">
        <f>IF(E1221="Coinciden",D1221,IF(E1221="Revisar",VLOOKUP(A1221,Revisión!$A$2:$L$703,12,FALSE),""))</f>
        <v>Leucaena leucocephala</v>
      </c>
    </row>
    <row r="1222" spans="1:14" x14ac:dyDescent="0.3">
      <c r="A1222" t="s">
        <v>2526</v>
      </c>
      <c r="B1222" t="s">
        <v>2527</v>
      </c>
      <c r="C1222" t="s">
        <v>2527</v>
      </c>
      <c r="D1222" t="s">
        <v>2527</v>
      </c>
      <c r="E1222" t="s">
        <v>18</v>
      </c>
      <c r="F1222" t="s">
        <v>19</v>
      </c>
      <c r="H1222" s="23" t="e">
        <f>VLOOKUP(A1222,Revisión!$A$2:$L$703,6,FALSE)</f>
        <v>#N/A</v>
      </c>
      <c r="I1222" s="4" t="e">
        <f>VLOOKUP(A1222,Revisión!$A$2:$L$703,7,FALSE)</f>
        <v>#N/A</v>
      </c>
      <c r="J1222" s="4" t="e">
        <f>VLOOKUP(A1222,Revisión!$A$2:$L$703,8,FALSE)</f>
        <v>#N/A</v>
      </c>
      <c r="K1222" s="4" t="e">
        <f>VLOOKUP(A1222,Revisión!$A$2:$L$703,9,FALSE)</f>
        <v>#N/A</v>
      </c>
      <c r="L1222" s="4" t="e">
        <f>VLOOKUP(A1222,Revisión!$A$2:$L$703,10,FALSE)</f>
        <v>#N/A</v>
      </c>
      <c r="M1222" s="18" t="e">
        <f>VLOOKUP(A1222,Revisión!$A$2:$L$703,11,FALSE)</f>
        <v>#N/A</v>
      </c>
      <c r="N1222" s="30" t="str">
        <f>IF(E1222="Coinciden",D1222,IF(E1222="Revisar",VLOOKUP(A1222,Revisión!$A$2:$L$703,12,FALSE),""))</f>
        <v>Leucanthemum vulgare</v>
      </c>
    </row>
    <row r="1223" spans="1:14" x14ac:dyDescent="0.3">
      <c r="A1223" t="s">
        <v>2528</v>
      </c>
      <c r="C1223" t="s">
        <v>2529</v>
      </c>
      <c r="D1223" t="s">
        <v>2530</v>
      </c>
      <c r="E1223" t="s">
        <v>8</v>
      </c>
      <c r="F1223" t="s">
        <v>9</v>
      </c>
      <c r="H1223" s="23" t="str">
        <f>VLOOKUP(A1223,Revisión!$A$2:$L$703,6,FALSE)</f>
        <v>Leucheria runcinata</v>
      </c>
      <c r="I1223" s="4" t="str">
        <f>VLOOKUP(A1223,Revisión!$A$2:$L$703,7,FALSE)</f>
        <v>-</v>
      </c>
      <c r="J1223" s="4" t="str">
        <f>VLOOKUP(A1223,Revisión!$A$2:$L$703,8,FALSE)</f>
        <v>Leucheria runcinata</v>
      </c>
      <c r="K1223" s="4" t="str">
        <f>VLOOKUP(A1223,Revisión!$A$2:$L$703,9,FALSE)</f>
        <v>Leucheria runcinata</v>
      </c>
      <c r="L1223" s="4" t="str">
        <f>VLOOKUP(A1223,Revisión!$A$2:$L$703,10,FALSE)</f>
        <v>Leucheria runcinata</v>
      </c>
      <c r="M1223" s="18">
        <f>VLOOKUP(A1223,Revisión!$A$2:$L$703,11,FALSE)</f>
        <v>4</v>
      </c>
      <c r="N1223" s="30" t="str">
        <f>IF(E1223="Coinciden",D1223,IF(E1223="Revisar",VLOOKUP(A1223,Revisión!$A$2:$L$703,12,FALSE),""))</f>
        <v>Leucheria runcinata</v>
      </c>
    </row>
    <row r="1224" spans="1:14" x14ac:dyDescent="0.3">
      <c r="A1224" t="s">
        <v>2531</v>
      </c>
      <c r="B1224" t="s">
        <v>2532</v>
      </c>
      <c r="C1224" t="s">
        <v>2532</v>
      </c>
      <c r="D1224" t="s">
        <v>2532</v>
      </c>
      <c r="E1224" t="s">
        <v>18</v>
      </c>
      <c r="F1224" t="s">
        <v>19</v>
      </c>
      <c r="H1224" s="23" t="e">
        <f>VLOOKUP(A1224,Revisión!$A$2:$L$703,6,FALSE)</f>
        <v>#N/A</v>
      </c>
      <c r="I1224" s="4" t="e">
        <f>VLOOKUP(A1224,Revisión!$A$2:$L$703,7,FALSE)</f>
        <v>#N/A</v>
      </c>
      <c r="J1224" s="4" t="e">
        <f>VLOOKUP(A1224,Revisión!$A$2:$L$703,8,FALSE)</f>
        <v>#N/A</v>
      </c>
      <c r="K1224" s="4" t="e">
        <f>VLOOKUP(A1224,Revisión!$A$2:$L$703,9,FALSE)</f>
        <v>#N/A</v>
      </c>
      <c r="L1224" s="4" t="e">
        <f>VLOOKUP(A1224,Revisión!$A$2:$L$703,10,FALSE)</f>
        <v>#N/A</v>
      </c>
      <c r="M1224" s="18" t="e">
        <f>VLOOKUP(A1224,Revisión!$A$2:$L$703,11,FALSE)</f>
        <v>#N/A</v>
      </c>
      <c r="N1224" s="30" t="str">
        <f>IF(E1224="Coinciden",D1224,IF(E1224="Revisar",VLOOKUP(A1224,Revisión!$A$2:$L$703,12,FALSE),""))</f>
        <v>Leucheria candidissima</v>
      </c>
    </row>
    <row r="1225" spans="1:14" x14ac:dyDescent="0.3">
      <c r="A1225" t="s">
        <v>2533</v>
      </c>
      <c r="B1225" t="s">
        <v>2534</v>
      </c>
      <c r="C1225" t="s">
        <v>2535</v>
      </c>
      <c r="D1225" t="s">
        <v>2534</v>
      </c>
      <c r="E1225" t="s">
        <v>8</v>
      </c>
      <c r="F1225" t="s">
        <v>493</v>
      </c>
      <c r="H1225" s="23" t="str">
        <f>VLOOKUP(A1225,Revisión!$A$2:$L$703,6,FALSE)</f>
        <v>Leucheria salina</v>
      </c>
      <c r="I1225" s="4" t="str">
        <f>VLOOKUP(A1225,Revisión!$A$2:$L$703,7,FALSE)</f>
        <v>-</v>
      </c>
      <c r="J1225" s="4" t="str">
        <f>VLOOKUP(A1225,Revisión!$A$2:$L$703,8,FALSE)</f>
        <v>Leucheria salinae</v>
      </c>
      <c r="K1225" s="4" t="str">
        <f>VLOOKUP(A1225,Revisión!$A$2:$L$703,9,FALSE)</f>
        <v>Leucheria salina</v>
      </c>
      <c r="L1225" s="4" t="str">
        <f>VLOOKUP(A1225,Revisión!$A$2:$L$703,10,FALSE)</f>
        <v>Leucheria salina</v>
      </c>
      <c r="M1225" s="18">
        <f>VLOOKUP(A1225,Revisión!$A$2:$L$703,11,FALSE)</f>
        <v>3</v>
      </c>
      <c r="N1225" s="30" t="str">
        <f>IF(E1225="Coinciden",D1225,IF(E1225="Revisar",VLOOKUP(A1225,Revisión!$A$2:$L$703,12,FALSE),""))</f>
        <v>Leucheria salinae</v>
      </c>
    </row>
    <row r="1226" spans="1:14" x14ac:dyDescent="0.3">
      <c r="A1226" t="s">
        <v>2536</v>
      </c>
      <c r="B1226" t="s">
        <v>2537</v>
      </c>
      <c r="C1226" t="s">
        <v>2537</v>
      </c>
      <c r="D1226" t="s">
        <v>2537</v>
      </c>
      <c r="E1226" t="s">
        <v>18</v>
      </c>
      <c r="F1226" t="s">
        <v>19</v>
      </c>
      <c r="H1226" s="23" t="e">
        <f>VLOOKUP(A1226,Revisión!$A$2:$L$703,6,FALSE)</f>
        <v>#N/A</v>
      </c>
      <c r="I1226" s="4" t="e">
        <f>VLOOKUP(A1226,Revisión!$A$2:$L$703,7,FALSE)</f>
        <v>#N/A</v>
      </c>
      <c r="J1226" s="4" t="e">
        <f>VLOOKUP(A1226,Revisión!$A$2:$L$703,8,FALSE)</f>
        <v>#N/A</v>
      </c>
      <c r="K1226" s="4" t="e">
        <f>VLOOKUP(A1226,Revisión!$A$2:$L$703,9,FALSE)</f>
        <v>#N/A</v>
      </c>
      <c r="L1226" s="4" t="e">
        <f>VLOOKUP(A1226,Revisión!$A$2:$L$703,10,FALSE)</f>
        <v>#N/A</v>
      </c>
      <c r="M1226" s="18" t="e">
        <f>VLOOKUP(A1226,Revisión!$A$2:$L$703,11,FALSE)</f>
        <v>#N/A</v>
      </c>
      <c r="N1226" s="30" t="str">
        <f>IF(E1226="Coinciden",D1226,IF(E1226="Revisar",VLOOKUP(A1226,Revisión!$A$2:$L$703,12,FALSE),""))</f>
        <v>Leucocoryne ixioides</v>
      </c>
    </row>
    <row r="1227" spans="1:14" x14ac:dyDescent="0.3">
      <c r="A1227" t="s">
        <v>2538</v>
      </c>
      <c r="B1227" t="s">
        <v>2539</v>
      </c>
      <c r="C1227" t="s">
        <v>2539</v>
      </c>
      <c r="D1227" t="s">
        <v>2539</v>
      </c>
      <c r="E1227" t="s">
        <v>18</v>
      </c>
      <c r="F1227" t="s">
        <v>19</v>
      </c>
      <c r="H1227" s="23" t="e">
        <f>VLOOKUP(A1227,Revisión!$A$2:$L$703,6,FALSE)</f>
        <v>#N/A</v>
      </c>
      <c r="I1227" s="4" t="e">
        <f>VLOOKUP(A1227,Revisión!$A$2:$L$703,7,FALSE)</f>
        <v>#N/A</v>
      </c>
      <c r="J1227" s="4" t="e">
        <f>VLOOKUP(A1227,Revisión!$A$2:$L$703,8,FALSE)</f>
        <v>#N/A</v>
      </c>
      <c r="K1227" s="4" t="e">
        <f>VLOOKUP(A1227,Revisión!$A$2:$L$703,9,FALSE)</f>
        <v>#N/A</v>
      </c>
      <c r="L1227" s="4" t="e">
        <f>VLOOKUP(A1227,Revisión!$A$2:$L$703,10,FALSE)</f>
        <v>#N/A</v>
      </c>
      <c r="M1227" s="18" t="e">
        <f>VLOOKUP(A1227,Revisión!$A$2:$L$703,11,FALSE)</f>
        <v>#N/A</v>
      </c>
      <c r="N1227" s="30" t="str">
        <f>IF(E1227="Coinciden",D1227,IF(E1227="Revisar",VLOOKUP(A1227,Revisión!$A$2:$L$703,12,FALSE),""))</f>
        <v>Leucocoryne pauciflora</v>
      </c>
    </row>
    <row r="1228" spans="1:14" x14ac:dyDescent="0.3">
      <c r="A1228" t="s">
        <v>2540</v>
      </c>
      <c r="B1228" t="s">
        <v>2541</v>
      </c>
      <c r="C1228" t="s">
        <v>2541</v>
      </c>
      <c r="D1228" t="s">
        <v>2541</v>
      </c>
      <c r="E1228" t="s">
        <v>18</v>
      </c>
      <c r="F1228" t="s">
        <v>19</v>
      </c>
      <c r="H1228" s="23" t="e">
        <f>VLOOKUP(A1228,Revisión!$A$2:$L$703,6,FALSE)</f>
        <v>#N/A</v>
      </c>
      <c r="I1228" s="4" t="e">
        <f>VLOOKUP(A1228,Revisión!$A$2:$L$703,7,FALSE)</f>
        <v>#N/A</v>
      </c>
      <c r="J1228" s="4" t="e">
        <f>VLOOKUP(A1228,Revisión!$A$2:$L$703,8,FALSE)</f>
        <v>#N/A</v>
      </c>
      <c r="K1228" s="4" t="e">
        <f>VLOOKUP(A1228,Revisión!$A$2:$L$703,9,FALSE)</f>
        <v>#N/A</v>
      </c>
      <c r="L1228" s="4" t="e">
        <f>VLOOKUP(A1228,Revisión!$A$2:$L$703,10,FALSE)</f>
        <v>#N/A</v>
      </c>
      <c r="M1228" s="18" t="e">
        <f>VLOOKUP(A1228,Revisión!$A$2:$L$703,11,FALSE)</f>
        <v>#N/A</v>
      </c>
      <c r="N1228" s="30" t="str">
        <f>IF(E1228="Coinciden",D1228,IF(E1228="Revisar",VLOOKUP(A1228,Revisión!$A$2:$L$703,12,FALSE),""))</f>
        <v>Leucogenes grandiceps</v>
      </c>
    </row>
    <row r="1229" spans="1:14" x14ac:dyDescent="0.3">
      <c r="A1229" t="s">
        <v>2542</v>
      </c>
      <c r="B1229" t="s">
        <v>2543</v>
      </c>
      <c r="C1229" t="s">
        <v>2543</v>
      </c>
      <c r="D1229" t="s">
        <v>2543</v>
      </c>
      <c r="E1229" t="s">
        <v>18</v>
      </c>
      <c r="F1229" t="s">
        <v>19</v>
      </c>
      <c r="H1229" s="23" t="e">
        <f>VLOOKUP(A1229,Revisión!$A$2:$L$703,6,FALSE)</f>
        <v>#N/A</v>
      </c>
      <c r="I1229" s="4" t="e">
        <f>VLOOKUP(A1229,Revisión!$A$2:$L$703,7,FALSE)</f>
        <v>#N/A</v>
      </c>
      <c r="J1229" s="4" t="e">
        <f>VLOOKUP(A1229,Revisión!$A$2:$L$703,8,FALSE)</f>
        <v>#N/A</v>
      </c>
      <c r="K1229" s="4" t="e">
        <f>VLOOKUP(A1229,Revisión!$A$2:$L$703,9,FALSE)</f>
        <v>#N/A</v>
      </c>
      <c r="L1229" s="4" t="e">
        <f>VLOOKUP(A1229,Revisión!$A$2:$L$703,10,FALSE)</f>
        <v>#N/A</v>
      </c>
      <c r="M1229" s="18" t="e">
        <f>VLOOKUP(A1229,Revisión!$A$2:$L$703,11,FALSE)</f>
        <v>#N/A</v>
      </c>
      <c r="N1229" s="30" t="str">
        <f>IF(E1229="Coinciden",D1229,IF(E1229="Revisar",VLOOKUP(A1229,Revisión!$A$2:$L$703,12,FALSE),""))</f>
        <v>Acrothamnus montanus</v>
      </c>
    </row>
    <row r="1230" spans="1:14" x14ac:dyDescent="0.3">
      <c r="A1230" t="s">
        <v>2544</v>
      </c>
      <c r="B1230" t="s">
        <v>2545</v>
      </c>
      <c r="C1230" t="s">
        <v>2545</v>
      </c>
      <c r="D1230" t="s">
        <v>2545</v>
      </c>
      <c r="E1230" t="s">
        <v>18</v>
      </c>
      <c r="F1230" t="s">
        <v>19</v>
      </c>
      <c r="H1230" s="23" t="e">
        <f>VLOOKUP(A1230,Revisión!$A$2:$L$703,6,FALSE)</f>
        <v>#N/A</v>
      </c>
      <c r="I1230" s="4" t="e">
        <f>VLOOKUP(A1230,Revisión!$A$2:$L$703,7,FALSE)</f>
        <v>#N/A</v>
      </c>
      <c r="J1230" s="4" t="e">
        <f>VLOOKUP(A1230,Revisión!$A$2:$L$703,8,FALSE)</f>
        <v>#N/A</v>
      </c>
      <c r="K1230" s="4" t="e">
        <f>VLOOKUP(A1230,Revisión!$A$2:$L$703,9,FALSE)</f>
        <v>#N/A</v>
      </c>
      <c r="L1230" s="4" t="e">
        <f>VLOOKUP(A1230,Revisión!$A$2:$L$703,10,FALSE)</f>
        <v>#N/A</v>
      </c>
      <c r="M1230" s="18" t="e">
        <f>VLOOKUP(A1230,Revisión!$A$2:$L$703,11,FALSE)</f>
        <v>#N/A</v>
      </c>
      <c r="N1230" s="30" t="str">
        <f>IF(E1230="Coinciden",D1230,IF(E1230="Revisar",VLOOKUP(A1230,Revisión!$A$2:$L$703,12,FALSE),""))</f>
        <v>Comanthosphace stellipila</v>
      </c>
    </row>
    <row r="1231" spans="1:14" x14ac:dyDescent="0.3">
      <c r="A1231" t="s">
        <v>2546</v>
      </c>
      <c r="B1231" t="s">
        <v>2547</v>
      </c>
      <c r="C1231" t="s">
        <v>2547</v>
      </c>
      <c r="D1231" t="s">
        <v>2547</v>
      </c>
      <c r="E1231" t="s">
        <v>18</v>
      </c>
      <c r="F1231" t="s">
        <v>19</v>
      </c>
      <c r="H1231" s="23" t="e">
        <f>VLOOKUP(A1231,Revisión!$A$2:$L$703,6,FALSE)</f>
        <v>#N/A</v>
      </c>
      <c r="I1231" s="4" t="e">
        <f>VLOOKUP(A1231,Revisión!$A$2:$L$703,7,FALSE)</f>
        <v>#N/A</v>
      </c>
      <c r="J1231" s="4" t="e">
        <f>VLOOKUP(A1231,Revisión!$A$2:$L$703,8,FALSE)</f>
        <v>#N/A</v>
      </c>
      <c r="K1231" s="4" t="e">
        <f>VLOOKUP(A1231,Revisión!$A$2:$L$703,9,FALSE)</f>
        <v>#N/A</v>
      </c>
      <c r="L1231" s="4" t="e">
        <f>VLOOKUP(A1231,Revisión!$A$2:$L$703,10,FALSE)</f>
        <v>#N/A</v>
      </c>
      <c r="M1231" s="18" t="e">
        <f>VLOOKUP(A1231,Revisión!$A$2:$L$703,11,FALSE)</f>
        <v>#N/A</v>
      </c>
      <c r="N1231" s="30" t="str">
        <f>IF(E1231="Coinciden",D1231,IF(E1231="Revisar",VLOOKUP(A1231,Revisión!$A$2:$L$703,12,FALSE),""))</f>
        <v>Liatris scariosa</v>
      </c>
    </row>
    <row r="1232" spans="1:14" x14ac:dyDescent="0.3">
      <c r="A1232" t="s">
        <v>2548</v>
      </c>
      <c r="B1232" t="s">
        <v>2549</v>
      </c>
      <c r="C1232" t="s">
        <v>2549</v>
      </c>
      <c r="D1232" t="s">
        <v>2549</v>
      </c>
      <c r="E1232" t="s">
        <v>18</v>
      </c>
      <c r="F1232" t="s">
        <v>19</v>
      </c>
      <c r="H1232" s="23" t="e">
        <f>VLOOKUP(A1232,Revisión!$A$2:$L$703,6,FALSE)</f>
        <v>#N/A</v>
      </c>
      <c r="I1232" s="4" t="e">
        <f>VLOOKUP(A1232,Revisión!$A$2:$L$703,7,FALSE)</f>
        <v>#N/A</v>
      </c>
      <c r="J1232" s="4" t="e">
        <f>VLOOKUP(A1232,Revisión!$A$2:$L$703,8,FALSE)</f>
        <v>#N/A</v>
      </c>
      <c r="K1232" s="4" t="e">
        <f>VLOOKUP(A1232,Revisión!$A$2:$L$703,9,FALSE)</f>
        <v>#N/A</v>
      </c>
      <c r="L1232" s="4" t="e">
        <f>VLOOKUP(A1232,Revisión!$A$2:$L$703,10,FALSE)</f>
        <v>#N/A</v>
      </c>
      <c r="M1232" s="18" t="e">
        <f>VLOOKUP(A1232,Revisión!$A$2:$L$703,11,FALSE)</f>
        <v>#N/A</v>
      </c>
      <c r="N1232" s="30" t="str">
        <f>IF(E1232="Coinciden",D1232,IF(E1232="Revisar",VLOOKUP(A1232,Revisión!$A$2:$L$703,12,FALSE),""))</f>
        <v>Liatris pycnostachya</v>
      </c>
    </row>
    <row r="1233" spans="1:14" x14ac:dyDescent="0.3">
      <c r="A1233" t="s">
        <v>2550</v>
      </c>
      <c r="B1233" t="s">
        <v>2551</v>
      </c>
      <c r="C1233" t="s">
        <v>2551</v>
      </c>
      <c r="D1233" t="s">
        <v>2551</v>
      </c>
      <c r="E1233" t="s">
        <v>18</v>
      </c>
      <c r="F1233" t="s">
        <v>19</v>
      </c>
      <c r="H1233" s="23" t="e">
        <f>VLOOKUP(A1233,Revisión!$A$2:$L$703,6,FALSE)</f>
        <v>#N/A</v>
      </c>
      <c r="I1233" s="4" t="e">
        <f>VLOOKUP(A1233,Revisión!$A$2:$L$703,7,FALSE)</f>
        <v>#N/A</v>
      </c>
      <c r="J1233" s="4" t="e">
        <f>VLOOKUP(A1233,Revisión!$A$2:$L$703,8,FALSE)</f>
        <v>#N/A</v>
      </c>
      <c r="K1233" s="4" t="e">
        <f>VLOOKUP(A1233,Revisión!$A$2:$L$703,9,FALSE)</f>
        <v>#N/A</v>
      </c>
      <c r="L1233" s="4" t="e">
        <f>VLOOKUP(A1233,Revisión!$A$2:$L$703,10,FALSE)</f>
        <v>#N/A</v>
      </c>
      <c r="M1233" s="18" t="e">
        <f>VLOOKUP(A1233,Revisión!$A$2:$L$703,11,FALSE)</f>
        <v>#N/A</v>
      </c>
      <c r="N1233" s="30" t="str">
        <f>IF(E1233="Coinciden",D1233,IF(E1233="Revisar",VLOOKUP(A1233,Revisión!$A$2:$L$703,12,FALSE),""))</f>
        <v>Seseli coreanum</v>
      </c>
    </row>
    <row r="1234" spans="1:14" x14ac:dyDescent="0.3">
      <c r="A1234" t="s">
        <v>2552</v>
      </c>
      <c r="B1234" t="s">
        <v>2553</v>
      </c>
      <c r="C1234" t="s">
        <v>2553</v>
      </c>
      <c r="D1234" t="s">
        <v>2553</v>
      </c>
      <c r="E1234" t="s">
        <v>18</v>
      </c>
      <c r="F1234" t="s">
        <v>19</v>
      </c>
      <c r="H1234" s="23" t="e">
        <f>VLOOKUP(A1234,Revisión!$A$2:$L$703,6,FALSE)</f>
        <v>#N/A</v>
      </c>
      <c r="I1234" s="4" t="e">
        <f>VLOOKUP(A1234,Revisión!$A$2:$L$703,7,FALSE)</f>
        <v>#N/A</v>
      </c>
      <c r="J1234" s="4" t="e">
        <f>VLOOKUP(A1234,Revisión!$A$2:$L$703,8,FALSE)</f>
        <v>#N/A</v>
      </c>
      <c r="K1234" s="4" t="e">
        <f>VLOOKUP(A1234,Revisión!$A$2:$L$703,9,FALSE)</f>
        <v>#N/A</v>
      </c>
      <c r="L1234" s="4" t="e">
        <f>VLOOKUP(A1234,Revisión!$A$2:$L$703,10,FALSE)</f>
        <v>#N/A</v>
      </c>
      <c r="M1234" s="18" t="e">
        <f>VLOOKUP(A1234,Revisión!$A$2:$L$703,11,FALSE)</f>
        <v>#N/A</v>
      </c>
      <c r="N1234" s="30" t="str">
        <f>IF(E1234="Coinciden",D1234,IF(E1234="Revisar",VLOOKUP(A1234,Revisión!$A$2:$L$703,12,FALSE),""))</f>
        <v>Ligularia dentata</v>
      </c>
    </row>
    <row r="1235" spans="1:14" x14ac:dyDescent="0.3">
      <c r="A1235" t="s">
        <v>2554</v>
      </c>
      <c r="B1235" t="s">
        <v>2555</v>
      </c>
      <c r="C1235" t="s">
        <v>2555</v>
      </c>
      <c r="D1235" t="s">
        <v>2555</v>
      </c>
      <c r="E1235" t="s">
        <v>18</v>
      </c>
      <c r="F1235" t="s">
        <v>19</v>
      </c>
      <c r="H1235" s="23" t="e">
        <f>VLOOKUP(A1235,Revisión!$A$2:$L$703,6,FALSE)</f>
        <v>#N/A</v>
      </c>
      <c r="I1235" s="4" t="e">
        <f>VLOOKUP(A1235,Revisión!$A$2:$L$703,7,FALSE)</f>
        <v>#N/A</v>
      </c>
      <c r="J1235" s="4" t="e">
        <f>VLOOKUP(A1235,Revisión!$A$2:$L$703,8,FALSE)</f>
        <v>#N/A</v>
      </c>
      <c r="K1235" s="4" t="e">
        <f>VLOOKUP(A1235,Revisión!$A$2:$L$703,9,FALSE)</f>
        <v>#N/A</v>
      </c>
      <c r="L1235" s="4" t="e">
        <f>VLOOKUP(A1235,Revisión!$A$2:$L$703,10,FALSE)</f>
        <v>#N/A</v>
      </c>
      <c r="M1235" s="18" t="e">
        <f>VLOOKUP(A1235,Revisión!$A$2:$L$703,11,FALSE)</f>
        <v>#N/A</v>
      </c>
      <c r="N1235" s="30" t="str">
        <f>IF(E1235="Coinciden",D1235,IF(E1235="Revisar",VLOOKUP(A1235,Revisión!$A$2:$L$703,12,FALSE),""))</f>
        <v>Ligularia japonica</v>
      </c>
    </row>
    <row r="1236" spans="1:14" x14ac:dyDescent="0.3">
      <c r="A1236" t="s">
        <v>2556</v>
      </c>
      <c r="B1236" t="s">
        <v>2557</v>
      </c>
      <c r="C1236" t="s">
        <v>2557</v>
      </c>
      <c r="D1236" t="s">
        <v>2557</v>
      </c>
      <c r="E1236" t="s">
        <v>18</v>
      </c>
      <c r="F1236" t="s">
        <v>19</v>
      </c>
      <c r="H1236" s="23" t="e">
        <f>VLOOKUP(A1236,Revisión!$A$2:$L$703,6,FALSE)</f>
        <v>#N/A</v>
      </c>
      <c r="I1236" s="4" t="e">
        <f>VLOOKUP(A1236,Revisión!$A$2:$L$703,7,FALSE)</f>
        <v>#N/A</v>
      </c>
      <c r="J1236" s="4" t="e">
        <f>VLOOKUP(A1236,Revisión!$A$2:$L$703,8,FALSE)</f>
        <v>#N/A</v>
      </c>
      <c r="K1236" s="4" t="e">
        <f>VLOOKUP(A1236,Revisión!$A$2:$L$703,9,FALSE)</f>
        <v>#N/A</v>
      </c>
      <c r="L1236" s="4" t="e">
        <f>VLOOKUP(A1236,Revisión!$A$2:$L$703,10,FALSE)</f>
        <v>#N/A</v>
      </c>
      <c r="M1236" s="18" t="e">
        <f>VLOOKUP(A1236,Revisión!$A$2:$L$703,11,FALSE)</f>
        <v>#N/A</v>
      </c>
      <c r="N1236" s="30" t="str">
        <f>IF(E1236="Coinciden",D1236,IF(E1236="Revisar",VLOOKUP(A1236,Revisión!$A$2:$L$703,12,FALSE),""))</f>
        <v>Ligularia fischeri</v>
      </c>
    </row>
    <row r="1237" spans="1:14" x14ac:dyDescent="0.3">
      <c r="A1237" t="s">
        <v>2558</v>
      </c>
      <c r="B1237" t="s">
        <v>2559</v>
      </c>
      <c r="C1237" t="s">
        <v>2559</v>
      </c>
      <c r="D1237" t="s">
        <v>2559</v>
      </c>
      <c r="E1237" t="s">
        <v>18</v>
      </c>
      <c r="F1237" t="s">
        <v>19</v>
      </c>
      <c r="H1237" s="23" t="e">
        <f>VLOOKUP(A1237,Revisión!$A$2:$L$703,6,FALSE)</f>
        <v>#N/A</v>
      </c>
      <c r="I1237" s="4" t="e">
        <f>VLOOKUP(A1237,Revisión!$A$2:$L$703,7,FALSE)</f>
        <v>#N/A</v>
      </c>
      <c r="J1237" s="4" t="e">
        <f>VLOOKUP(A1237,Revisión!$A$2:$L$703,8,FALSE)</f>
        <v>#N/A</v>
      </c>
      <c r="K1237" s="4" t="e">
        <f>VLOOKUP(A1237,Revisión!$A$2:$L$703,9,FALSE)</f>
        <v>#N/A</v>
      </c>
      <c r="L1237" s="4" t="e">
        <f>VLOOKUP(A1237,Revisión!$A$2:$L$703,10,FALSE)</f>
        <v>#N/A</v>
      </c>
      <c r="M1237" s="18" t="e">
        <f>VLOOKUP(A1237,Revisión!$A$2:$L$703,11,FALSE)</f>
        <v>#N/A</v>
      </c>
      <c r="N1237" s="30" t="str">
        <f>IF(E1237="Coinciden",D1237,IF(E1237="Revisar",VLOOKUP(A1237,Revisión!$A$2:$L$703,12,FALSE),""))</f>
        <v>Ligustrum japonicum</v>
      </c>
    </row>
    <row r="1238" spans="1:14" x14ac:dyDescent="0.3">
      <c r="A1238" t="s">
        <v>2560</v>
      </c>
      <c r="B1238" t="s">
        <v>2561</v>
      </c>
      <c r="C1238" t="s">
        <v>2561</v>
      </c>
      <c r="D1238" t="s">
        <v>2561</v>
      </c>
      <c r="E1238" t="s">
        <v>18</v>
      </c>
      <c r="F1238" t="s">
        <v>19</v>
      </c>
      <c r="H1238" s="23" t="e">
        <f>VLOOKUP(A1238,Revisión!$A$2:$L$703,6,FALSE)</f>
        <v>#N/A</v>
      </c>
      <c r="I1238" s="4" t="e">
        <f>VLOOKUP(A1238,Revisión!$A$2:$L$703,7,FALSE)</f>
        <v>#N/A</v>
      </c>
      <c r="J1238" s="4" t="e">
        <f>VLOOKUP(A1238,Revisión!$A$2:$L$703,8,FALSE)</f>
        <v>#N/A</v>
      </c>
      <c r="K1238" s="4" t="e">
        <f>VLOOKUP(A1238,Revisión!$A$2:$L$703,9,FALSE)</f>
        <v>#N/A</v>
      </c>
      <c r="L1238" s="4" t="e">
        <f>VLOOKUP(A1238,Revisión!$A$2:$L$703,10,FALSE)</f>
        <v>#N/A</v>
      </c>
      <c r="M1238" s="18" t="e">
        <f>VLOOKUP(A1238,Revisión!$A$2:$L$703,11,FALSE)</f>
        <v>#N/A</v>
      </c>
      <c r="N1238" s="30" t="str">
        <f>IF(E1238="Coinciden",D1238,IF(E1238="Revisar",VLOOKUP(A1238,Revisión!$A$2:$L$703,12,FALSE),""))</f>
        <v>Ligustrum obtusifolium</v>
      </c>
    </row>
    <row r="1239" spans="1:14" x14ac:dyDescent="0.3">
      <c r="A1239" t="s">
        <v>2562</v>
      </c>
      <c r="B1239" t="s">
        <v>2563</v>
      </c>
      <c r="C1239" t="s">
        <v>2563</v>
      </c>
      <c r="D1239" t="s">
        <v>2563</v>
      </c>
      <c r="E1239" t="s">
        <v>18</v>
      </c>
      <c r="F1239" t="s">
        <v>19</v>
      </c>
      <c r="H1239" s="23" t="e">
        <f>VLOOKUP(A1239,Revisión!$A$2:$L$703,6,FALSE)</f>
        <v>#N/A</v>
      </c>
      <c r="I1239" s="4" t="e">
        <f>VLOOKUP(A1239,Revisión!$A$2:$L$703,7,FALSE)</f>
        <v>#N/A</v>
      </c>
      <c r="J1239" s="4" t="e">
        <f>VLOOKUP(A1239,Revisión!$A$2:$L$703,8,FALSE)</f>
        <v>#N/A</v>
      </c>
      <c r="K1239" s="4" t="e">
        <f>VLOOKUP(A1239,Revisión!$A$2:$L$703,9,FALSE)</f>
        <v>#N/A</v>
      </c>
      <c r="L1239" s="4" t="e">
        <f>VLOOKUP(A1239,Revisión!$A$2:$L$703,10,FALSE)</f>
        <v>#N/A</v>
      </c>
      <c r="M1239" s="18" t="e">
        <f>VLOOKUP(A1239,Revisión!$A$2:$L$703,11,FALSE)</f>
        <v>#N/A</v>
      </c>
      <c r="N1239" s="30" t="str">
        <f>IF(E1239="Coinciden",D1239,IF(E1239="Revisar",VLOOKUP(A1239,Revisión!$A$2:$L$703,12,FALSE),""))</f>
        <v>Lilium leichtlinii</v>
      </c>
    </row>
    <row r="1240" spans="1:14" x14ac:dyDescent="0.3">
      <c r="A1240" t="s">
        <v>2564</v>
      </c>
      <c r="B1240" t="s">
        <v>2565</v>
      </c>
      <c r="D1240" t="s">
        <v>2565</v>
      </c>
      <c r="E1240" t="s">
        <v>8</v>
      </c>
      <c r="F1240" t="s">
        <v>34</v>
      </c>
      <c r="H1240" s="23" t="str">
        <f>VLOOKUP(A1240,Revisión!$A$2:$L$703,6,FALSE)</f>
        <v>Lilium superbum</v>
      </c>
      <c r="I1240" s="4" t="str">
        <f>VLOOKUP(A1240,Revisión!$A$2:$L$703,7,FALSE)</f>
        <v>-</v>
      </c>
      <c r="J1240" s="4" t="str">
        <f>VLOOKUP(A1240,Revisión!$A$2:$L$703,8,FALSE)</f>
        <v>Lilium superbum</v>
      </c>
      <c r="K1240" s="4" t="str">
        <f>VLOOKUP(A1240,Revisión!$A$2:$L$703,9,FALSE)</f>
        <v>Lilium superbum</v>
      </c>
      <c r="L1240" s="4" t="str">
        <f>VLOOKUP(A1240,Revisión!$A$2:$L$703,10,FALSE)</f>
        <v>Lilium superbum</v>
      </c>
      <c r="M1240" s="18">
        <f>VLOOKUP(A1240,Revisión!$A$2:$L$703,11,FALSE)</f>
        <v>5</v>
      </c>
      <c r="N1240" s="30" t="str">
        <f>IF(E1240="Coinciden",D1240,IF(E1240="Revisar",VLOOKUP(A1240,Revisión!$A$2:$L$703,12,FALSE),""))</f>
        <v>Lilium superbum</v>
      </c>
    </row>
    <row r="1241" spans="1:14" x14ac:dyDescent="0.3">
      <c r="A1241" t="s">
        <v>2566</v>
      </c>
      <c r="C1241" t="s">
        <v>2567</v>
      </c>
      <c r="D1241" t="s">
        <v>2567</v>
      </c>
      <c r="E1241" t="s">
        <v>8</v>
      </c>
      <c r="F1241" t="s">
        <v>49</v>
      </c>
      <c r="H1241" s="23" t="str">
        <f>VLOOKUP(A1241,Revisión!$A$2:$L$703,6,FALSE)</f>
        <v>Limnophila sessiliflora</v>
      </c>
      <c r="I1241" s="4" t="str">
        <f>VLOOKUP(A1241,Revisión!$A$2:$L$703,7,FALSE)</f>
        <v>-</v>
      </c>
      <c r="J1241" s="4" t="str">
        <f>VLOOKUP(A1241,Revisión!$A$2:$L$703,8,FALSE)</f>
        <v>Limnophila sessiliflora</v>
      </c>
      <c r="K1241" s="4" t="str">
        <f>VLOOKUP(A1241,Revisión!$A$2:$L$703,9,FALSE)</f>
        <v>Limnophila sessiliflora</v>
      </c>
      <c r="L1241" s="4" t="str">
        <f>VLOOKUP(A1241,Revisión!$A$2:$L$703,10,FALSE)</f>
        <v>Limnophila sessiliflora</v>
      </c>
      <c r="M1241" s="18">
        <f>VLOOKUP(A1241,Revisión!$A$2:$L$703,11,FALSE)</f>
        <v>5</v>
      </c>
      <c r="N1241" s="30" t="str">
        <f>IF(E1241="Coinciden",D1241,IF(E1241="Revisar",VLOOKUP(A1241,Revisión!$A$2:$L$703,12,FALSE),""))</f>
        <v>Limnophila sessiliflora</v>
      </c>
    </row>
    <row r="1242" spans="1:14" x14ac:dyDescent="0.3">
      <c r="A1242" t="s">
        <v>2568</v>
      </c>
      <c r="B1242" t="s">
        <v>2569</v>
      </c>
      <c r="D1242" t="s">
        <v>2569</v>
      </c>
      <c r="E1242" t="s">
        <v>8</v>
      </c>
      <c r="F1242" t="s">
        <v>34</v>
      </c>
      <c r="H1242" s="23" t="str">
        <f>VLOOKUP(A1242,Revisión!$A$2:$L$703,6,FALSE)</f>
        <v>Linaria vulgaris</v>
      </c>
      <c r="I1242" s="4" t="str">
        <f>VLOOKUP(A1242,Revisión!$A$2:$L$703,7,FALSE)</f>
        <v>-</v>
      </c>
      <c r="J1242" s="4" t="str">
        <f>VLOOKUP(A1242,Revisión!$A$2:$L$703,8,FALSE)</f>
        <v>Linaria vulgaris</v>
      </c>
      <c r="K1242" s="4" t="str">
        <f>VLOOKUP(A1242,Revisión!$A$2:$L$703,9,FALSE)</f>
        <v>Linaria vulgaris</v>
      </c>
      <c r="L1242" s="4" t="str">
        <f>VLOOKUP(A1242,Revisión!$A$2:$L$703,10,FALSE)</f>
        <v>Linaria vulgaris</v>
      </c>
      <c r="M1242" s="18">
        <f>VLOOKUP(A1242,Revisión!$A$2:$L$703,11,FALSE)</f>
        <v>5</v>
      </c>
      <c r="N1242" s="30" t="str">
        <f>IF(E1242="Coinciden",D1242,IF(E1242="Revisar",VLOOKUP(A1242,Revisión!$A$2:$L$703,12,FALSE),""))</f>
        <v>Linaria vulgaris</v>
      </c>
    </row>
    <row r="1243" spans="1:14" x14ac:dyDescent="0.3">
      <c r="A1243" t="s">
        <v>2570</v>
      </c>
      <c r="B1243" t="s">
        <v>2571</v>
      </c>
      <c r="C1243" t="s">
        <v>2571</v>
      </c>
      <c r="D1243" t="s">
        <v>2571</v>
      </c>
      <c r="E1243" t="s">
        <v>18</v>
      </c>
      <c r="F1243" t="s">
        <v>19</v>
      </c>
      <c r="H1243" s="23" t="e">
        <f>VLOOKUP(A1243,Revisión!$A$2:$L$703,6,FALSE)</f>
        <v>#N/A</v>
      </c>
      <c r="I1243" s="4" t="e">
        <f>VLOOKUP(A1243,Revisión!$A$2:$L$703,7,FALSE)</f>
        <v>#N/A</v>
      </c>
      <c r="J1243" s="4" t="e">
        <f>VLOOKUP(A1243,Revisión!$A$2:$L$703,8,FALSE)</f>
        <v>#N/A</v>
      </c>
      <c r="K1243" s="4" t="e">
        <f>VLOOKUP(A1243,Revisión!$A$2:$L$703,9,FALSE)</f>
        <v>#N/A</v>
      </c>
      <c r="L1243" s="4" t="e">
        <f>VLOOKUP(A1243,Revisión!$A$2:$L$703,10,FALSE)</f>
        <v>#N/A</v>
      </c>
      <c r="M1243" s="18" t="e">
        <f>VLOOKUP(A1243,Revisión!$A$2:$L$703,11,FALSE)</f>
        <v>#N/A</v>
      </c>
      <c r="N1243" s="30" t="str">
        <f>IF(E1243="Coinciden",D1243,IF(E1243="Revisar",VLOOKUP(A1243,Revisión!$A$2:$L$703,12,FALSE),""))</f>
        <v>Lindera sericea</v>
      </c>
    </row>
    <row r="1244" spans="1:14" x14ac:dyDescent="0.3">
      <c r="A1244" t="s">
        <v>2572</v>
      </c>
      <c r="B1244" t="s">
        <v>2573</v>
      </c>
      <c r="C1244" t="s">
        <v>2573</v>
      </c>
      <c r="D1244" t="s">
        <v>2573</v>
      </c>
      <c r="E1244" t="s">
        <v>18</v>
      </c>
      <c r="F1244" t="s">
        <v>19</v>
      </c>
      <c r="H1244" s="23" t="e">
        <f>VLOOKUP(A1244,Revisión!$A$2:$L$703,6,FALSE)</f>
        <v>#N/A</v>
      </c>
      <c r="I1244" s="4" t="e">
        <f>VLOOKUP(A1244,Revisión!$A$2:$L$703,7,FALSE)</f>
        <v>#N/A</v>
      </c>
      <c r="J1244" s="4" t="e">
        <f>VLOOKUP(A1244,Revisión!$A$2:$L$703,8,FALSE)</f>
        <v>#N/A</v>
      </c>
      <c r="K1244" s="4" t="e">
        <f>VLOOKUP(A1244,Revisión!$A$2:$L$703,9,FALSE)</f>
        <v>#N/A</v>
      </c>
      <c r="L1244" s="4" t="e">
        <f>VLOOKUP(A1244,Revisión!$A$2:$L$703,10,FALSE)</f>
        <v>#N/A</v>
      </c>
      <c r="M1244" s="18" t="e">
        <f>VLOOKUP(A1244,Revisión!$A$2:$L$703,11,FALSE)</f>
        <v>#N/A</v>
      </c>
      <c r="N1244" s="30" t="str">
        <f>IF(E1244="Coinciden",D1244,IF(E1244="Revisar",VLOOKUP(A1244,Revisión!$A$2:$L$703,12,FALSE),""))</f>
        <v>Lindera obtusiloba</v>
      </c>
    </row>
    <row r="1245" spans="1:14" x14ac:dyDescent="0.3">
      <c r="A1245" t="s">
        <v>2574</v>
      </c>
      <c r="B1245" t="s">
        <v>2575</v>
      </c>
      <c r="C1245" t="s">
        <v>2575</v>
      </c>
      <c r="D1245" t="s">
        <v>2575</v>
      </c>
      <c r="E1245" t="s">
        <v>18</v>
      </c>
      <c r="F1245" t="s">
        <v>19</v>
      </c>
      <c r="H1245" s="23" t="e">
        <f>VLOOKUP(A1245,Revisión!$A$2:$L$703,6,FALSE)</f>
        <v>#N/A</v>
      </c>
      <c r="I1245" s="4" t="e">
        <f>VLOOKUP(A1245,Revisión!$A$2:$L$703,7,FALSE)</f>
        <v>#N/A</v>
      </c>
      <c r="J1245" s="4" t="e">
        <f>VLOOKUP(A1245,Revisión!$A$2:$L$703,8,FALSE)</f>
        <v>#N/A</v>
      </c>
      <c r="K1245" s="4" t="e">
        <f>VLOOKUP(A1245,Revisión!$A$2:$L$703,9,FALSE)</f>
        <v>#N/A</v>
      </c>
      <c r="L1245" s="4" t="e">
        <f>VLOOKUP(A1245,Revisión!$A$2:$L$703,10,FALSE)</f>
        <v>#N/A</v>
      </c>
      <c r="M1245" s="18" t="e">
        <f>VLOOKUP(A1245,Revisión!$A$2:$L$703,11,FALSE)</f>
        <v>#N/A</v>
      </c>
      <c r="N1245" s="30" t="str">
        <f>IF(E1245="Coinciden",D1245,IF(E1245="Revisar",VLOOKUP(A1245,Revisión!$A$2:$L$703,12,FALSE),""))</f>
        <v>Lindera umbellata</v>
      </c>
    </row>
    <row r="1246" spans="1:14" x14ac:dyDescent="0.3">
      <c r="A1246" t="s">
        <v>2576</v>
      </c>
      <c r="B1246" t="s">
        <v>2577</v>
      </c>
      <c r="C1246" t="s">
        <v>2577</v>
      </c>
      <c r="D1246" t="s">
        <v>2577</v>
      </c>
      <c r="E1246" t="s">
        <v>18</v>
      </c>
      <c r="F1246" t="s">
        <v>19</v>
      </c>
      <c r="H1246" s="23" t="e">
        <f>VLOOKUP(A1246,Revisión!$A$2:$L$703,6,FALSE)</f>
        <v>#N/A</v>
      </c>
      <c r="I1246" s="4" t="e">
        <f>VLOOKUP(A1246,Revisión!$A$2:$L$703,7,FALSE)</f>
        <v>#N/A</v>
      </c>
      <c r="J1246" s="4" t="e">
        <f>VLOOKUP(A1246,Revisión!$A$2:$L$703,8,FALSE)</f>
        <v>#N/A</v>
      </c>
      <c r="K1246" s="4" t="e">
        <f>VLOOKUP(A1246,Revisión!$A$2:$L$703,9,FALSE)</f>
        <v>#N/A</v>
      </c>
      <c r="L1246" s="4" t="e">
        <f>VLOOKUP(A1246,Revisión!$A$2:$L$703,10,FALSE)</f>
        <v>#N/A</v>
      </c>
      <c r="M1246" s="18" t="e">
        <f>VLOOKUP(A1246,Revisión!$A$2:$L$703,11,FALSE)</f>
        <v>#N/A</v>
      </c>
      <c r="N1246" s="30" t="str">
        <f>IF(E1246="Coinciden",D1246,IF(E1246="Revisar",VLOOKUP(A1246,Revisión!$A$2:$L$703,12,FALSE),""))</f>
        <v>Lindernia procumbens</v>
      </c>
    </row>
    <row r="1247" spans="1:14" x14ac:dyDescent="0.3">
      <c r="A1247" t="s">
        <v>2578</v>
      </c>
      <c r="B1247" t="s">
        <v>2579</v>
      </c>
      <c r="C1247" t="s">
        <v>2579</v>
      </c>
      <c r="D1247" t="s">
        <v>2579</v>
      </c>
      <c r="E1247" t="s">
        <v>18</v>
      </c>
      <c r="F1247" t="s">
        <v>19</v>
      </c>
      <c r="H1247" s="23" t="e">
        <f>VLOOKUP(A1247,Revisión!$A$2:$L$703,6,FALSE)</f>
        <v>#N/A</v>
      </c>
      <c r="I1247" s="4" t="e">
        <f>VLOOKUP(A1247,Revisión!$A$2:$L$703,7,FALSE)</f>
        <v>#N/A</v>
      </c>
      <c r="J1247" s="4" t="e">
        <f>VLOOKUP(A1247,Revisión!$A$2:$L$703,8,FALSE)</f>
        <v>#N/A</v>
      </c>
      <c r="K1247" s="4" t="e">
        <f>VLOOKUP(A1247,Revisión!$A$2:$L$703,9,FALSE)</f>
        <v>#N/A</v>
      </c>
      <c r="L1247" s="4" t="e">
        <f>VLOOKUP(A1247,Revisión!$A$2:$L$703,10,FALSE)</f>
        <v>#N/A</v>
      </c>
      <c r="M1247" s="18" t="e">
        <f>VLOOKUP(A1247,Revisión!$A$2:$L$703,11,FALSE)</f>
        <v>#N/A</v>
      </c>
      <c r="N1247" s="30" t="str">
        <f>IF(E1247="Coinciden",D1247,IF(E1247="Revisar",VLOOKUP(A1247,Revisión!$A$2:$L$703,12,FALSE),""))</f>
        <v>Lindernia dubia</v>
      </c>
    </row>
    <row r="1248" spans="1:14" x14ac:dyDescent="0.3">
      <c r="A1248" t="s">
        <v>2580</v>
      </c>
      <c r="B1248" t="s">
        <v>2581</v>
      </c>
      <c r="C1248" t="s">
        <v>2581</v>
      </c>
      <c r="D1248" t="s">
        <v>2581</v>
      </c>
      <c r="E1248" t="s">
        <v>18</v>
      </c>
      <c r="F1248" t="s">
        <v>19</v>
      </c>
      <c r="H1248" s="23" t="e">
        <f>VLOOKUP(A1248,Revisión!$A$2:$L$703,6,FALSE)</f>
        <v>#N/A</v>
      </c>
      <c r="I1248" s="4" t="e">
        <f>VLOOKUP(A1248,Revisión!$A$2:$L$703,7,FALSE)</f>
        <v>#N/A</v>
      </c>
      <c r="J1248" s="4" t="e">
        <f>VLOOKUP(A1248,Revisión!$A$2:$L$703,8,FALSE)</f>
        <v>#N/A</v>
      </c>
      <c r="K1248" s="4" t="e">
        <f>VLOOKUP(A1248,Revisión!$A$2:$L$703,9,FALSE)</f>
        <v>#N/A</v>
      </c>
      <c r="L1248" s="4" t="e">
        <f>VLOOKUP(A1248,Revisión!$A$2:$L$703,10,FALSE)</f>
        <v>#N/A</v>
      </c>
      <c r="M1248" s="18" t="e">
        <f>VLOOKUP(A1248,Revisión!$A$2:$L$703,11,FALSE)</f>
        <v>#N/A</v>
      </c>
      <c r="N1248" s="30" t="str">
        <f>IF(E1248="Coinciden",D1248,IF(E1248="Revisar",VLOOKUP(A1248,Revisión!$A$2:$L$703,12,FALSE),""))</f>
        <v>Linnaea borealis</v>
      </c>
    </row>
    <row r="1249" spans="1:14" x14ac:dyDescent="0.3">
      <c r="A1249" t="s">
        <v>2582</v>
      </c>
      <c r="B1249" t="s">
        <v>2583</v>
      </c>
      <c r="C1249" t="s">
        <v>2583</v>
      </c>
      <c r="D1249" t="s">
        <v>2583</v>
      </c>
      <c r="E1249" t="s">
        <v>18</v>
      </c>
      <c r="F1249" t="s">
        <v>19</v>
      </c>
      <c r="H1249" s="23" t="e">
        <f>VLOOKUP(A1249,Revisión!$A$2:$L$703,6,FALSE)</f>
        <v>#N/A</v>
      </c>
      <c r="I1249" s="4" t="e">
        <f>VLOOKUP(A1249,Revisión!$A$2:$L$703,7,FALSE)</f>
        <v>#N/A</v>
      </c>
      <c r="J1249" s="4" t="e">
        <f>VLOOKUP(A1249,Revisión!$A$2:$L$703,8,FALSE)</f>
        <v>#N/A</v>
      </c>
      <c r="K1249" s="4" t="e">
        <f>VLOOKUP(A1249,Revisión!$A$2:$L$703,9,FALSE)</f>
        <v>#N/A</v>
      </c>
      <c r="L1249" s="4" t="e">
        <f>VLOOKUP(A1249,Revisión!$A$2:$L$703,10,FALSE)</f>
        <v>#N/A</v>
      </c>
      <c r="M1249" s="18" t="e">
        <f>VLOOKUP(A1249,Revisión!$A$2:$L$703,11,FALSE)</f>
        <v>#N/A</v>
      </c>
      <c r="N1249" s="30" t="str">
        <f>IF(E1249="Coinciden",D1249,IF(E1249="Revisar",VLOOKUP(A1249,Revisión!$A$2:$L$703,12,FALSE),""))</f>
        <v>Linum strictum</v>
      </c>
    </row>
    <row r="1250" spans="1:14" x14ac:dyDescent="0.3">
      <c r="A1250" t="s">
        <v>2584</v>
      </c>
      <c r="B1250" t="s">
        <v>2585</v>
      </c>
      <c r="C1250" t="s">
        <v>2585</v>
      </c>
      <c r="D1250" t="s">
        <v>2585</v>
      </c>
      <c r="E1250" t="s">
        <v>18</v>
      </c>
      <c r="F1250" t="s">
        <v>19</v>
      </c>
      <c r="H1250" s="23" t="e">
        <f>VLOOKUP(A1250,Revisión!$A$2:$L$703,6,FALSE)</f>
        <v>#N/A</v>
      </c>
      <c r="I1250" s="4" t="e">
        <f>VLOOKUP(A1250,Revisión!$A$2:$L$703,7,FALSE)</f>
        <v>#N/A</v>
      </c>
      <c r="J1250" s="4" t="e">
        <f>VLOOKUP(A1250,Revisión!$A$2:$L$703,8,FALSE)</f>
        <v>#N/A</v>
      </c>
      <c r="K1250" s="4" t="e">
        <f>VLOOKUP(A1250,Revisión!$A$2:$L$703,9,FALSE)</f>
        <v>#N/A</v>
      </c>
      <c r="L1250" s="4" t="e">
        <f>VLOOKUP(A1250,Revisión!$A$2:$L$703,10,FALSE)</f>
        <v>#N/A</v>
      </c>
      <c r="M1250" s="18" t="e">
        <f>VLOOKUP(A1250,Revisión!$A$2:$L$703,11,FALSE)</f>
        <v>#N/A</v>
      </c>
      <c r="N1250" s="30" t="str">
        <f>IF(E1250="Coinciden",D1250,IF(E1250="Revisar",VLOOKUP(A1250,Revisión!$A$2:$L$703,12,FALSE),""))</f>
        <v>Linum catharticum</v>
      </c>
    </row>
    <row r="1251" spans="1:14" x14ac:dyDescent="0.3">
      <c r="A1251" t="s">
        <v>2586</v>
      </c>
      <c r="E1251" t="s">
        <v>8</v>
      </c>
      <c r="F1251" t="s">
        <v>11</v>
      </c>
      <c r="H1251" s="23" t="e">
        <f>VLOOKUP(A1251,Revisión!$A$2:$L$703,6,FALSE)</f>
        <v>#N/A</v>
      </c>
      <c r="I1251" s="4" t="e">
        <f>VLOOKUP(A1251,Revisión!$A$2:$L$703,7,FALSE)</f>
        <v>#N/A</v>
      </c>
      <c r="J1251" s="4" t="e">
        <f>VLOOKUP(A1251,Revisión!$A$2:$L$703,8,FALSE)</f>
        <v>#N/A</v>
      </c>
      <c r="K1251" s="4" t="e">
        <f>VLOOKUP(A1251,Revisión!$A$2:$L$703,9,FALSE)</f>
        <v>#N/A</v>
      </c>
      <c r="L1251" s="4" t="e">
        <f>VLOOKUP(A1251,Revisión!$A$2:$L$703,10,FALSE)</f>
        <v>#N/A</v>
      </c>
      <c r="M1251" s="18" t="e">
        <f>VLOOKUP(A1251,Revisión!$A$2:$L$703,11,FALSE)</f>
        <v>#N/A</v>
      </c>
      <c r="N1251" s="30" t="e">
        <f>IF(E1251="Coinciden",D1251,IF(E1251="Revisar",VLOOKUP(A1251,Revisión!$A$2:$L$703,12,FALSE),""))</f>
        <v>#N/A</v>
      </c>
    </row>
    <row r="1252" spans="1:14" x14ac:dyDescent="0.3">
      <c r="A1252" t="s">
        <v>2587</v>
      </c>
      <c r="B1252" t="s">
        <v>2588</v>
      </c>
      <c r="C1252" t="s">
        <v>2588</v>
      </c>
      <c r="D1252" t="s">
        <v>2588</v>
      </c>
      <c r="E1252" t="s">
        <v>18</v>
      </c>
      <c r="F1252" t="s">
        <v>19</v>
      </c>
      <c r="H1252" s="23" t="e">
        <f>VLOOKUP(A1252,Revisión!$A$2:$L$703,6,FALSE)</f>
        <v>#N/A</v>
      </c>
      <c r="I1252" s="4" t="e">
        <f>VLOOKUP(A1252,Revisión!$A$2:$L$703,7,FALSE)</f>
        <v>#N/A</v>
      </c>
      <c r="J1252" s="4" t="e">
        <f>VLOOKUP(A1252,Revisión!$A$2:$L$703,8,FALSE)</f>
        <v>#N/A</v>
      </c>
      <c r="K1252" s="4" t="e">
        <f>VLOOKUP(A1252,Revisión!$A$2:$L$703,9,FALSE)</f>
        <v>#N/A</v>
      </c>
      <c r="L1252" s="4" t="e">
        <f>VLOOKUP(A1252,Revisión!$A$2:$L$703,10,FALSE)</f>
        <v>#N/A</v>
      </c>
      <c r="M1252" s="18" t="e">
        <f>VLOOKUP(A1252,Revisión!$A$2:$L$703,11,FALSE)</f>
        <v>#N/A</v>
      </c>
      <c r="N1252" s="30" t="str">
        <f>IF(E1252="Coinciden",D1252,IF(E1252="Revisar",VLOOKUP(A1252,Revisión!$A$2:$L$703,12,FALSE),""))</f>
        <v>Liparis liliifolia</v>
      </c>
    </row>
    <row r="1253" spans="1:14" x14ac:dyDescent="0.3">
      <c r="A1253" t="s">
        <v>2589</v>
      </c>
      <c r="B1253" t="s">
        <v>2590</v>
      </c>
      <c r="C1253" t="s">
        <v>2590</v>
      </c>
      <c r="D1253" t="s">
        <v>2590</v>
      </c>
      <c r="E1253" t="s">
        <v>18</v>
      </c>
      <c r="F1253" t="s">
        <v>19</v>
      </c>
      <c r="H1253" s="23" t="e">
        <f>VLOOKUP(A1253,Revisión!$A$2:$L$703,6,FALSE)</f>
        <v>#N/A</v>
      </c>
      <c r="I1253" s="4" t="e">
        <f>VLOOKUP(A1253,Revisión!$A$2:$L$703,7,FALSE)</f>
        <v>#N/A</v>
      </c>
      <c r="J1253" s="4" t="e">
        <f>VLOOKUP(A1253,Revisión!$A$2:$L$703,8,FALSE)</f>
        <v>#N/A</v>
      </c>
      <c r="K1253" s="4" t="e">
        <f>VLOOKUP(A1253,Revisión!$A$2:$L$703,9,FALSE)</f>
        <v>#N/A</v>
      </c>
      <c r="L1253" s="4" t="e">
        <f>VLOOKUP(A1253,Revisión!$A$2:$L$703,10,FALSE)</f>
        <v>#N/A</v>
      </c>
      <c r="M1253" s="18" t="e">
        <f>VLOOKUP(A1253,Revisión!$A$2:$L$703,11,FALSE)</f>
        <v>#N/A</v>
      </c>
      <c r="N1253" s="30" t="str">
        <f>IF(E1253="Coinciden",D1253,IF(E1253="Revisar",VLOOKUP(A1253,Revisión!$A$2:$L$703,12,FALSE),""))</f>
        <v>Phyla lanceolata</v>
      </c>
    </row>
    <row r="1254" spans="1:14" x14ac:dyDescent="0.3">
      <c r="A1254" t="s">
        <v>2591</v>
      </c>
      <c r="B1254" t="s">
        <v>2592</v>
      </c>
      <c r="C1254" t="s">
        <v>2592</v>
      </c>
      <c r="D1254" t="s">
        <v>2592</v>
      </c>
      <c r="E1254" t="s">
        <v>18</v>
      </c>
      <c r="F1254" t="s">
        <v>19</v>
      </c>
      <c r="H1254" s="23" t="e">
        <f>VLOOKUP(A1254,Revisión!$A$2:$L$703,6,FALSE)</f>
        <v>#N/A</v>
      </c>
      <c r="I1254" s="4" t="e">
        <f>VLOOKUP(A1254,Revisión!$A$2:$L$703,7,FALSE)</f>
        <v>#N/A</v>
      </c>
      <c r="J1254" s="4" t="e">
        <f>VLOOKUP(A1254,Revisión!$A$2:$L$703,8,FALSE)</f>
        <v>#N/A</v>
      </c>
      <c r="K1254" s="4" t="e">
        <f>VLOOKUP(A1254,Revisión!$A$2:$L$703,9,FALSE)</f>
        <v>#N/A</v>
      </c>
      <c r="L1254" s="4" t="e">
        <f>VLOOKUP(A1254,Revisión!$A$2:$L$703,10,FALSE)</f>
        <v>#N/A</v>
      </c>
      <c r="M1254" s="18" t="e">
        <f>VLOOKUP(A1254,Revisión!$A$2:$L$703,11,FALSE)</f>
        <v>#N/A</v>
      </c>
      <c r="N1254" s="30" t="str">
        <f>IF(E1254="Coinciden",D1254,IF(E1254="Revisar",VLOOKUP(A1254,Revisión!$A$2:$L$703,12,FALSE),""))</f>
        <v>Lippia rosmarinifolia</v>
      </c>
    </row>
    <row r="1255" spans="1:14" x14ac:dyDescent="0.3">
      <c r="A1255" t="s">
        <v>2593</v>
      </c>
      <c r="B1255" t="s">
        <v>2594</v>
      </c>
      <c r="C1255" t="s">
        <v>2594</v>
      </c>
      <c r="D1255" t="s">
        <v>2594</v>
      </c>
      <c r="E1255" t="s">
        <v>18</v>
      </c>
      <c r="F1255" t="s">
        <v>19</v>
      </c>
      <c r="H1255" s="23" t="e">
        <f>VLOOKUP(A1255,Revisión!$A$2:$L$703,6,FALSE)</f>
        <v>#N/A</v>
      </c>
      <c r="I1255" s="4" t="e">
        <f>VLOOKUP(A1255,Revisión!$A$2:$L$703,7,FALSE)</f>
        <v>#N/A</v>
      </c>
      <c r="J1255" s="4" t="e">
        <f>VLOOKUP(A1255,Revisión!$A$2:$L$703,8,FALSE)</f>
        <v>#N/A</v>
      </c>
      <c r="K1255" s="4" t="e">
        <f>VLOOKUP(A1255,Revisión!$A$2:$L$703,9,FALSE)</f>
        <v>#N/A</v>
      </c>
      <c r="L1255" s="4" t="e">
        <f>VLOOKUP(A1255,Revisión!$A$2:$L$703,10,FALSE)</f>
        <v>#N/A</v>
      </c>
      <c r="M1255" s="18" t="e">
        <f>VLOOKUP(A1255,Revisión!$A$2:$L$703,11,FALSE)</f>
        <v>#N/A</v>
      </c>
      <c r="N1255" s="30" t="str">
        <f>IF(E1255="Coinciden",D1255,IF(E1255="Revisar",VLOOKUP(A1255,Revisión!$A$2:$L$703,12,FALSE),""))</f>
        <v>Phyla nodiflora</v>
      </c>
    </row>
    <row r="1256" spans="1:14" x14ac:dyDescent="0.3">
      <c r="A1256" t="s">
        <v>2595</v>
      </c>
      <c r="B1256" t="s">
        <v>2596</v>
      </c>
      <c r="C1256" t="s">
        <v>2596</v>
      </c>
      <c r="D1256" t="s">
        <v>2596</v>
      </c>
      <c r="E1256" t="s">
        <v>18</v>
      </c>
      <c r="F1256" t="s">
        <v>19</v>
      </c>
      <c r="H1256" s="23" t="e">
        <f>VLOOKUP(A1256,Revisión!$A$2:$L$703,6,FALSE)</f>
        <v>#N/A</v>
      </c>
      <c r="I1256" s="4" t="e">
        <f>VLOOKUP(A1256,Revisión!$A$2:$L$703,7,FALSE)</f>
        <v>#N/A</v>
      </c>
      <c r="J1256" s="4" t="e">
        <f>VLOOKUP(A1256,Revisión!$A$2:$L$703,8,FALSE)</f>
        <v>#N/A</v>
      </c>
      <c r="K1256" s="4" t="e">
        <f>VLOOKUP(A1256,Revisión!$A$2:$L$703,9,FALSE)</f>
        <v>#N/A</v>
      </c>
      <c r="L1256" s="4" t="e">
        <f>VLOOKUP(A1256,Revisión!$A$2:$L$703,10,FALSE)</f>
        <v>#N/A</v>
      </c>
      <c r="M1256" s="18" t="e">
        <f>VLOOKUP(A1256,Revisión!$A$2:$L$703,11,FALSE)</f>
        <v>#N/A</v>
      </c>
      <c r="N1256" s="30" t="str">
        <f>IF(E1256="Coinciden",D1256,IF(E1256="Revisar",VLOOKUP(A1256,Revisión!$A$2:$L$703,12,FALSE),""))</f>
        <v>Liriope muscari</v>
      </c>
    </row>
    <row r="1257" spans="1:14" x14ac:dyDescent="0.3">
      <c r="A1257" t="s">
        <v>2597</v>
      </c>
      <c r="B1257" t="s">
        <v>2598</v>
      </c>
      <c r="D1257" t="s">
        <v>2598</v>
      </c>
      <c r="E1257" t="s">
        <v>8</v>
      </c>
      <c r="F1257" t="s">
        <v>34</v>
      </c>
      <c r="H1257" s="23" t="str">
        <f>VLOOKUP(A1257,Revisión!$A$2:$L$703,6,FALSE)</f>
        <v>Lithospermum canescens</v>
      </c>
      <c r="I1257" s="4" t="str">
        <f>VLOOKUP(A1257,Revisión!$A$2:$L$703,7,FALSE)</f>
        <v>-</v>
      </c>
      <c r="J1257" s="4" t="str">
        <f>VLOOKUP(A1257,Revisión!$A$2:$L$703,8,FALSE)</f>
        <v>Lithospermum canescens</v>
      </c>
      <c r="K1257" s="4" t="str">
        <f>VLOOKUP(A1257,Revisión!$A$2:$L$703,9,FALSE)</f>
        <v>Lithospermum canescens</v>
      </c>
      <c r="L1257" s="4" t="str">
        <f>VLOOKUP(A1257,Revisión!$A$2:$L$703,10,FALSE)</f>
        <v>Lithospermum canescens</v>
      </c>
      <c r="M1257" s="18">
        <f>VLOOKUP(A1257,Revisión!$A$2:$L$703,11,FALSE)</f>
        <v>5</v>
      </c>
      <c r="N1257" s="30" t="str">
        <f>IF(E1257="Coinciden",D1257,IF(E1257="Revisar",VLOOKUP(A1257,Revisión!$A$2:$L$703,12,FALSE),""))</f>
        <v>Lithospermum canescens</v>
      </c>
    </row>
    <row r="1258" spans="1:14" x14ac:dyDescent="0.3">
      <c r="A1258" t="s">
        <v>2599</v>
      </c>
      <c r="B1258" t="s">
        <v>2600</v>
      </c>
      <c r="C1258" t="s">
        <v>2600</v>
      </c>
      <c r="D1258" t="s">
        <v>2600</v>
      </c>
      <c r="E1258" t="s">
        <v>18</v>
      </c>
      <c r="F1258" t="s">
        <v>19</v>
      </c>
      <c r="H1258" s="23" t="e">
        <f>VLOOKUP(A1258,Revisión!$A$2:$L$703,6,FALSE)</f>
        <v>#N/A</v>
      </c>
      <c r="I1258" s="4" t="e">
        <f>VLOOKUP(A1258,Revisión!$A$2:$L$703,7,FALSE)</f>
        <v>#N/A</v>
      </c>
      <c r="J1258" s="4" t="e">
        <f>VLOOKUP(A1258,Revisión!$A$2:$L$703,8,FALSE)</f>
        <v>#N/A</v>
      </c>
      <c r="K1258" s="4" t="e">
        <f>VLOOKUP(A1258,Revisión!$A$2:$L$703,9,FALSE)</f>
        <v>#N/A</v>
      </c>
      <c r="L1258" s="4" t="e">
        <f>VLOOKUP(A1258,Revisión!$A$2:$L$703,10,FALSE)</f>
        <v>#N/A</v>
      </c>
      <c r="M1258" s="18" t="e">
        <f>VLOOKUP(A1258,Revisión!$A$2:$L$703,11,FALSE)</f>
        <v>#N/A</v>
      </c>
      <c r="N1258" s="30" t="str">
        <f>IF(E1258="Coinciden",D1258,IF(E1258="Revisar",VLOOKUP(A1258,Revisión!$A$2:$L$703,12,FALSE),""))</f>
        <v>Litsea japonica</v>
      </c>
    </row>
    <row r="1259" spans="1:14" x14ac:dyDescent="0.3">
      <c r="A1259" t="s">
        <v>2601</v>
      </c>
      <c r="B1259" t="s">
        <v>2602</v>
      </c>
      <c r="C1259" t="s">
        <v>2602</v>
      </c>
      <c r="D1259" t="s">
        <v>2602</v>
      </c>
      <c r="E1259" t="s">
        <v>18</v>
      </c>
      <c r="F1259" t="s">
        <v>19</v>
      </c>
      <c r="H1259" s="23" t="e">
        <f>VLOOKUP(A1259,Revisión!$A$2:$L$703,6,FALSE)</f>
        <v>#N/A</v>
      </c>
      <c r="I1259" s="4" t="e">
        <f>VLOOKUP(A1259,Revisión!$A$2:$L$703,7,FALSE)</f>
        <v>#N/A</v>
      </c>
      <c r="J1259" s="4" t="e">
        <f>VLOOKUP(A1259,Revisión!$A$2:$L$703,8,FALSE)</f>
        <v>#N/A</v>
      </c>
      <c r="K1259" s="4" t="e">
        <f>VLOOKUP(A1259,Revisión!$A$2:$L$703,9,FALSE)</f>
        <v>#N/A</v>
      </c>
      <c r="L1259" s="4" t="e">
        <f>VLOOKUP(A1259,Revisión!$A$2:$L$703,10,FALSE)</f>
        <v>#N/A</v>
      </c>
      <c r="M1259" s="18" t="e">
        <f>VLOOKUP(A1259,Revisión!$A$2:$L$703,11,FALSE)</f>
        <v>#N/A</v>
      </c>
      <c r="N1259" s="30" t="str">
        <f>IF(E1259="Coinciden",D1259,IF(E1259="Revisar",VLOOKUP(A1259,Revisión!$A$2:$L$703,12,FALSE),""))</f>
        <v>Lindera citriodora</v>
      </c>
    </row>
    <row r="1260" spans="1:14" x14ac:dyDescent="0.3">
      <c r="A1260" t="s">
        <v>2603</v>
      </c>
      <c r="B1260" t="s">
        <v>2604</v>
      </c>
      <c r="C1260" t="s">
        <v>2604</v>
      </c>
      <c r="D1260" t="s">
        <v>2604</v>
      </c>
      <c r="E1260" t="s">
        <v>18</v>
      </c>
      <c r="F1260" t="s">
        <v>19</v>
      </c>
      <c r="H1260" s="23" t="e">
        <f>VLOOKUP(A1260,Revisión!$A$2:$L$703,6,FALSE)</f>
        <v>#N/A</v>
      </c>
      <c r="I1260" s="4" t="e">
        <f>VLOOKUP(A1260,Revisión!$A$2:$L$703,7,FALSE)</f>
        <v>#N/A</v>
      </c>
      <c r="J1260" s="4" t="e">
        <f>VLOOKUP(A1260,Revisión!$A$2:$L$703,8,FALSE)</f>
        <v>#N/A</v>
      </c>
      <c r="K1260" s="4" t="e">
        <f>VLOOKUP(A1260,Revisión!$A$2:$L$703,9,FALSE)</f>
        <v>#N/A</v>
      </c>
      <c r="L1260" s="4" t="e">
        <f>VLOOKUP(A1260,Revisión!$A$2:$L$703,10,FALSE)</f>
        <v>#N/A</v>
      </c>
      <c r="M1260" s="18" t="e">
        <f>VLOOKUP(A1260,Revisión!$A$2:$L$703,11,FALSE)</f>
        <v>#N/A</v>
      </c>
      <c r="N1260" s="30" t="str">
        <f>IF(E1260="Coinciden",D1260,IF(E1260="Revisar",VLOOKUP(A1260,Revisión!$A$2:$L$703,12,FALSE),""))</f>
        <v>Pinnasa incurva</v>
      </c>
    </row>
    <row r="1261" spans="1:14" x14ac:dyDescent="0.3">
      <c r="A1261" t="s">
        <v>2605</v>
      </c>
      <c r="B1261" t="s">
        <v>2606</v>
      </c>
      <c r="C1261" t="s">
        <v>2606</v>
      </c>
      <c r="D1261" t="s">
        <v>2606</v>
      </c>
      <c r="E1261" t="s">
        <v>18</v>
      </c>
      <c r="F1261" t="s">
        <v>19</v>
      </c>
      <c r="H1261" s="23" t="e">
        <f>VLOOKUP(A1261,Revisión!$A$2:$L$703,6,FALSE)</f>
        <v>#N/A</v>
      </c>
      <c r="I1261" s="4" t="e">
        <f>VLOOKUP(A1261,Revisión!$A$2:$L$703,7,FALSE)</f>
        <v>#N/A</v>
      </c>
      <c r="J1261" s="4" t="e">
        <f>VLOOKUP(A1261,Revisión!$A$2:$L$703,8,FALSE)</f>
        <v>#N/A</v>
      </c>
      <c r="K1261" s="4" t="e">
        <f>VLOOKUP(A1261,Revisión!$A$2:$L$703,9,FALSE)</f>
        <v>#N/A</v>
      </c>
      <c r="L1261" s="4" t="e">
        <f>VLOOKUP(A1261,Revisión!$A$2:$L$703,10,FALSE)</f>
        <v>#N/A</v>
      </c>
      <c r="M1261" s="18" t="e">
        <f>VLOOKUP(A1261,Revisión!$A$2:$L$703,11,FALSE)</f>
        <v>#N/A</v>
      </c>
      <c r="N1261" s="30" t="str">
        <f>IF(E1261="Coinciden",D1261,IF(E1261="Revisar",VLOOKUP(A1261,Revisión!$A$2:$L$703,12,FALSE),""))</f>
        <v>Loasa heterophylla</v>
      </c>
    </row>
    <row r="1262" spans="1:14" x14ac:dyDescent="0.3">
      <c r="A1262" t="s">
        <v>2607</v>
      </c>
      <c r="B1262" t="s">
        <v>2608</v>
      </c>
      <c r="C1262" t="s">
        <v>2608</v>
      </c>
      <c r="D1262" t="s">
        <v>2608</v>
      </c>
      <c r="E1262" t="s">
        <v>18</v>
      </c>
      <c r="F1262" t="s">
        <v>19</v>
      </c>
      <c r="H1262" s="23" t="e">
        <f>VLOOKUP(A1262,Revisión!$A$2:$L$703,6,FALSE)</f>
        <v>#N/A</v>
      </c>
      <c r="I1262" s="4" t="e">
        <f>VLOOKUP(A1262,Revisión!$A$2:$L$703,7,FALSE)</f>
        <v>#N/A</v>
      </c>
      <c r="J1262" s="4" t="e">
        <f>VLOOKUP(A1262,Revisión!$A$2:$L$703,8,FALSE)</f>
        <v>#N/A</v>
      </c>
      <c r="K1262" s="4" t="e">
        <f>VLOOKUP(A1262,Revisión!$A$2:$L$703,9,FALSE)</f>
        <v>#N/A</v>
      </c>
      <c r="L1262" s="4" t="e">
        <f>VLOOKUP(A1262,Revisión!$A$2:$L$703,10,FALSE)</f>
        <v>#N/A</v>
      </c>
      <c r="M1262" s="18" t="e">
        <f>VLOOKUP(A1262,Revisión!$A$2:$L$703,11,FALSE)</f>
        <v>#N/A</v>
      </c>
      <c r="N1262" s="30" t="str">
        <f>IF(E1262="Coinciden",D1262,IF(E1262="Revisar",VLOOKUP(A1262,Revisión!$A$2:$L$703,12,FALSE),""))</f>
        <v>Loasa sigmoidea</v>
      </c>
    </row>
    <row r="1263" spans="1:14" x14ac:dyDescent="0.3">
      <c r="A1263" t="s">
        <v>2609</v>
      </c>
      <c r="B1263" t="s">
        <v>2610</v>
      </c>
      <c r="C1263" t="s">
        <v>2610</v>
      </c>
      <c r="D1263" t="s">
        <v>2610</v>
      </c>
      <c r="E1263" t="s">
        <v>18</v>
      </c>
      <c r="F1263" t="s">
        <v>19</v>
      </c>
      <c r="H1263" s="23" t="e">
        <f>VLOOKUP(A1263,Revisión!$A$2:$L$703,6,FALSE)</f>
        <v>#N/A</v>
      </c>
      <c r="I1263" s="4" t="e">
        <f>VLOOKUP(A1263,Revisión!$A$2:$L$703,7,FALSE)</f>
        <v>#N/A</v>
      </c>
      <c r="J1263" s="4" t="e">
        <f>VLOOKUP(A1263,Revisión!$A$2:$L$703,8,FALSE)</f>
        <v>#N/A</v>
      </c>
      <c r="K1263" s="4" t="e">
        <f>VLOOKUP(A1263,Revisión!$A$2:$L$703,9,FALSE)</f>
        <v>#N/A</v>
      </c>
      <c r="L1263" s="4" t="e">
        <f>VLOOKUP(A1263,Revisión!$A$2:$L$703,10,FALSE)</f>
        <v>#N/A</v>
      </c>
      <c r="M1263" s="18" t="e">
        <f>VLOOKUP(A1263,Revisión!$A$2:$L$703,11,FALSE)</f>
        <v>#N/A</v>
      </c>
      <c r="N1263" s="30" t="str">
        <f>IF(E1263="Coinciden",D1263,IF(E1263="Revisar",VLOOKUP(A1263,Revisión!$A$2:$L$703,12,FALSE),""))</f>
        <v>Loasa caespitosa</v>
      </c>
    </row>
    <row r="1264" spans="1:14" x14ac:dyDescent="0.3">
      <c r="A1264" t="s">
        <v>2611</v>
      </c>
      <c r="B1264" t="s">
        <v>2612</v>
      </c>
      <c r="C1264" t="s">
        <v>2612</v>
      </c>
      <c r="D1264" t="s">
        <v>2612</v>
      </c>
      <c r="E1264" t="s">
        <v>18</v>
      </c>
      <c r="F1264" t="s">
        <v>19</v>
      </c>
      <c r="H1264" s="23" t="e">
        <f>VLOOKUP(A1264,Revisión!$A$2:$L$703,6,FALSE)</f>
        <v>#N/A</v>
      </c>
      <c r="I1264" s="4" t="e">
        <f>VLOOKUP(A1264,Revisión!$A$2:$L$703,7,FALSE)</f>
        <v>#N/A</v>
      </c>
      <c r="J1264" s="4" t="e">
        <f>VLOOKUP(A1264,Revisión!$A$2:$L$703,8,FALSE)</f>
        <v>#N/A</v>
      </c>
      <c r="K1264" s="4" t="e">
        <f>VLOOKUP(A1264,Revisión!$A$2:$L$703,9,FALSE)</f>
        <v>#N/A</v>
      </c>
      <c r="L1264" s="4" t="e">
        <f>VLOOKUP(A1264,Revisión!$A$2:$L$703,10,FALSE)</f>
        <v>#N/A</v>
      </c>
      <c r="M1264" s="18" t="e">
        <f>VLOOKUP(A1264,Revisión!$A$2:$L$703,11,FALSE)</f>
        <v>#N/A</v>
      </c>
      <c r="N1264" s="30" t="str">
        <f>IF(E1264="Coinciden",D1264,IF(E1264="Revisar",VLOOKUP(A1264,Revisión!$A$2:$L$703,12,FALSE),""))</f>
        <v>Lobelia inflata</v>
      </c>
    </row>
    <row r="1265" spans="1:14" x14ac:dyDescent="0.3">
      <c r="A1265" t="s">
        <v>2613</v>
      </c>
      <c r="B1265" t="s">
        <v>2614</v>
      </c>
      <c r="C1265" t="s">
        <v>2614</v>
      </c>
      <c r="D1265" t="s">
        <v>2614</v>
      </c>
      <c r="E1265" t="s">
        <v>18</v>
      </c>
      <c r="F1265" t="s">
        <v>19</v>
      </c>
      <c r="H1265" s="23" t="e">
        <f>VLOOKUP(A1265,Revisión!$A$2:$L$703,6,FALSE)</f>
        <v>#N/A</v>
      </c>
      <c r="I1265" s="4" t="e">
        <f>VLOOKUP(A1265,Revisión!$A$2:$L$703,7,FALSE)</f>
        <v>#N/A</v>
      </c>
      <c r="J1265" s="4" t="e">
        <f>VLOOKUP(A1265,Revisión!$A$2:$L$703,8,FALSE)</f>
        <v>#N/A</v>
      </c>
      <c r="K1265" s="4" t="e">
        <f>VLOOKUP(A1265,Revisión!$A$2:$L$703,9,FALSE)</f>
        <v>#N/A</v>
      </c>
      <c r="L1265" s="4" t="e">
        <f>VLOOKUP(A1265,Revisión!$A$2:$L$703,10,FALSE)</f>
        <v>#N/A</v>
      </c>
      <c r="M1265" s="18" t="e">
        <f>VLOOKUP(A1265,Revisión!$A$2:$L$703,11,FALSE)</f>
        <v>#N/A</v>
      </c>
      <c r="N1265" s="30" t="str">
        <f>IF(E1265="Coinciden",D1265,IF(E1265="Revisar",VLOOKUP(A1265,Revisión!$A$2:$L$703,12,FALSE),""))</f>
        <v>Lobelia cardinalis</v>
      </c>
    </row>
    <row r="1266" spans="1:14" x14ac:dyDescent="0.3">
      <c r="A1266" t="s">
        <v>2615</v>
      </c>
      <c r="B1266" t="s">
        <v>2616</v>
      </c>
      <c r="D1266" t="s">
        <v>2616</v>
      </c>
      <c r="E1266" t="s">
        <v>8</v>
      </c>
      <c r="F1266" t="s">
        <v>34</v>
      </c>
      <c r="H1266" s="23" t="str">
        <f>VLOOKUP(A1266,Revisión!$A$2:$L$703,6,FALSE)</f>
        <v>Lobelia spicata</v>
      </c>
      <c r="I1266" s="4" t="str">
        <f>VLOOKUP(A1266,Revisión!$A$2:$L$703,7,FALSE)</f>
        <v>-</v>
      </c>
      <c r="J1266" s="4" t="str">
        <f>VLOOKUP(A1266,Revisión!$A$2:$L$703,8,FALSE)</f>
        <v>Lobelia spicata</v>
      </c>
      <c r="K1266" s="4" t="str">
        <f>VLOOKUP(A1266,Revisión!$A$2:$L$703,9,FALSE)</f>
        <v>Lobelia spicata</v>
      </c>
      <c r="L1266" s="4" t="str">
        <f>VLOOKUP(A1266,Revisión!$A$2:$L$703,10,FALSE)</f>
        <v>Lobelia spicata</v>
      </c>
      <c r="M1266" s="18">
        <f>VLOOKUP(A1266,Revisión!$A$2:$L$703,11,FALSE)</f>
        <v>5</v>
      </c>
      <c r="N1266" s="30" t="str">
        <f>IF(E1266="Coinciden",D1266,IF(E1266="Revisar",VLOOKUP(A1266,Revisión!$A$2:$L$703,12,FALSE),""))</f>
        <v>Lobelia spicata</v>
      </c>
    </row>
    <row r="1267" spans="1:14" x14ac:dyDescent="0.3">
      <c r="A1267" t="s">
        <v>2617</v>
      </c>
      <c r="B1267" t="s">
        <v>2616</v>
      </c>
      <c r="C1267" t="s">
        <v>2616</v>
      </c>
      <c r="D1267" t="s">
        <v>2616</v>
      </c>
      <c r="E1267" t="s">
        <v>18</v>
      </c>
      <c r="F1267" t="s">
        <v>19</v>
      </c>
      <c r="H1267" s="23" t="e">
        <f>VLOOKUP(A1267,Revisión!$A$2:$L$703,6,FALSE)</f>
        <v>#N/A</v>
      </c>
      <c r="I1267" s="4" t="e">
        <f>VLOOKUP(A1267,Revisión!$A$2:$L$703,7,FALSE)</f>
        <v>#N/A</v>
      </c>
      <c r="J1267" s="4" t="e">
        <f>VLOOKUP(A1267,Revisión!$A$2:$L$703,8,FALSE)</f>
        <v>#N/A</v>
      </c>
      <c r="K1267" s="4" t="e">
        <f>VLOOKUP(A1267,Revisión!$A$2:$L$703,9,FALSE)</f>
        <v>#N/A</v>
      </c>
      <c r="L1267" s="4" t="e">
        <f>VLOOKUP(A1267,Revisión!$A$2:$L$703,10,FALSE)</f>
        <v>#N/A</v>
      </c>
      <c r="M1267" s="18" t="e">
        <f>VLOOKUP(A1267,Revisión!$A$2:$L$703,11,FALSE)</f>
        <v>#N/A</v>
      </c>
      <c r="N1267" s="30" t="str">
        <f>IF(E1267="Coinciden",D1267,IF(E1267="Revisar",VLOOKUP(A1267,Revisión!$A$2:$L$703,12,FALSE),""))</f>
        <v>Lobelia spicata</v>
      </c>
    </row>
    <row r="1268" spans="1:14" x14ac:dyDescent="0.3">
      <c r="A1268" t="s">
        <v>2618</v>
      </c>
      <c r="B1268" t="s">
        <v>2619</v>
      </c>
      <c r="C1268" t="s">
        <v>2619</v>
      </c>
      <c r="D1268" t="s">
        <v>2619</v>
      </c>
      <c r="E1268" t="s">
        <v>18</v>
      </c>
      <c r="F1268" t="s">
        <v>19</v>
      </c>
      <c r="H1268" s="23" t="e">
        <f>VLOOKUP(A1268,Revisión!$A$2:$L$703,6,FALSE)</f>
        <v>#N/A</v>
      </c>
      <c r="I1268" s="4" t="e">
        <f>VLOOKUP(A1268,Revisión!$A$2:$L$703,7,FALSE)</f>
        <v>#N/A</v>
      </c>
      <c r="J1268" s="4" t="e">
        <f>VLOOKUP(A1268,Revisión!$A$2:$L$703,8,FALSE)</f>
        <v>#N/A</v>
      </c>
      <c r="K1268" s="4" t="e">
        <f>VLOOKUP(A1268,Revisión!$A$2:$L$703,9,FALSE)</f>
        <v>#N/A</v>
      </c>
      <c r="L1268" s="4" t="e">
        <f>VLOOKUP(A1268,Revisión!$A$2:$L$703,10,FALSE)</f>
        <v>#N/A</v>
      </c>
      <c r="M1268" s="18" t="e">
        <f>VLOOKUP(A1268,Revisión!$A$2:$L$703,11,FALSE)</f>
        <v>#N/A</v>
      </c>
      <c r="N1268" s="30" t="str">
        <f>IF(E1268="Coinciden",D1268,IF(E1268="Revisar",VLOOKUP(A1268,Revisión!$A$2:$L$703,12,FALSE),""))</f>
        <v>Lobelia siphilitica</v>
      </c>
    </row>
    <row r="1269" spans="1:14" x14ac:dyDescent="0.3">
      <c r="A1269" t="s">
        <v>2620</v>
      </c>
      <c r="E1269" t="s">
        <v>8</v>
      </c>
      <c r="F1269" t="s">
        <v>11</v>
      </c>
      <c r="H1269" s="23" t="str">
        <f>VLOOKUP(A1269,Revisión!$A$2:$L$703,6,FALSE)</f>
        <v xml:space="preserve">Lobelia × speciosa </v>
      </c>
      <c r="I1269" s="4" t="str">
        <f>VLOOKUP(A1269,Revisión!$A$2:$L$703,7,FALSE)</f>
        <v>-</v>
      </c>
      <c r="J1269" s="4" t="str">
        <f>VLOOKUP(A1269,Revisión!$A$2:$L$703,8,FALSE)</f>
        <v xml:space="preserve">Lobelia × speciosa </v>
      </c>
      <c r="K1269" s="4" t="str">
        <f>VLOOKUP(A1269,Revisión!$A$2:$L$703,9,FALSE)</f>
        <v xml:space="preserve">Lobelia × speciosa </v>
      </c>
      <c r="L1269" s="4" t="str">
        <f>VLOOKUP(A1269,Revisión!$A$2:$L$703,10,FALSE)</f>
        <v>-</v>
      </c>
      <c r="M1269" s="18">
        <f>VLOOKUP(A1269,Revisión!$A$2:$L$703,11,FALSE)</f>
        <v>4</v>
      </c>
      <c r="N1269" s="30" t="str">
        <f>IF(E1269="Coinciden",D1269,IF(E1269="Revisar",VLOOKUP(A1269,Revisión!$A$2:$L$703,12,FALSE),""))</f>
        <v xml:space="preserve">Lobelia × speciosa </v>
      </c>
    </row>
    <row r="1270" spans="1:14" x14ac:dyDescent="0.3">
      <c r="A1270" t="s">
        <v>2621</v>
      </c>
      <c r="B1270" t="s">
        <v>2622</v>
      </c>
      <c r="C1270" t="s">
        <v>2622</v>
      </c>
      <c r="D1270" t="s">
        <v>2622</v>
      </c>
      <c r="E1270" t="s">
        <v>18</v>
      </c>
      <c r="F1270" t="s">
        <v>19</v>
      </c>
      <c r="H1270" s="23" t="e">
        <f>VLOOKUP(A1270,Revisión!$A$2:$L$703,6,FALSE)</f>
        <v>#N/A</v>
      </c>
      <c r="I1270" s="4" t="e">
        <f>VLOOKUP(A1270,Revisión!$A$2:$L$703,7,FALSE)</f>
        <v>#N/A</v>
      </c>
      <c r="J1270" s="4" t="e">
        <f>VLOOKUP(A1270,Revisión!$A$2:$L$703,8,FALSE)</f>
        <v>#N/A</v>
      </c>
      <c r="K1270" s="4" t="e">
        <f>VLOOKUP(A1270,Revisión!$A$2:$L$703,9,FALSE)</f>
        <v>#N/A</v>
      </c>
      <c r="L1270" s="4" t="e">
        <f>VLOOKUP(A1270,Revisión!$A$2:$L$703,10,FALSE)</f>
        <v>#N/A</v>
      </c>
      <c r="M1270" s="18" t="e">
        <f>VLOOKUP(A1270,Revisión!$A$2:$L$703,11,FALSE)</f>
        <v>#N/A</v>
      </c>
      <c r="N1270" s="30" t="str">
        <f>IF(E1270="Coinciden",D1270,IF(E1270="Revisar",VLOOKUP(A1270,Revisión!$A$2:$L$703,12,FALSE),""))</f>
        <v>Lonicera morrowii</v>
      </c>
    </row>
    <row r="1271" spans="1:14" x14ac:dyDescent="0.3">
      <c r="A1271" t="s">
        <v>2623</v>
      </c>
      <c r="B1271" t="s">
        <v>2624</v>
      </c>
      <c r="C1271" t="s">
        <v>2624</v>
      </c>
      <c r="D1271" t="s">
        <v>2624</v>
      </c>
      <c r="E1271" t="s">
        <v>18</v>
      </c>
      <c r="F1271" t="s">
        <v>19</v>
      </c>
      <c r="H1271" s="23" t="e">
        <f>VLOOKUP(A1271,Revisión!$A$2:$L$703,6,FALSE)</f>
        <v>#N/A</v>
      </c>
      <c r="I1271" s="4" t="e">
        <f>VLOOKUP(A1271,Revisión!$A$2:$L$703,7,FALSE)</f>
        <v>#N/A</v>
      </c>
      <c r="J1271" s="4" t="e">
        <f>VLOOKUP(A1271,Revisión!$A$2:$L$703,8,FALSE)</f>
        <v>#N/A</v>
      </c>
      <c r="K1271" s="4" t="e">
        <f>VLOOKUP(A1271,Revisión!$A$2:$L$703,9,FALSE)</f>
        <v>#N/A</v>
      </c>
      <c r="L1271" s="4" t="e">
        <f>VLOOKUP(A1271,Revisión!$A$2:$L$703,10,FALSE)</f>
        <v>#N/A</v>
      </c>
      <c r="M1271" s="18" t="e">
        <f>VLOOKUP(A1271,Revisión!$A$2:$L$703,11,FALSE)</f>
        <v>#N/A</v>
      </c>
      <c r="N1271" s="30" t="str">
        <f>IF(E1271="Coinciden",D1271,IF(E1271="Revisar",VLOOKUP(A1271,Revisión!$A$2:$L$703,12,FALSE),""))</f>
        <v>Lonicera reticulata</v>
      </c>
    </row>
    <row r="1272" spans="1:14" x14ac:dyDescent="0.3">
      <c r="A1272" t="s">
        <v>2625</v>
      </c>
      <c r="B1272" t="s">
        <v>2626</v>
      </c>
      <c r="C1272" t="s">
        <v>2626</v>
      </c>
      <c r="D1272" t="s">
        <v>2626</v>
      </c>
      <c r="E1272" t="s">
        <v>18</v>
      </c>
      <c r="F1272" t="s">
        <v>19</v>
      </c>
      <c r="H1272" s="23" t="e">
        <f>VLOOKUP(A1272,Revisión!$A$2:$L$703,6,FALSE)</f>
        <v>#N/A</v>
      </c>
      <c r="I1272" s="4" t="e">
        <f>VLOOKUP(A1272,Revisión!$A$2:$L$703,7,FALSE)</f>
        <v>#N/A</v>
      </c>
      <c r="J1272" s="4" t="e">
        <f>VLOOKUP(A1272,Revisión!$A$2:$L$703,8,FALSE)</f>
        <v>#N/A</v>
      </c>
      <c r="K1272" s="4" t="e">
        <f>VLOOKUP(A1272,Revisión!$A$2:$L$703,9,FALSE)</f>
        <v>#N/A</v>
      </c>
      <c r="L1272" s="4" t="e">
        <f>VLOOKUP(A1272,Revisión!$A$2:$L$703,10,FALSE)</f>
        <v>#N/A</v>
      </c>
      <c r="M1272" s="18" t="e">
        <f>VLOOKUP(A1272,Revisión!$A$2:$L$703,11,FALSE)</f>
        <v>#N/A</v>
      </c>
      <c r="N1272" s="30" t="str">
        <f>IF(E1272="Coinciden",D1272,IF(E1272="Revisar",VLOOKUP(A1272,Revisión!$A$2:$L$703,12,FALSE),""))</f>
        <v>Lonicera gracilipes</v>
      </c>
    </row>
    <row r="1273" spans="1:14" x14ac:dyDescent="0.3">
      <c r="A1273" t="s">
        <v>2627</v>
      </c>
      <c r="B1273" t="s">
        <v>2628</v>
      </c>
      <c r="C1273" t="s">
        <v>2628</v>
      </c>
      <c r="D1273" t="s">
        <v>2628</v>
      </c>
      <c r="E1273" t="s">
        <v>18</v>
      </c>
      <c r="F1273" t="s">
        <v>19</v>
      </c>
      <c r="H1273" s="23" t="e">
        <f>VLOOKUP(A1273,Revisión!$A$2:$L$703,6,FALSE)</f>
        <v>#N/A</v>
      </c>
      <c r="I1273" s="4" t="e">
        <f>VLOOKUP(A1273,Revisión!$A$2:$L$703,7,FALSE)</f>
        <v>#N/A</v>
      </c>
      <c r="J1273" s="4" t="e">
        <f>VLOOKUP(A1273,Revisión!$A$2:$L$703,8,FALSE)</f>
        <v>#N/A</v>
      </c>
      <c r="K1273" s="4" t="e">
        <f>VLOOKUP(A1273,Revisión!$A$2:$L$703,9,FALSE)</f>
        <v>#N/A</v>
      </c>
      <c r="L1273" s="4" t="e">
        <f>VLOOKUP(A1273,Revisión!$A$2:$L$703,10,FALSE)</f>
        <v>#N/A</v>
      </c>
      <c r="M1273" s="18" t="e">
        <f>VLOOKUP(A1273,Revisión!$A$2:$L$703,11,FALSE)</f>
        <v>#N/A</v>
      </c>
      <c r="N1273" s="30" t="str">
        <f>IF(E1273="Coinciden",D1273,IF(E1273="Revisar",VLOOKUP(A1273,Revisión!$A$2:$L$703,12,FALSE),""))</f>
        <v>Lonicera sempervirens</v>
      </c>
    </row>
    <row r="1274" spans="1:14" x14ac:dyDescent="0.3">
      <c r="A1274" t="s">
        <v>2629</v>
      </c>
      <c r="B1274" t="s">
        <v>2630</v>
      </c>
      <c r="D1274" t="s">
        <v>2630</v>
      </c>
      <c r="E1274" t="s">
        <v>8</v>
      </c>
      <c r="F1274" t="s">
        <v>34</v>
      </c>
      <c r="H1274" s="23" t="str">
        <f>VLOOKUP(A1274,Revisión!$A$2:$L$703,6,FALSE)</f>
        <v>Lonicera alpigena</v>
      </c>
      <c r="I1274" s="4" t="str">
        <f>VLOOKUP(A1274,Revisión!$A$2:$L$703,7,FALSE)</f>
        <v>-</v>
      </c>
      <c r="J1274" s="4" t="str">
        <f>VLOOKUP(A1274,Revisión!$A$2:$L$703,8,FALSE)</f>
        <v>Lonicera alpigena</v>
      </c>
      <c r="K1274" s="4" t="str">
        <f>VLOOKUP(A1274,Revisión!$A$2:$L$703,9,FALSE)</f>
        <v>Lonicera alpigena</v>
      </c>
      <c r="L1274" s="4" t="str">
        <f>VLOOKUP(A1274,Revisión!$A$2:$L$703,10,FALSE)</f>
        <v>Lonicera alpigena</v>
      </c>
      <c r="M1274" s="18">
        <f>VLOOKUP(A1274,Revisión!$A$2:$L$703,11,FALSE)</f>
        <v>5</v>
      </c>
      <c r="N1274" s="30" t="str">
        <f>IF(E1274="Coinciden",D1274,IF(E1274="Revisar",VLOOKUP(A1274,Revisión!$A$2:$L$703,12,FALSE),""))</f>
        <v>Lonicera alpigena</v>
      </c>
    </row>
    <row r="1275" spans="1:14" x14ac:dyDescent="0.3">
      <c r="A1275" t="s">
        <v>2631</v>
      </c>
      <c r="B1275" t="s">
        <v>2632</v>
      </c>
      <c r="D1275" t="s">
        <v>2632</v>
      </c>
      <c r="E1275" t="s">
        <v>8</v>
      </c>
      <c r="F1275" t="s">
        <v>34</v>
      </c>
      <c r="H1275" s="23" t="str">
        <f>VLOOKUP(A1275,Revisión!$A$2:$L$703,6,FALSE)</f>
        <v>Lonicera periclymenum</v>
      </c>
      <c r="I1275" s="4" t="str">
        <f>VLOOKUP(A1275,Revisión!$A$2:$L$703,7,FALSE)</f>
        <v>-</v>
      </c>
      <c r="J1275" s="4" t="str">
        <f>VLOOKUP(A1275,Revisión!$A$2:$L$703,8,FALSE)</f>
        <v>Lonicera periclymenum</v>
      </c>
      <c r="K1275" s="4" t="str">
        <f>VLOOKUP(A1275,Revisión!$A$2:$L$703,9,FALSE)</f>
        <v>Lonicera periclymenum</v>
      </c>
      <c r="L1275" s="4" t="str">
        <f>VLOOKUP(A1275,Revisión!$A$2:$L$703,10,FALSE)</f>
        <v>Lonicera periclymenum</v>
      </c>
      <c r="M1275" s="18">
        <f>VLOOKUP(A1275,Revisión!$A$2:$L$703,11,FALSE)</f>
        <v>5</v>
      </c>
      <c r="N1275" s="30" t="str">
        <f>IF(E1275="Coinciden",D1275,IF(E1275="Revisar",VLOOKUP(A1275,Revisión!$A$2:$L$703,12,FALSE),""))</f>
        <v>Lonicera periclymenum</v>
      </c>
    </row>
    <row r="1276" spans="1:14" x14ac:dyDescent="0.3">
      <c r="A1276" t="s">
        <v>2633</v>
      </c>
      <c r="B1276" t="s">
        <v>2634</v>
      </c>
      <c r="D1276" t="s">
        <v>2634</v>
      </c>
      <c r="E1276" t="s">
        <v>8</v>
      </c>
      <c r="F1276" t="s">
        <v>34</v>
      </c>
      <c r="H1276" s="23" t="str">
        <f>VLOOKUP(A1276,Revisión!$A$2:$L$703,6,FALSE)</f>
        <v>Lotus glaucus</v>
      </c>
      <c r="I1276" s="4" t="str">
        <f>VLOOKUP(A1276,Revisión!$A$2:$L$703,7,FALSE)</f>
        <v>-</v>
      </c>
      <c r="J1276" s="4" t="str">
        <f>VLOOKUP(A1276,Revisión!$A$2:$L$703,8,FALSE)</f>
        <v>Lotus glaucus</v>
      </c>
      <c r="K1276" s="4" t="str">
        <f>VLOOKUP(A1276,Revisión!$A$2:$L$703,9,FALSE)</f>
        <v>Lotus glaucus</v>
      </c>
      <c r="L1276" s="4" t="str">
        <f>VLOOKUP(A1276,Revisión!$A$2:$L$703,10,FALSE)</f>
        <v>Lotus glaucus</v>
      </c>
      <c r="M1276" s="18">
        <f>VLOOKUP(A1276,Revisión!$A$2:$L$703,11,FALSE)</f>
        <v>5</v>
      </c>
      <c r="N1276" s="30" t="str">
        <f>IF(E1276="Coinciden",D1276,IF(E1276="Revisar",VLOOKUP(A1276,Revisión!$A$2:$L$703,12,FALSE),""))</f>
        <v>Lotus glaucus</v>
      </c>
    </row>
    <row r="1277" spans="1:14" x14ac:dyDescent="0.3">
      <c r="A1277" t="s">
        <v>2635</v>
      </c>
      <c r="E1277" t="s">
        <v>8</v>
      </c>
      <c r="F1277" t="s">
        <v>11</v>
      </c>
      <c r="H1277" s="23" t="e">
        <f>VLOOKUP(A1277,Revisión!$A$2:$L$703,6,FALSE)</f>
        <v>#N/A</v>
      </c>
      <c r="I1277" s="4" t="e">
        <f>VLOOKUP(A1277,Revisión!$A$2:$L$703,7,FALSE)</f>
        <v>#N/A</v>
      </c>
      <c r="J1277" s="4" t="e">
        <f>VLOOKUP(A1277,Revisión!$A$2:$L$703,8,FALSE)</f>
        <v>#N/A</v>
      </c>
      <c r="K1277" s="4" t="e">
        <f>VLOOKUP(A1277,Revisión!$A$2:$L$703,9,FALSE)</f>
        <v>#N/A</v>
      </c>
      <c r="L1277" s="4" t="e">
        <f>VLOOKUP(A1277,Revisión!$A$2:$L$703,10,FALSE)</f>
        <v>#N/A</v>
      </c>
      <c r="M1277" s="18" t="e">
        <f>VLOOKUP(A1277,Revisión!$A$2:$L$703,11,FALSE)</f>
        <v>#N/A</v>
      </c>
      <c r="N1277" s="30" t="e">
        <f>IF(E1277="Coinciden",D1277,IF(E1277="Revisar",VLOOKUP(A1277,Revisión!$A$2:$L$703,12,FALSE),""))</f>
        <v>#N/A</v>
      </c>
    </row>
    <row r="1278" spans="1:14" x14ac:dyDescent="0.3">
      <c r="A1278" t="s">
        <v>2636</v>
      </c>
      <c r="B1278" t="s">
        <v>2637</v>
      </c>
      <c r="C1278" t="s">
        <v>2637</v>
      </c>
      <c r="D1278" t="s">
        <v>2637</v>
      </c>
      <c r="E1278" t="s">
        <v>18</v>
      </c>
      <c r="F1278" t="s">
        <v>19</v>
      </c>
      <c r="H1278" s="23" t="e">
        <f>VLOOKUP(A1278,Revisión!$A$2:$L$703,6,FALSE)</f>
        <v>#N/A</v>
      </c>
      <c r="I1278" s="4" t="e">
        <f>VLOOKUP(A1278,Revisión!$A$2:$L$703,7,FALSE)</f>
        <v>#N/A</v>
      </c>
      <c r="J1278" s="4" t="e">
        <f>VLOOKUP(A1278,Revisión!$A$2:$L$703,8,FALSE)</f>
        <v>#N/A</v>
      </c>
      <c r="K1278" s="4" t="e">
        <f>VLOOKUP(A1278,Revisión!$A$2:$L$703,9,FALSE)</f>
        <v>#N/A</v>
      </c>
      <c r="L1278" s="4" t="e">
        <f>VLOOKUP(A1278,Revisión!$A$2:$L$703,10,FALSE)</f>
        <v>#N/A</v>
      </c>
      <c r="M1278" s="18" t="e">
        <f>VLOOKUP(A1278,Revisión!$A$2:$L$703,11,FALSE)</f>
        <v>#N/A</v>
      </c>
      <c r="N1278" s="30" t="str">
        <f>IF(E1278="Coinciden",D1278,IF(E1278="Revisar",VLOOKUP(A1278,Revisión!$A$2:$L$703,12,FALSE),""))</f>
        <v>Lotus corniculatus</v>
      </c>
    </row>
    <row r="1279" spans="1:14" x14ac:dyDescent="0.3">
      <c r="A1279" t="s">
        <v>2638</v>
      </c>
      <c r="D1279" t="s">
        <v>2639</v>
      </c>
      <c r="E1279" t="s">
        <v>8</v>
      </c>
      <c r="F1279" t="s">
        <v>9</v>
      </c>
      <c r="H1279" s="23" t="str">
        <f>VLOOKUP(A1279,Revisión!$A$2:$L$703,6,FALSE)</f>
        <v>Lotus pedunculatus subsp. pedunculatus</v>
      </c>
      <c r="I1279" s="4" t="str">
        <f>VLOOKUP(A1279,Revisión!$A$2:$L$703,7,FALSE)</f>
        <v>-</v>
      </c>
      <c r="J1279" s="4" t="str">
        <f>VLOOKUP(A1279,Revisión!$A$2:$L$703,8,FALSE)</f>
        <v>Lotus pedunculatus subsp. pedunculatus</v>
      </c>
      <c r="K1279" s="4" t="str">
        <f>VLOOKUP(A1279,Revisión!$A$2:$L$703,9,FALSE)</f>
        <v>Lotus pedunculatus</v>
      </c>
      <c r="L1279" s="4" t="str">
        <f>VLOOKUP(A1279,Revisión!$A$2:$L$703,10,FALSE)</f>
        <v>Lotus pedunculatus subsp. pedunculatus</v>
      </c>
      <c r="M1279" s="18">
        <f>VLOOKUP(A1279,Revisión!$A$2:$L$703,11,FALSE)</f>
        <v>3</v>
      </c>
      <c r="N1279" s="30" t="str">
        <f>IF(E1279="Coinciden",D1279,IF(E1279="Revisar",VLOOKUP(A1279,Revisión!$A$2:$L$703,12,FALSE),""))</f>
        <v>Lotus pedunculatus</v>
      </c>
    </row>
    <row r="1280" spans="1:14" x14ac:dyDescent="0.3">
      <c r="A1280" t="s">
        <v>2640</v>
      </c>
      <c r="D1280" t="s">
        <v>2641</v>
      </c>
      <c r="E1280" t="s">
        <v>8</v>
      </c>
      <c r="F1280" t="s">
        <v>9</v>
      </c>
      <c r="H1280" s="23" t="str">
        <f>VLOOKUP(A1280,Revisión!$A$2:$L$703,6,FALSE)</f>
        <v>Ludwigia alternifolia</v>
      </c>
      <c r="I1280" s="4" t="str">
        <f>VLOOKUP(A1280,Revisión!$A$2:$L$703,7,FALSE)</f>
        <v>-</v>
      </c>
      <c r="J1280" s="4" t="str">
        <f>VLOOKUP(A1280,Revisión!$A$2:$L$703,8,FALSE)</f>
        <v>Ludwigia alternifolia</v>
      </c>
      <c r="K1280" s="4" t="str">
        <f>VLOOKUP(A1280,Revisión!$A$2:$L$703,9,FALSE)</f>
        <v>Ludwigia alternifolia</v>
      </c>
      <c r="L1280" s="4" t="str">
        <f>VLOOKUP(A1280,Revisión!$A$2:$L$703,10,FALSE)</f>
        <v>Ludwigia alternifolia</v>
      </c>
      <c r="M1280" s="18">
        <f>VLOOKUP(A1280,Revisión!$A$2:$L$703,11,FALSE)</f>
        <v>4</v>
      </c>
      <c r="N1280" s="30" t="str">
        <f>IF(E1280="Coinciden",D1280,IF(E1280="Revisar",VLOOKUP(A1280,Revisión!$A$2:$L$703,12,FALSE),""))</f>
        <v>Ludwigia alternifolia</v>
      </c>
    </row>
    <row r="1281" spans="1:14" x14ac:dyDescent="0.3">
      <c r="A1281" t="s">
        <v>2642</v>
      </c>
      <c r="C1281" t="s">
        <v>2643</v>
      </c>
      <c r="D1281" t="s">
        <v>2643</v>
      </c>
      <c r="E1281" t="s">
        <v>8</v>
      </c>
      <c r="F1281" t="s">
        <v>49</v>
      </c>
      <c r="H1281" s="23" t="str">
        <f>VLOOKUP(A1281,Revisión!$A$2:$L$703,6,FALSE)</f>
        <v>Ludwigia polycarpa</v>
      </c>
      <c r="I1281" s="4" t="str">
        <f>VLOOKUP(A1281,Revisión!$A$2:$L$703,7,FALSE)</f>
        <v>-</v>
      </c>
      <c r="J1281" s="4" t="str">
        <f>VLOOKUP(A1281,Revisión!$A$2:$L$703,8,FALSE)</f>
        <v>Ludwigia polycarpa</v>
      </c>
      <c r="K1281" s="4" t="str">
        <f>VLOOKUP(A1281,Revisión!$A$2:$L$703,9,FALSE)</f>
        <v>Ludwigia polycarpa</v>
      </c>
      <c r="L1281" s="4" t="str">
        <f>VLOOKUP(A1281,Revisión!$A$2:$L$703,10,FALSE)</f>
        <v>Ludwigia polycarpa</v>
      </c>
      <c r="M1281" s="18">
        <f>VLOOKUP(A1281,Revisión!$A$2:$L$703,11,FALSE)</f>
        <v>4</v>
      </c>
      <c r="N1281" s="30" t="str">
        <f>IF(E1281="Coinciden",D1281,IF(E1281="Revisar",VLOOKUP(A1281,Revisión!$A$2:$L$703,12,FALSE),""))</f>
        <v>Ludwigia polycarpa</v>
      </c>
    </row>
    <row r="1282" spans="1:14" x14ac:dyDescent="0.3">
      <c r="A1282" t="s">
        <v>2644</v>
      </c>
      <c r="B1282" t="s">
        <v>2645</v>
      </c>
      <c r="C1282" t="s">
        <v>2645</v>
      </c>
      <c r="D1282" t="s">
        <v>2645</v>
      </c>
      <c r="E1282" t="s">
        <v>18</v>
      </c>
      <c r="F1282" t="s">
        <v>19</v>
      </c>
      <c r="H1282" s="23" t="e">
        <f>VLOOKUP(A1282,Revisión!$A$2:$L$703,6,FALSE)</f>
        <v>#N/A</v>
      </c>
      <c r="I1282" s="4" t="e">
        <f>VLOOKUP(A1282,Revisión!$A$2:$L$703,7,FALSE)</f>
        <v>#N/A</v>
      </c>
      <c r="J1282" s="4" t="e">
        <f>VLOOKUP(A1282,Revisión!$A$2:$L$703,8,FALSE)</f>
        <v>#N/A</v>
      </c>
      <c r="K1282" s="4" t="e">
        <f>VLOOKUP(A1282,Revisión!$A$2:$L$703,9,FALSE)</f>
        <v>#N/A</v>
      </c>
      <c r="L1282" s="4" t="e">
        <f>VLOOKUP(A1282,Revisión!$A$2:$L$703,10,FALSE)</f>
        <v>#N/A</v>
      </c>
      <c r="M1282" s="18" t="e">
        <f>VLOOKUP(A1282,Revisión!$A$2:$L$703,11,FALSE)</f>
        <v>#N/A</v>
      </c>
      <c r="N1282" s="30" t="str">
        <f>IF(E1282="Coinciden",D1282,IF(E1282="Revisar",VLOOKUP(A1282,Revisión!$A$2:$L$703,12,FALSE),""))</f>
        <v>Ludwigia epilobioides</v>
      </c>
    </row>
    <row r="1283" spans="1:14" x14ac:dyDescent="0.3">
      <c r="A1283" t="s">
        <v>2646</v>
      </c>
      <c r="B1283" t="s">
        <v>2647</v>
      </c>
      <c r="C1283" t="s">
        <v>2647</v>
      </c>
      <c r="D1283" t="s">
        <v>2647</v>
      </c>
      <c r="E1283" t="s">
        <v>18</v>
      </c>
      <c r="F1283" t="s">
        <v>19</v>
      </c>
      <c r="H1283" s="23" t="e">
        <f>VLOOKUP(A1283,Revisión!$A$2:$L$703,6,FALSE)</f>
        <v>#N/A</v>
      </c>
      <c r="I1283" s="4" t="e">
        <f>VLOOKUP(A1283,Revisión!$A$2:$L$703,7,FALSE)</f>
        <v>#N/A</v>
      </c>
      <c r="J1283" s="4" t="e">
        <f>VLOOKUP(A1283,Revisión!$A$2:$L$703,8,FALSE)</f>
        <v>#N/A</v>
      </c>
      <c r="K1283" s="4" t="e">
        <f>VLOOKUP(A1283,Revisión!$A$2:$L$703,9,FALSE)</f>
        <v>#N/A</v>
      </c>
      <c r="L1283" s="4" t="e">
        <f>VLOOKUP(A1283,Revisión!$A$2:$L$703,10,FALSE)</f>
        <v>#N/A</v>
      </c>
      <c r="M1283" s="18" t="e">
        <f>VLOOKUP(A1283,Revisión!$A$2:$L$703,11,FALSE)</f>
        <v>#N/A</v>
      </c>
      <c r="N1283" s="30" t="str">
        <f>IF(E1283="Coinciden",D1283,IF(E1283="Revisar",VLOOKUP(A1283,Revisión!$A$2:$L$703,12,FALSE),""))</f>
        <v>Ludwigia decurrens</v>
      </c>
    </row>
    <row r="1284" spans="1:14" x14ac:dyDescent="0.3">
      <c r="A1284" t="s">
        <v>2648</v>
      </c>
      <c r="B1284" t="s">
        <v>2649</v>
      </c>
      <c r="C1284" t="s">
        <v>2649</v>
      </c>
      <c r="D1284" t="s">
        <v>2649</v>
      </c>
      <c r="E1284" t="s">
        <v>18</v>
      </c>
      <c r="F1284" t="s">
        <v>19</v>
      </c>
      <c r="H1284" s="23" t="e">
        <f>VLOOKUP(A1284,Revisión!$A$2:$L$703,6,FALSE)</f>
        <v>#N/A</v>
      </c>
      <c r="I1284" s="4" t="e">
        <f>VLOOKUP(A1284,Revisión!$A$2:$L$703,7,FALSE)</f>
        <v>#N/A</v>
      </c>
      <c r="J1284" s="4" t="e">
        <f>VLOOKUP(A1284,Revisión!$A$2:$L$703,8,FALSE)</f>
        <v>#N/A</v>
      </c>
      <c r="K1284" s="4" t="e">
        <f>VLOOKUP(A1284,Revisión!$A$2:$L$703,9,FALSE)</f>
        <v>#N/A</v>
      </c>
      <c r="L1284" s="4" t="e">
        <f>VLOOKUP(A1284,Revisión!$A$2:$L$703,10,FALSE)</f>
        <v>#N/A</v>
      </c>
      <c r="M1284" s="18" t="e">
        <f>VLOOKUP(A1284,Revisión!$A$2:$L$703,11,FALSE)</f>
        <v>#N/A</v>
      </c>
      <c r="N1284" s="30" t="str">
        <f>IF(E1284="Coinciden",D1284,IF(E1284="Revisar",VLOOKUP(A1284,Revisión!$A$2:$L$703,12,FALSE),""))</f>
        <v>Ludwigia nervosa</v>
      </c>
    </row>
    <row r="1285" spans="1:14" x14ac:dyDescent="0.3">
      <c r="A1285" t="s">
        <v>2650</v>
      </c>
      <c r="B1285" t="s">
        <v>2651</v>
      </c>
      <c r="C1285" t="s">
        <v>2651</v>
      </c>
      <c r="D1285" t="s">
        <v>2651</v>
      </c>
      <c r="E1285" t="s">
        <v>18</v>
      </c>
      <c r="F1285" t="s">
        <v>19</v>
      </c>
      <c r="H1285" s="23" t="e">
        <f>VLOOKUP(A1285,Revisión!$A$2:$L$703,6,FALSE)</f>
        <v>#N/A</v>
      </c>
      <c r="I1285" s="4" t="e">
        <f>VLOOKUP(A1285,Revisión!$A$2:$L$703,7,FALSE)</f>
        <v>#N/A</v>
      </c>
      <c r="J1285" s="4" t="e">
        <f>VLOOKUP(A1285,Revisión!$A$2:$L$703,8,FALSE)</f>
        <v>#N/A</v>
      </c>
      <c r="K1285" s="4" t="e">
        <f>VLOOKUP(A1285,Revisión!$A$2:$L$703,9,FALSE)</f>
        <v>#N/A</v>
      </c>
      <c r="L1285" s="4" t="e">
        <f>VLOOKUP(A1285,Revisión!$A$2:$L$703,10,FALSE)</f>
        <v>#N/A</v>
      </c>
      <c r="M1285" s="18" t="e">
        <f>VLOOKUP(A1285,Revisión!$A$2:$L$703,11,FALSE)</f>
        <v>#N/A</v>
      </c>
      <c r="N1285" s="30" t="str">
        <f>IF(E1285="Coinciden",D1285,IF(E1285="Revisar",VLOOKUP(A1285,Revisión!$A$2:$L$703,12,FALSE),""))</f>
        <v>Ludwigia octovalvis</v>
      </c>
    </row>
    <row r="1286" spans="1:14" x14ac:dyDescent="0.3">
      <c r="A1286" t="s">
        <v>2652</v>
      </c>
      <c r="B1286" t="s">
        <v>2653</v>
      </c>
      <c r="C1286" t="s">
        <v>2653</v>
      </c>
      <c r="D1286" t="s">
        <v>2653</v>
      </c>
      <c r="E1286" t="s">
        <v>18</v>
      </c>
      <c r="F1286" t="s">
        <v>19</v>
      </c>
      <c r="H1286" s="23" t="e">
        <f>VLOOKUP(A1286,Revisión!$A$2:$L$703,6,FALSE)</f>
        <v>#N/A</v>
      </c>
      <c r="I1286" s="4" t="e">
        <f>VLOOKUP(A1286,Revisión!$A$2:$L$703,7,FALSE)</f>
        <v>#N/A</v>
      </c>
      <c r="J1286" s="4" t="e">
        <f>VLOOKUP(A1286,Revisión!$A$2:$L$703,8,FALSE)</f>
        <v>#N/A</v>
      </c>
      <c r="K1286" s="4" t="e">
        <f>VLOOKUP(A1286,Revisión!$A$2:$L$703,9,FALSE)</f>
        <v>#N/A</v>
      </c>
      <c r="L1286" s="4" t="e">
        <f>VLOOKUP(A1286,Revisión!$A$2:$L$703,10,FALSE)</f>
        <v>#N/A</v>
      </c>
      <c r="M1286" s="18" t="e">
        <f>VLOOKUP(A1286,Revisión!$A$2:$L$703,11,FALSE)</f>
        <v>#N/A</v>
      </c>
      <c r="N1286" s="30" t="str">
        <f>IF(E1286="Coinciden",D1286,IF(E1286="Revisar",VLOOKUP(A1286,Revisión!$A$2:$L$703,12,FALSE),""))</f>
        <v>Luma apiculata</v>
      </c>
    </row>
    <row r="1287" spans="1:14" x14ac:dyDescent="0.3">
      <c r="A1287" t="s">
        <v>2654</v>
      </c>
      <c r="B1287" t="s">
        <v>2655</v>
      </c>
      <c r="C1287" t="s">
        <v>2655</v>
      </c>
      <c r="D1287" t="s">
        <v>2655</v>
      </c>
      <c r="E1287" t="s">
        <v>18</v>
      </c>
      <c r="F1287" t="s">
        <v>19</v>
      </c>
      <c r="H1287" s="23" t="e">
        <f>VLOOKUP(A1287,Revisión!$A$2:$L$703,6,FALSE)</f>
        <v>#N/A</v>
      </c>
      <c r="I1287" s="4" t="e">
        <f>VLOOKUP(A1287,Revisión!$A$2:$L$703,7,FALSE)</f>
        <v>#N/A</v>
      </c>
      <c r="J1287" s="4" t="e">
        <f>VLOOKUP(A1287,Revisión!$A$2:$L$703,8,FALSE)</f>
        <v>#N/A</v>
      </c>
      <c r="K1287" s="4" t="e">
        <f>VLOOKUP(A1287,Revisión!$A$2:$L$703,9,FALSE)</f>
        <v>#N/A</v>
      </c>
      <c r="L1287" s="4" t="e">
        <f>VLOOKUP(A1287,Revisión!$A$2:$L$703,10,FALSE)</f>
        <v>#N/A</v>
      </c>
      <c r="M1287" s="18" t="e">
        <f>VLOOKUP(A1287,Revisión!$A$2:$L$703,11,FALSE)</f>
        <v>#N/A</v>
      </c>
      <c r="N1287" s="30" t="str">
        <f>IF(E1287="Coinciden",D1287,IF(E1287="Revisar",VLOOKUP(A1287,Revisión!$A$2:$L$703,12,FALSE),""))</f>
        <v>Lupinus microcarpus</v>
      </c>
    </row>
    <row r="1288" spans="1:14" x14ac:dyDescent="0.3">
      <c r="A1288" t="s">
        <v>2656</v>
      </c>
      <c r="B1288" t="s">
        <v>2657</v>
      </c>
      <c r="C1288" t="s">
        <v>2657</v>
      </c>
      <c r="D1288" t="s">
        <v>2657</v>
      </c>
      <c r="E1288" t="s">
        <v>18</v>
      </c>
      <c r="F1288" t="s">
        <v>19</v>
      </c>
      <c r="H1288" s="23" t="e">
        <f>VLOOKUP(A1288,Revisión!$A$2:$L$703,6,FALSE)</f>
        <v>#N/A</v>
      </c>
      <c r="I1288" s="4" t="e">
        <f>VLOOKUP(A1288,Revisión!$A$2:$L$703,7,FALSE)</f>
        <v>#N/A</v>
      </c>
      <c r="J1288" s="4" t="e">
        <f>VLOOKUP(A1288,Revisión!$A$2:$L$703,8,FALSE)</f>
        <v>#N/A</v>
      </c>
      <c r="K1288" s="4" t="e">
        <f>VLOOKUP(A1288,Revisión!$A$2:$L$703,9,FALSE)</f>
        <v>#N/A</v>
      </c>
      <c r="L1288" s="4" t="e">
        <f>VLOOKUP(A1288,Revisión!$A$2:$L$703,10,FALSE)</f>
        <v>#N/A</v>
      </c>
      <c r="M1288" s="18" t="e">
        <f>VLOOKUP(A1288,Revisión!$A$2:$L$703,11,FALSE)</f>
        <v>#N/A</v>
      </c>
      <c r="N1288" s="30" t="str">
        <f>IF(E1288="Coinciden",D1288,IF(E1288="Revisar",VLOOKUP(A1288,Revisión!$A$2:$L$703,12,FALSE),""))</f>
        <v>Lupinus polyphyllus</v>
      </c>
    </row>
    <row r="1289" spans="1:14" x14ac:dyDescent="0.3">
      <c r="A1289" t="s">
        <v>2658</v>
      </c>
      <c r="B1289" t="s">
        <v>2659</v>
      </c>
      <c r="C1289" t="s">
        <v>2659</v>
      </c>
      <c r="D1289" t="s">
        <v>2659</v>
      </c>
      <c r="E1289" t="s">
        <v>18</v>
      </c>
      <c r="F1289" t="s">
        <v>19</v>
      </c>
      <c r="H1289" s="23" t="e">
        <f>VLOOKUP(A1289,Revisión!$A$2:$L$703,6,FALSE)</f>
        <v>#N/A</v>
      </c>
      <c r="I1289" s="4" t="e">
        <f>VLOOKUP(A1289,Revisión!$A$2:$L$703,7,FALSE)</f>
        <v>#N/A</v>
      </c>
      <c r="J1289" s="4" t="e">
        <f>VLOOKUP(A1289,Revisión!$A$2:$L$703,8,FALSE)</f>
        <v>#N/A</v>
      </c>
      <c r="K1289" s="4" t="e">
        <f>VLOOKUP(A1289,Revisión!$A$2:$L$703,9,FALSE)</f>
        <v>#N/A</v>
      </c>
      <c r="L1289" s="4" t="e">
        <f>VLOOKUP(A1289,Revisión!$A$2:$L$703,10,FALSE)</f>
        <v>#N/A</v>
      </c>
      <c r="M1289" s="18" t="e">
        <f>VLOOKUP(A1289,Revisión!$A$2:$L$703,11,FALSE)</f>
        <v>#N/A</v>
      </c>
      <c r="N1289" s="30" t="str">
        <f>IF(E1289="Coinciden",D1289,IF(E1289="Revisar",VLOOKUP(A1289,Revisión!$A$2:$L$703,12,FALSE),""))</f>
        <v>Luzula capitata</v>
      </c>
    </row>
    <row r="1290" spans="1:14" x14ac:dyDescent="0.3">
      <c r="A1290" t="s">
        <v>2660</v>
      </c>
      <c r="B1290" t="s">
        <v>2661</v>
      </c>
      <c r="C1290" t="s">
        <v>2661</v>
      </c>
      <c r="D1290" t="s">
        <v>2661</v>
      </c>
      <c r="E1290" t="s">
        <v>18</v>
      </c>
      <c r="F1290" t="s">
        <v>19</v>
      </c>
      <c r="H1290" s="23" t="e">
        <f>VLOOKUP(A1290,Revisión!$A$2:$L$703,6,FALSE)</f>
        <v>#N/A</v>
      </c>
      <c r="I1290" s="4" t="e">
        <f>VLOOKUP(A1290,Revisión!$A$2:$L$703,7,FALSE)</f>
        <v>#N/A</v>
      </c>
      <c r="J1290" s="4" t="e">
        <f>VLOOKUP(A1290,Revisión!$A$2:$L$703,8,FALSE)</f>
        <v>#N/A</v>
      </c>
      <c r="K1290" s="4" t="e">
        <f>VLOOKUP(A1290,Revisión!$A$2:$L$703,9,FALSE)</f>
        <v>#N/A</v>
      </c>
      <c r="L1290" s="4" t="e">
        <f>VLOOKUP(A1290,Revisión!$A$2:$L$703,10,FALSE)</f>
        <v>#N/A</v>
      </c>
      <c r="M1290" s="18" t="e">
        <f>VLOOKUP(A1290,Revisión!$A$2:$L$703,11,FALSE)</f>
        <v>#N/A</v>
      </c>
      <c r="N1290" s="30" t="str">
        <f>IF(E1290="Coinciden",D1290,IF(E1290="Revisar",VLOOKUP(A1290,Revisión!$A$2:$L$703,12,FALSE),""))</f>
        <v>Luzuriaga polyphylla</v>
      </c>
    </row>
    <row r="1291" spans="1:14" x14ac:dyDescent="0.3">
      <c r="A1291" t="s">
        <v>2662</v>
      </c>
      <c r="B1291" t="s">
        <v>2663</v>
      </c>
      <c r="C1291" t="s">
        <v>2663</v>
      </c>
      <c r="D1291" t="s">
        <v>2663</v>
      </c>
      <c r="E1291" t="s">
        <v>18</v>
      </c>
      <c r="F1291" t="s">
        <v>19</v>
      </c>
      <c r="H1291" s="23" t="e">
        <f>VLOOKUP(A1291,Revisión!$A$2:$L$703,6,FALSE)</f>
        <v>#N/A</v>
      </c>
      <c r="I1291" s="4" t="e">
        <f>VLOOKUP(A1291,Revisión!$A$2:$L$703,7,FALSE)</f>
        <v>#N/A</v>
      </c>
      <c r="J1291" s="4" t="e">
        <f>VLOOKUP(A1291,Revisión!$A$2:$L$703,8,FALSE)</f>
        <v>#N/A</v>
      </c>
      <c r="K1291" s="4" t="e">
        <f>VLOOKUP(A1291,Revisión!$A$2:$L$703,9,FALSE)</f>
        <v>#N/A</v>
      </c>
      <c r="L1291" s="4" t="e">
        <f>VLOOKUP(A1291,Revisión!$A$2:$L$703,10,FALSE)</f>
        <v>#N/A</v>
      </c>
      <c r="M1291" s="18" t="e">
        <f>VLOOKUP(A1291,Revisión!$A$2:$L$703,11,FALSE)</f>
        <v>#N/A</v>
      </c>
      <c r="N1291" s="30" t="str">
        <f>IF(E1291="Coinciden",D1291,IF(E1291="Revisar",VLOOKUP(A1291,Revisión!$A$2:$L$703,12,FALSE),""))</f>
        <v>Luzuriaga radicans</v>
      </c>
    </row>
    <row r="1292" spans="1:14" x14ac:dyDescent="0.3">
      <c r="A1292" t="s">
        <v>2664</v>
      </c>
      <c r="B1292" t="s">
        <v>2665</v>
      </c>
      <c r="C1292" t="s">
        <v>2665</v>
      </c>
      <c r="D1292" t="s">
        <v>2665</v>
      </c>
      <c r="E1292" t="s">
        <v>18</v>
      </c>
      <c r="F1292" t="s">
        <v>19</v>
      </c>
      <c r="H1292" s="23" t="e">
        <f>VLOOKUP(A1292,Revisión!$A$2:$L$703,6,FALSE)</f>
        <v>#N/A</v>
      </c>
      <c r="I1292" s="4" t="e">
        <f>VLOOKUP(A1292,Revisión!$A$2:$L$703,7,FALSE)</f>
        <v>#N/A</v>
      </c>
      <c r="J1292" s="4" t="e">
        <f>VLOOKUP(A1292,Revisión!$A$2:$L$703,8,FALSE)</f>
        <v>#N/A</v>
      </c>
      <c r="K1292" s="4" t="e">
        <f>VLOOKUP(A1292,Revisión!$A$2:$L$703,9,FALSE)</f>
        <v>#N/A</v>
      </c>
      <c r="L1292" s="4" t="e">
        <f>VLOOKUP(A1292,Revisión!$A$2:$L$703,10,FALSE)</f>
        <v>#N/A</v>
      </c>
      <c r="M1292" s="18" t="e">
        <f>VLOOKUP(A1292,Revisión!$A$2:$L$703,11,FALSE)</f>
        <v>#N/A</v>
      </c>
      <c r="N1292" s="30" t="str">
        <f>IF(E1292="Coinciden",D1292,IF(E1292="Revisar",VLOOKUP(A1292,Revisión!$A$2:$L$703,12,FALSE),""))</f>
        <v>Silene flos-cuculi</v>
      </c>
    </row>
    <row r="1293" spans="1:14" x14ac:dyDescent="0.3">
      <c r="A1293" t="s">
        <v>2666</v>
      </c>
      <c r="B1293" t="s">
        <v>2667</v>
      </c>
      <c r="C1293" t="s">
        <v>2667</v>
      </c>
      <c r="E1293" t="s">
        <v>8</v>
      </c>
      <c r="F1293" t="s">
        <v>323</v>
      </c>
      <c r="H1293" s="23" t="str">
        <f>VLOOKUP(A1293,Revisión!$A$2:$L$703,6,FALSE)</f>
        <v>Silene gracillima</v>
      </c>
      <c r="I1293" s="4" t="str">
        <f>VLOOKUP(A1293,Revisión!$A$2:$L$703,7,FALSE)</f>
        <v>-</v>
      </c>
      <c r="J1293" s="4" t="str">
        <f>VLOOKUP(A1293,Revisión!$A$2:$L$703,8,FALSE)</f>
        <v>Silene gracillima</v>
      </c>
      <c r="K1293" s="4" t="str">
        <f>VLOOKUP(A1293,Revisión!$A$2:$L$703,9,FALSE)</f>
        <v>Silene gracillima</v>
      </c>
      <c r="L1293" s="4" t="str">
        <f>VLOOKUP(A1293,Revisión!$A$2:$L$703,10,FALSE)</f>
        <v>Silene gracillima</v>
      </c>
      <c r="M1293" s="18">
        <f>VLOOKUP(A1293,Revisión!$A$2:$L$703,11,FALSE)</f>
        <v>4</v>
      </c>
      <c r="N1293" s="30" t="str">
        <f>IF(E1293="Coinciden",D1293,IF(E1293="Revisar",VLOOKUP(A1293,Revisión!$A$2:$L$703,12,FALSE),""))</f>
        <v>Silene gracillima</v>
      </c>
    </row>
    <row r="1294" spans="1:14" x14ac:dyDescent="0.3">
      <c r="A1294" t="s">
        <v>2668</v>
      </c>
      <c r="C1294" t="s">
        <v>2669</v>
      </c>
      <c r="D1294" t="s">
        <v>2669</v>
      </c>
      <c r="E1294" t="s">
        <v>8</v>
      </c>
      <c r="F1294" t="s">
        <v>49</v>
      </c>
      <c r="H1294" s="23" t="str">
        <f>VLOOKUP(A1294,Revisión!$A$2:$L$703,6,FALSE)</f>
        <v>Solanum galapagense</v>
      </c>
      <c r="I1294" s="4" t="str">
        <f>VLOOKUP(A1294,Revisión!$A$2:$L$703,7,FALSE)</f>
        <v>-</v>
      </c>
      <c r="J1294" s="4" t="str">
        <f>VLOOKUP(A1294,Revisión!$A$2:$L$703,8,FALSE)</f>
        <v>-</v>
      </c>
      <c r="K1294" s="4" t="str">
        <f>VLOOKUP(A1294,Revisión!$A$2:$L$703,9,FALSE)</f>
        <v>-</v>
      </c>
      <c r="L1294" s="4" t="str">
        <f>VLOOKUP(A1294,Revisión!$A$2:$L$703,10,FALSE)</f>
        <v>-</v>
      </c>
      <c r="M1294" s="18">
        <f>VLOOKUP(A1294,Revisión!$A$2:$L$703,11,FALSE)</f>
        <v>3</v>
      </c>
      <c r="N1294" s="30" t="str">
        <f>IF(E1294="Coinciden",D1294,IF(E1294="Revisar",VLOOKUP(A1294,Revisión!$A$2:$L$703,12,FALSE),""))</f>
        <v>Solanum galapagense</v>
      </c>
    </row>
    <row r="1295" spans="1:14" x14ac:dyDescent="0.3">
      <c r="A1295" t="s">
        <v>2670</v>
      </c>
      <c r="B1295" t="s">
        <v>2671</v>
      </c>
      <c r="C1295" t="s">
        <v>2669</v>
      </c>
      <c r="D1295" t="s">
        <v>2669</v>
      </c>
      <c r="E1295" t="s">
        <v>8</v>
      </c>
      <c r="F1295" t="s">
        <v>23</v>
      </c>
      <c r="H1295" s="23" t="str">
        <f>VLOOKUP(A1295,Revisión!$A$2:$L$703,6,FALSE)</f>
        <v>Solanum cheesmaniae</v>
      </c>
      <c r="I1295" s="4" t="str">
        <f>VLOOKUP(A1295,Revisión!$A$2:$L$703,7,FALSE)</f>
        <v>-</v>
      </c>
      <c r="J1295" s="4" t="str">
        <f>VLOOKUP(A1295,Revisión!$A$2:$L$703,8,FALSE)</f>
        <v>-</v>
      </c>
      <c r="K1295" s="4" t="str">
        <f>VLOOKUP(A1295,Revisión!$A$2:$L$703,9,FALSE)</f>
        <v>-</v>
      </c>
      <c r="L1295" s="4" t="str">
        <f>VLOOKUP(A1295,Revisión!$A$2:$L$703,10,FALSE)</f>
        <v>-</v>
      </c>
      <c r="M1295" s="18">
        <f>VLOOKUP(A1295,Revisión!$A$2:$L$703,11,FALSE)</f>
        <v>3</v>
      </c>
      <c r="N1295" s="30" t="str">
        <f>IF(E1295="Coinciden",D1295,IF(E1295="Revisar",VLOOKUP(A1295,Revisión!$A$2:$L$703,12,FALSE),""))</f>
        <v>Solanum cheesmaniae</v>
      </c>
    </row>
    <row r="1296" spans="1:14" x14ac:dyDescent="0.3">
      <c r="A1296" t="s">
        <v>2672</v>
      </c>
      <c r="B1296" t="s">
        <v>2673</v>
      </c>
      <c r="C1296" t="s">
        <v>2673</v>
      </c>
      <c r="D1296" t="s">
        <v>2673</v>
      </c>
      <c r="E1296" t="s">
        <v>18</v>
      </c>
      <c r="F1296" t="s">
        <v>19</v>
      </c>
      <c r="H1296" s="23" t="e">
        <f>VLOOKUP(A1296,Revisión!$A$2:$L$703,6,FALSE)</f>
        <v>#N/A</v>
      </c>
      <c r="I1296" s="4" t="e">
        <f>VLOOKUP(A1296,Revisión!$A$2:$L$703,7,FALSE)</f>
        <v>#N/A</v>
      </c>
      <c r="J1296" s="4" t="e">
        <f>VLOOKUP(A1296,Revisión!$A$2:$L$703,8,FALSE)</f>
        <v>#N/A</v>
      </c>
      <c r="K1296" s="4" t="e">
        <f>VLOOKUP(A1296,Revisión!$A$2:$L$703,9,FALSE)</f>
        <v>#N/A</v>
      </c>
      <c r="L1296" s="4" t="e">
        <f>VLOOKUP(A1296,Revisión!$A$2:$L$703,10,FALSE)</f>
        <v>#N/A</v>
      </c>
      <c r="M1296" s="18" t="e">
        <f>VLOOKUP(A1296,Revisión!$A$2:$L$703,11,FALSE)</f>
        <v>#N/A</v>
      </c>
      <c r="N1296" s="30" t="str">
        <f>IF(E1296="Coinciden",D1296,IF(E1296="Revisar",VLOOKUP(A1296,Revisión!$A$2:$L$703,12,FALSE),""))</f>
        <v>Lycopus rubellus</v>
      </c>
    </row>
    <row r="1297" spans="1:14" x14ac:dyDescent="0.3">
      <c r="A1297" t="s">
        <v>2674</v>
      </c>
      <c r="B1297" t="s">
        <v>2675</v>
      </c>
      <c r="C1297" t="s">
        <v>2675</v>
      </c>
      <c r="D1297" t="s">
        <v>2675</v>
      </c>
      <c r="E1297" t="s">
        <v>18</v>
      </c>
      <c r="F1297" t="s">
        <v>19</v>
      </c>
      <c r="H1297" s="23" t="e">
        <f>VLOOKUP(A1297,Revisión!$A$2:$L$703,6,FALSE)</f>
        <v>#N/A</v>
      </c>
      <c r="I1297" s="4" t="e">
        <f>VLOOKUP(A1297,Revisión!$A$2:$L$703,7,FALSE)</f>
        <v>#N/A</v>
      </c>
      <c r="J1297" s="4" t="e">
        <f>VLOOKUP(A1297,Revisión!$A$2:$L$703,8,FALSE)</f>
        <v>#N/A</v>
      </c>
      <c r="K1297" s="4" t="e">
        <f>VLOOKUP(A1297,Revisión!$A$2:$L$703,9,FALSE)</f>
        <v>#N/A</v>
      </c>
      <c r="L1297" s="4" t="e">
        <f>VLOOKUP(A1297,Revisión!$A$2:$L$703,10,FALSE)</f>
        <v>#N/A</v>
      </c>
      <c r="M1297" s="18" t="e">
        <f>VLOOKUP(A1297,Revisión!$A$2:$L$703,11,FALSE)</f>
        <v>#N/A</v>
      </c>
      <c r="N1297" s="30" t="str">
        <f>IF(E1297="Coinciden",D1297,IF(E1297="Revisar",VLOOKUP(A1297,Revisión!$A$2:$L$703,12,FALSE),""))</f>
        <v>Lycopus americanus</v>
      </c>
    </row>
    <row r="1298" spans="1:14" x14ac:dyDescent="0.3">
      <c r="A1298" t="s">
        <v>2676</v>
      </c>
      <c r="B1298" t="s">
        <v>2677</v>
      </c>
      <c r="C1298" t="s">
        <v>2677</v>
      </c>
      <c r="D1298" t="s">
        <v>2677</v>
      </c>
      <c r="E1298" t="s">
        <v>18</v>
      </c>
      <c r="F1298" t="s">
        <v>19</v>
      </c>
      <c r="H1298" s="23" t="e">
        <f>VLOOKUP(A1298,Revisión!$A$2:$L$703,6,FALSE)</f>
        <v>#N/A</v>
      </c>
      <c r="I1298" s="4" t="e">
        <f>VLOOKUP(A1298,Revisión!$A$2:$L$703,7,FALSE)</f>
        <v>#N/A</v>
      </c>
      <c r="J1298" s="4" t="e">
        <f>VLOOKUP(A1298,Revisión!$A$2:$L$703,8,FALSE)</f>
        <v>#N/A</v>
      </c>
      <c r="K1298" s="4" t="e">
        <f>VLOOKUP(A1298,Revisión!$A$2:$L$703,9,FALSE)</f>
        <v>#N/A</v>
      </c>
      <c r="L1298" s="4" t="e">
        <f>VLOOKUP(A1298,Revisión!$A$2:$L$703,10,FALSE)</f>
        <v>#N/A</v>
      </c>
      <c r="M1298" s="18" t="e">
        <f>VLOOKUP(A1298,Revisión!$A$2:$L$703,11,FALSE)</f>
        <v>#N/A</v>
      </c>
      <c r="N1298" s="30" t="str">
        <f>IF(E1298="Coinciden",D1298,IF(E1298="Revisar",VLOOKUP(A1298,Revisión!$A$2:$L$703,12,FALSE),""))</f>
        <v>Lycopus cavaleriei</v>
      </c>
    </row>
    <row r="1299" spans="1:14" x14ac:dyDescent="0.3">
      <c r="A1299" t="s">
        <v>2678</v>
      </c>
      <c r="B1299" t="s">
        <v>2679</v>
      </c>
      <c r="C1299" t="s">
        <v>2679</v>
      </c>
      <c r="D1299" t="s">
        <v>2679</v>
      </c>
      <c r="E1299" t="s">
        <v>18</v>
      </c>
      <c r="F1299" t="s">
        <v>19</v>
      </c>
      <c r="H1299" s="23" t="e">
        <f>VLOOKUP(A1299,Revisión!$A$2:$L$703,6,FALSE)</f>
        <v>#N/A</v>
      </c>
      <c r="I1299" s="4" t="e">
        <f>VLOOKUP(A1299,Revisión!$A$2:$L$703,7,FALSE)</f>
        <v>#N/A</v>
      </c>
      <c r="J1299" s="4" t="e">
        <f>VLOOKUP(A1299,Revisión!$A$2:$L$703,8,FALSE)</f>
        <v>#N/A</v>
      </c>
      <c r="K1299" s="4" t="e">
        <f>VLOOKUP(A1299,Revisión!$A$2:$L$703,9,FALSE)</f>
        <v>#N/A</v>
      </c>
      <c r="L1299" s="4" t="e">
        <f>VLOOKUP(A1299,Revisión!$A$2:$L$703,10,FALSE)</f>
        <v>#N/A</v>
      </c>
      <c r="M1299" s="18" t="e">
        <f>VLOOKUP(A1299,Revisión!$A$2:$L$703,11,FALSE)</f>
        <v>#N/A</v>
      </c>
      <c r="N1299" s="30" t="str">
        <f>IF(E1299="Coinciden",D1299,IF(E1299="Revisar",VLOOKUP(A1299,Revisión!$A$2:$L$703,12,FALSE),""))</f>
        <v>Lyonia ovalifolia</v>
      </c>
    </row>
    <row r="1300" spans="1:14" x14ac:dyDescent="0.3">
      <c r="A1300" t="s">
        <v>2680</v>
      </c>
      <c r="C1300" t="s">
        <v>2681</v>
      </c>
      <c r="D1300" t="s">
        <v>2681</v>
      </c>
      <c r="E1300" t="s">
        <v>8</v>
      </c>
      <c r="F1300" t="s">
        <v>49</v>
      </c>
      <c r="H1300" s="23" t="str">
        <f>VLOOKUP(A1300,Revisión!$A$2:$L$703,6,FALSE)</f>
        <v>Lysimachia mauritiana</v>
      </c>
      <c r="I1300" s="4" t="str">
        <f>VLOOKUP(A1300,Revisión!$A$2:$L$703,7,FALSE)</f>
        <v>-</v>
      </c>
      <c r="J1300" s="4" t="str">
        <f>VLOOKUP(A1300,Revisión!$A$2:$L$703,8,FALSE)</f>
        <v>Lysimachia mauritiana</v>
      </c>
      <c r="K1300" s="4" t="str">
        <f>VLOOKUP(A1300,Revisión!$A$2:$L$703,9,FALSE)</f>
        <v>Lysimachia mauritiana</v>
      </c>
      <c r="L1300" s="4" t="str">
        <f>VLOOKUP(A1300,Revisión!$A$2:$L$703,10,FALSE)</f>
        <v>Lysimachia mauritiana</v>
      </c>
      <c r="M1300" s="18">
        <f>VLOOKUP(A1300,Revisión!$A$2:$L$703,11,FALSE)</f>
        <v>5</v>
      </c>
      <c r="N1300" s="30" t="str">
        <f>IF(E1300="Coinciden",D1300,IF(E1300="Revisar",VLOOKUP(A1300,Revisión!$A$2:$L$703,12,FALSE),""))</f>
        <v>Lysimachia mauritiana</v>
      </c>
    </row>
    <row r="1301" spans="1:14" x14ac:dyDescent="0.3">
      <c r="A1301" t="s">
        <v>2682</v>
      </c>
      <c r="B1301" t="s">
        <v>2683</v>
      </c>
      <c r="D1301" t="s">
        <v>2683</v>
      </c>
      <c r="E1301" t="s">
        <v>8</v>
      </c>
      <c r="F1301" t="s">
        <v>34</v>
      </c>
      <c r="H1301" s="23" t="str">
        <f>VLOOKUP(A1301,Revisión!$A$2:$L$703,6,FALSE)</f>
        <v>Lysimachia vulgaris</v>
      </c>
      <c r="I1301" s="4" t="str">
        <f>VLOOKUP(A1301,Revisión!$A$2:$L$703,7,FALSE)</f>
        <v>-</v>
      </c>
      <c r="J1301" s="4" t="str">
        <f>VLOOKUP(A1301,Revisión!$A$2:$L$703,8,FALSE)</f>
        <v>Lysimachia vulgaris</v>
      </c>
      <c r="K1301" s="4" t="str">
        <f>VLOOKUP(A1301,Revisión!$A$2:$L$703,9,FALSE)</f>
        <v>Lysimachia vulgaris</v>
      </c>
      <c r="L1301" s="4" t="str">
        <f>VLOOKUP(A1301,Revisión!$A$2:$L$703,10,FALSE)</f>
        <v>Lysimachia vulgaris</v>
      </c>
      <c r="M1301" s="18">
        <f>VLOOKUP(A1301,Revisión!$A$2:$L$703,11,FALSE)</f>
        <v>5</v>
      </c>
      <c r="N1301" s="30" t="str">
        <f>IF(E1301="Coinciden",D1301,IF(E1301="Revisar",VLOOKUP(A1301,Revisión!$A$2:$L$703,12,FALSE),""))</f>
        <v>Lysimachia vulgaris</v>
      </c>
    </row>
    <row r="1302" spans="1:14" x14ac:dyDescent="0.3">
      <c r="A1302" t="s">
        <v>2684</v>
      </c>
      <c r="B1302" t="s">
        <v>2685</v>
      </c>
      <c r="C1302" t="s">
        <v>2685</v>
      </c>
      <c r="D1302" t="s">
        <v>2685</v>
      </c>
      <c r="E1302" t="s">
        <v>18</v>
      </c>
      <c r="F1302" t="s">
        <v>19</v>
      </c>
      <c r="H1302" s="23" t="e">
        <f>VLOOKUP(A1302,Revisión!$A$2:$L$703,6,FALSE)</f>
        <v>#N/A</v>
      </c>
      <c r="I1302" s="4" t="e">
        <f>VLOOKUP(A1302,Revisión!$A$2:$L$703,7,FALSE)</f>
        <v>#N/A</v>
      </c>
      <c r="J1302" s="4" t="e">
        <f>VLOOKUP(A1302,Revisión!$A$2:$L$703,8,FALSE)</f>
        <v>#N/A</v>
      </c>
      <c r="K1302" s="4" t="e">
        <f>VLOOKUP(A1302,Revisión!$A$2:$L$703,9,FALSE)</f>
        <v>#N/A</v>
      </c>
      <c r="L1302" s="4" t="e">
        <f>VLOOKUP(A1302,Revisión!$A$2:$L$703,10,FALSE)</f>
        <v>#N/A</v>
      </c>
      <c r="M1302" s="18" t="e">
        <f>VLOOKUP(A1302,Revisión!$A$2:$L$703,11,FALSE)</f>
        <v>#N/A</v>
      </c>
      <c r="N1302" s="30" t="str">
        <f>IF(E1302="Coinciden",D1302,IF(E1302="Revisar",VLOOKUP(A1302,Revisión!$A$2:$L$703,12,FALSE),""))</f>
        <v>Lysimachia fortunei</v>
      </c>
    </row>
    <row r="1303" spans="1:14" x14ac:dyDescent="0.3">
      <c r="A1303" t="s">
        <v>2686</v>
      </c>
      <c r="B1303" t="s">
        <v>2687</v>
      </c>
      <c r="C1303" t="s">
        <v>2687</v>
      </c>
      <c r="D1303" t="s">
        <v>2687</v>
      </c>
      <c r="E1303" t="s">
        <v>18</v>
      </c>
      <c r="F1303" t="s">
        <v>19</v>
      </c>
      <c r="H1303" s="23" t="e">
        <f>VLOOKUP(A1303,Revisión!$A$2:$L$703,6,FALSE)</f>
        <v>#N/A</v>
      </c>
      <c r="I1303" s="4" t="e">
        <f>VLOOKUP(A1303,Revisión!$A$2:$L$703,7,FALSE)</f>
        <v>#N/A</v>
      </c>
      <c r="J1303" s="4" t="e">
        <f>VLOOKUP(A1303,Revisión!$A$2:$L$703,8,FALSE)</f>
        <v>#N/A</v>
      </c>
      <c r="K1303" s="4" t="e">
        <f>VLOOKUP(A1303,Revisión!$A$2:$L$703,9,FALSE)</f>
        <v>#N/A</v>
      </c>
      <c r="L1303" s="4" t="e">
        <f>VLOOKUP(A1303,Revisión!$A$2:$L$703,10,FALSE)</f>
        <v>#N/A</v>
      </c>
      <c r="M1303" s="18" t="e">
        <f>VLOOKUP(A1303,Revisión!$A$2:$L$703,11,FALSE)</f>
        <v>#N/A</v>
      </c>
      <c r="N1303" s="30" t="str">
        <f>IF(E1303="Coinciden",D1303,IF(E1303="Revisar",VLOOKUP(A1303,Revisión!$A$2:$L$703,12,FALSE),""))</f>
        <v>Lysimachia nummularia</v>
      </c>
    </row>
    <row r="1304" spans="1:14" x14ac:dyDescent="0.3">
      <c r="A1304" t="s">
        <v>2688</v>
      </c>
      <c r="B1304" t="s">
        <v>2689</v>
      </c>
      <c r="C1304" t="s">
        <v>2689</v>
      </c>
      <c r="D1304" t="s">
        <v>2689</v>
      </c>
      <c r="E1304" t="s">
        <v>18</v>
      </c>
      <c r="F1304" t="s">
        <v>19</v>
      </c>
      <c r="H1304" s="23" t="e">
        <f>VLOOKUP(A1304,Revisión!$A$2:$L$703,6,FALSE)</f>
        <v>#N/A</v>
      </c>
      <c r="I1304" s="4" t="e">
        <f>VLOOKUP(A1304,Revisión!$A$2:$L$703,7,FALSE)</f>
        <v>#N/A</v>
      </c>
      <c r="J1304" s="4" t="e">
        <f>VLOOKUP(A1304,Revisión!$A$2:$L$703,8,FALSE)</f>
        <v>#N/A</v>
      </c>
      <c r="K1304" s="4" t="e">
        <f>VLOOKUP(A1304,Revisión!$A$2:$L$703,9,FALSE)</f>
        <v>#N/A</v>
      </c>
      <c r="L1304" s="4" t="e">
        <f>VLOOKUP(A1304,Revisión!$A$2:$L$703,10,FALSE)</f>
        <v>#N/A</v>
      </c>
      <c r="M1304" s="18" t="e">
        <f>VLOOKUP(A1304,Revisión!$A$2:$L$703,11,FALSE)</f>
        <v>#N/A</v>
      </c>
      <c r="N1304" s="30" t="str">
        <f>IF(E1304="Coinciden",D1304,IF(E1304="Revisar",VLOOKUP(A1304,Revisión!$A$2:$L$703,12,FALSE),""))</f>
        <v>Lysimachia clethroides</v>
      </c>
    </row>
    <row r="1305" spans="1:14" x14ac:dyDescent="0.3">
      <c r="A1305" t="s">
        <v>2690</v>
      </c>
      <c r="B1305" t="s">
        <v>2691</v>
      </c>
      <c r="C1305" t="s">
        <v>2691</v>
      </c>
      <c r="D1305" t="s">
        <v>2691</v>
      </c>
      <c r="E1305" t="s">
        <v>18</v>
      </c>
      <c r="F1305" t="s">
        <v>19</v>
      </c>
      <c r="H1305" s="23" t="e">
        <f>VLOOKUP(A1305,Revisión!$A$2:$L$703,6,FALSE)</f>
        <v>#N/A</v>
      </c>
      <c r="I1305" s="4" t="e">
        <f>VLOOKUP(A1305,Revisión!$A$2:$L$703,7,FALSE)</f>
        <v>#N/A</v>
      </c>
      <c r="J1305" s="4" t="e">
        <f>VLOOKUP(A1305,Revisión!$A$2:$L$703,8,FALSE)</f>
        <v>#N/A</v>
      </c>
      <c r="K1305" s="4" t="e">
        <f>VLOOKUP(A1305,Revisión!$A$2:$L$703,9,FALSE)</f>
        <v>#N/A</v>
      </c>
      <c r="L1305" s="4" t="e">
        <f>VLOOKUP(A1305,Revisión!$A$2:$L$703,10,FALSE)</f>
        <v>#N/A</v>
      </c>
      <c r="M1305" s="18" t="e">
        <f>VLOOKUP(A1305,Revisión!$A$2:$L$703,11,FALSE)</f>
        <v>#N/A</v>
      </c>
      <c r="N1305" s="30" t="str">
        <f>IF(E1305="Coinciden",D1305,IF(E1305="Revisar",VLOOKUP(A1305,Revisión!$A$2:$L$703,12,FALSE),""))</f>
        <v>Lythrum salicaria</v>
      </c>
    </row>
    <row r="1306" spans="1:14" x14ac:dyDescent="0.3">
      <c r="A1306" t="s">
        <v>2692</v>
      </c>
      <c r="B1306" t="s">
        <v>2693</v>
      </c>
      <c r="D1306" t="s">
        <v>2693</v>
      </c>
      <c r="E1306" t="s">
        <v>8</v>
      </c>
      <c r="F1306" t="s">
        <v>34</v>
      </c>
      <c r="H1306" s="23" t="str">
        <f>VLOOKUP(A1306,Revisión!$A$2:$L$703,6,FALSE)</f>
        <v>Lythrum alatum</v>
      </c>
      <c r="I1306" s="4" t="str">
        <f>VLOOKUP(A1306,Revisión!$A$2:$L$703,7,FALSE)</f>
        <v>-</v>
      </c>
      <c r="J1306" s="4" t="str">
        <f>VLOOKUP(A1306,Revisión!$A$2:$L$703,8,FALSE)</f>
        <v>Lythrum alatum</v>
      </c>
      <c r="K1306" s="4" t="str">
        <f>VLOOKUP(A1306,Revisión!$A$2:$L$703,9,FALSE)</f>
        <v>Lythrum alatum</v>
      </c>
      <c r="L1306" s="4" t="str">
        <f>VLOOKUP(A1306,Revisión!$A$2:$L$703,10,FALSE)</f>
        <v>Lythrum alatum</v>
      </c>
      <c r="M1306" s="18">
        <f>VLOOKUP(A1306,Revisión!$A$2:$L$703,11,FALSE)</f>
        <v>5</v>
      </c>
      <c r="N1306" s="30" t="str">
        <f>IF(E1306="Coinciden",D1306,IF(E1306="Revisar",VLOOKUP(A1306,Revisión!$A$2:$L$703,12,FALSE),""))</f>
        <v>Lythrum alatum</v>
      </c>
    </row>
    <row r="1307" spans="1:14" x14ac:dyDescent="0.3">
      <c r="A1307" t="s">
        <v>2694</v>
      </c>
      <c r="B1307" t="s">
        <v>2691</v>
      </c>
      <c r="C1307" t="s">
        <v>2691</v>
      </c>
      <c r="D1307" t="s">
        <v>2691</v>
      </c>
      <c r="E1307" t="s">
        <v>18</v>
      </c>
      <c r="F1307" t="s">
        <v>19</v>
      </c>
      <c r="H1307" s="23" t="e">
        <f>VLOOKUP(A1307,Revisión!$A$2:$L$703,6,FALSE)</f>
        <v>#N/A</v>
      </c>
      <c r="I1307" s="4" t="e">
        <f>VLOOKUP(A1307,Revisión!$A$2:$L$703,7,FALSE)</f>
        <v>#N/A</v>
      </c>
      <c r="J1307" s="4" t="e">
        <f>VLOOKUP(A1307,Revisión!$A$2:$L$703,8,FALSE)</f>
        <v>#N/A</v>
      </c>
      <c r="K1307" s="4" t="e">
        <f>VLOOKUP(A1307,Revisión!$A$2:$L$703,9,FALSE)</f>
        <v>#N/A</v>
      </c>
      <c r="L1307" s="4" t="e">
        <f>VLOOKUP(A1307,Revisión!$A$2:$L$703,10,FALSE)</f>
        <v>#N/A</v>
      </c>
      <c r="M1307" s="18" t="e">
        <f>VLOOKUP(A1307,Revisión!$A$2:$L$703,11,FALSE)</f>
        <v>#N/A</v>
      </c>
      <c r="N1307" s="30" t="str">
        <f>IF(E1307="Coinciden",D1307,IF(E1307="Revisar",VLOOKUP(A1307,Revisión!$A$2:$L$703,12,FALSE),""))</f>
        <v>Lythrum salicaria</v>
      </c>
    </row>
    <row r="1308" spans="1:14" x14ac:dyDescent="0.3">
      <c r="A1308" t="s">
        <v>2695</v>
      </c>
      <c r="B1308" t="s">
        <v>2696</v>
      </c>
      <c r="C1308" t="s">
        <v>2696</v>
      </c>
      <c r="D1308" t="s">
        <v>2696</v>
      </c>
      <c r="E1308" t="s">
        <v>18</v>
      </c>
      <c r="F1308" t="s">
        <v>19</v>
      </c>
      <c r="H1308" s="23" t="e">
        <f>VLOOKUP(A1308,Revisión!$A$2:$L$703,6,FALSE)</f>
        <v>#N/A</v>
      </c>
      <c r="I1308" s="4" t="e">
        <f>VLOOKUP(A1308,Revisión!$A$2:$L$703,7,FALSE)</f>
        <v>#N/A</v>
      </c>
      <c r="J1308" s="4" t="e">
        <f>VLOOKUP(A1308,Revisión!$A$2:$L$703,8,FALSE)</f>
        <v>#N/A</v>
      </c>
      <c r="K1308" s="4" t="e">
        <f>VLOOKUP(A1308,Revisión!$A$2:$L$703,9,FALSE)</f>
        <v>#N/A</v>
      </c>
      <c r="L1308" s="4" t="e">
        <f>VLOOKUP(A1308,Revisión!$A$2:$L$703,10,FALSE)</f>
        <v>#N/A</v>
      </c>
      <c r="M1308" s="18" t="e">
        <f>VLOOKUP(A1308,Revisión!$A$2:$L$703,11,FALSE)</f>
        <v>#N/A</v>
      </c>
      <c r="N1308" s="30" t="str">
        <f>IF(E1308="Coinciden",D1308,IF(E1308="Revisar",VLOOKUP(A1308,Revisión!$A$2:$L$703,12,FALSE),""))</f>
        <v>Maackia tashiroi</v>
      </c>
    </row>
    <row r="1309" spans="1:14" x14ac:dyDescent="0.3">
      <c r="A1309" t="s">
        <v>2697</v>
      </c>
      <c r="B1309" t="s">
        <v>2698</v>
      </c>
      <c r="C1309" t="s">
        <v>2698</v>
      </c>
      <c r="D1309" t="s">
        <v>2698</v>
      </c>
      <c r="E1309" t="s">
        <v>18</v>
      </c>
      <c r="F1309" t="s">
        <v>19</v>
      </c>
      <c r="H1309" s="23" t="e">
        <f>VLOOKUP(A1309,Revisión!$A$2:$L$703,6,FALSE)</f>
        <v>#N/A</v>
      </c>
      <c r="I1309" s="4" t="e">
        <f>VLOOKUP(A1309,Revisión!$A$2:$L$703,7,FALSE)</f>
        <v>#N/A</v>
      </c>
      <c r="J1309" s="4" t="e">
        <f>VLOOKUP(A1309,Revisión!$A$2:$L$703,8,FALSE)</f>
        <v>#N/A</v>
      </c>
      <c r="K1309" s="4" t="e">
        <f>VLOOKUP(A1309,Revisión!$A$2:$L$703,9,FALSE)</f>
        <v>#N/A</v>
      </c>
      <c r="L1309" s="4" t="e">
        <f>VLOOKUP(A1309,Revisión!$A$2:$L$703,10,FALSE)</f>
        <v>#N/A</v>
      </c>
      <c r="M1309" s="18" t="e">
        <f>VLOOKUP(A1309,Revisión!$A$2:$L$703,11,FALSE)</f>
        <v>#N/A</v>
      </c>
      <c r="N1309" s="30" t="str">
        <f>IF(E1309="Coinciden",D1309,IF(E1309="Revisar",VLOOKUP(A1309,Revisión!$A$2:$L$703,12,FALSE),""))</f>
        <v>Macairea pachyphylla</v>
      </c>
    </row>
    <row r="1310" spans="1:14" x14ac:dyDescent="0.3">
      <c r="A1310" t="s">
        <v>2699</v>
      </c>
      <c r="B1310" t="s">
        <v>2700</v>
      </c>
      <c r="C1310" t="s">
        <v>2700</v>
      </c>
      <c r="D1310" t="s">
        <v>2700</v>
      </c>
      <c r="E1310" t="s">
        <v>18</v>
      </c>
      <c r="F1310" t="s">
        <v>19</v>
      </c>
      <c r="H1310" s="23" t="e">
        <f>VLOOKUP(A1310,Revisión!$A$2:$L$703,6,FALSE)</f>
        <v>#N/A</v>
      </c>
      <c r="I1310" s="4" t="e">
        <f>VLOOKUP(A1310,Revisión!$A$2:$L$703,7,FALSE)</f>
        <v>#N/A</v>
      </c>
      <c r="J1310" s="4" t="e">
        <f>VLOOKUP(A1310,Revisión!$A$2:$L$703,8,FALSE)</f>
        <v>#N/A</v>
      </c>
      <c r="K1310" s="4" t="e">
        <f>VLOOKUP(A1310,Revisión!$A$2:$L$703,9,FALSE)</f>
        <v>#N/A</v>
      </c>
      <c r="L1310" s="4" t="e">
        <f>VLOOKUP(A1310,Revisión!$A$2:$L$703,10,FALSE)</f>
        <v>#N/A</v>
      </c>
      <c r="M1310" s="18" t="e">
        <f>VLOOKUP(A1310,Revisión!$A$2:$L$703,11,FALSE)</f>
        <v>#N/A</v>
      </c>
      <c r="N1310" s="30" t="str">
        <f>IF(E1310="Coinciden",D1310,IF(E1310="Revisar",VLOOKUP(A1310,Revisión!$A$2:$L$703,12,FALSE),""))</f>
        <v>Macairea parvifolia</v>
      </c>
    </row>
    <row r="1311" spans="1:14" x14ac:dyDescent="0.3">
      <c r="A1311" t="s">
        <v>2701</v>
      </c>
      <c r="C1311" t="s">
        <v>2702</v>
      </c>
      <c r="D1311" t="s">
        <v>2702</v>
      </c>
      <c r="E1311" t="s">
        <v>8</v>
      </c>
      <c r="F1311" t="s">
        <v>49</v>
      </c>
      <c r="H1311" s="23" t="str">
        <f>VLOOKUP(A1311,Revisión!$A$2:$L$703,6,FALSE)</f>
        <v>Machilus thunbergii</v>
      </c>
      <c r="I1311" s="4" t="str">
        <f>VLOOKUP(A1311,Revisión!$A$2:$L$703,7,FALSE)</f>
        <v>-</v>
      </c>
      <c r="J1311" s="4" t="str">
        <f>VLOOKUP(A1311,Revisión!$A$2:$L$703,8,FALSE)</f>
        <v>Machilus thunbergii</v>
      </c>
      <c r="K1311" s="4" t="str">
        <f>VLOOKUP(A1311,Revisión!$A$2:$L$703,9,FALSE)</f>
        <v>Machilus thunbergii</v>
      </c>
      <c r="L1311" s="4" t="str">
        <f>VLOOKUP(A1311,Revisión!$A$2:$L$703,10,FALSE)</f>
        <v>Machilus thunbergii</v>
      </c>
      <c r="M1311" s="18">
        <f>VLOOKUP(A1311,Revisión!$A$2:$L$703,11,FALSE)</f>
        <v>5</v>
      </c>
      <c r="N1311" s="30" t="str">
        <f>IF(E1311="Coinciden",D1311,IF(E1311="Revisar",VLOOKUP(A1311,Revisión!$A$2:$L$703,12,FALSE),""))</f>
        <v>Machilus thunbergii</v>
      </c>
    </row>
    <row r="1312" spans="1:14" x14ac:dyDescent="0.3">
      <c r="A1312" t="s">
        <v>2703</v>
      </c>
      <c r="B1312" t="s">
        <v>2704</v>
      </c>
      <c r="C1312" t="s">
        <v>2704</v>
      </c>
      <c r="D1312" t="s">
        <v>2704</v>
      </c>
      <c r="E1312" t="s">
        <v>18</v>
      </c>
      <c r="F1312" t="s">
        <v>19</v>
      </c>
      <c r="H1312" s="23" t="e">
        <f>VLOOKUP(A1312,Revisión!$A$2:$L$703,6,FALSE)</f>
        <v>#N/A</v>
      </c>
      <c r="I1312" s="4" t="e">
        <f>VLOOKUP(A1312,Revisión!$A$2:$L$703,7,FALSE)</f>
        <v>#N/A</v>
      </c>
      <c r="J1312" s="4" t="e">
        <f>VLOOKUP(A1312,Revisión!$A$2:$L$703,8,FALSE)</f>
        <v>#N/A</v>
      </c>
      <c r="K1312" s="4" t="e">
        <f>VLOOKUP(A1312,Revisión!$A$2:$L$703,9,FALSE)</f>
        <v>#N/A</v>
      </c>
      <c r="L1312" s="4" t="e">
        <f>VLOOKUP(A1312,Revisión!$A$2:$L$703,10,FALSE)</f>
        <v>#N/A</v>
      </c>
      <c r="M1312" s="18" t="e">
        <f>VLOOKUP(A1312,Revisión!$A$2:$L$703,11,FALSE)</f>
        <v>#N/A</v>
      </c>
      <c r="N1312" s="30" t="str">
        <f>IF(E1312="Coinciden",D1312,IF(E1312="Revisar",VLOOKUP(A1312,Revisión!$A$2:$L$703,12,FALSE),""))</f>
        <v>Macleaya cordata</v>
      </c>
    </row>
    <row r="1313" spans="1:14" x14ac:dyDescent="0.3">
      <c r="A1313" t="s">
        <v>2705</v>
      </c>
      <c r="B1313" t="s">
        <v>2706</v>
      </c>
      <c r="C1313" t="s">
        <v>2706</v>
      </c>
      <c r="D1313" t="s">
        <v>2707</v>
      </c>
      <c r="E1313" t="s">
        <v>8</v>
      </c>
      <c r="F1313" t="s">
        <v>15</v>
      </c>
      <c r="H1313" s="23" t="str">
        <f>VLOOKUP(A1313,Revisión!$A$2:$L$703,6,FALSE)</f>
        <v>Macraea laricifolia</v>
      </c>
      <c r="I1313" s="4" t="str">
        <f>VLOOKUP(A1313,Revisión!$A$2:$L$703,7,FALSE)</f>
        <v>-</v>
      </c>
      <c r="J1313" s="4" t="str">
        <f>VLOOKUP(A1313,Revisión!$A$2:$L$703,8,FALSE)</f>
        <v>Trigonopterum laricifolium</v>
      </c>
      <c r="K1313" s="4" t="str">
        <f>VLOOKUP(A1313,Revisión!$A$2:$L$703,9,FALSE)</f>
        <v>Macraea laricifolia</v>
      </c>
      <c r="L1313" s="4" t="str">
        <f>VLOOKUP(A1313,Revisión!$A$2:$L$703,10,FALSE)</f>
        <v>-</v>
      </c>
      <c r="M1313" s="18">
        <f>VLOOKUP(A1313,Revisión!$A$2:$L$703,11,FALSE)</f>
        <v>3</v>
      </c>
      <c r="N1313" s="30" t="str">
        <f>IF(E1313="Coinciden",D1313,IF(E1313="Revisar",VLOOKUP(A1313,Revisión!$A$2:$L$703,12,FALSE),""))</f>
        <v>Trigonopterum laricifolium</v>
      </c>
    </row>
    <row r="1314" spans="1:14" x14ac:dyDescent="0.3">
      <c r="A1314" t="s">
        <v>2708</v>
      </c>
      <c r="B1314" t="s">
        <v>2709</v>
      </c>
      <c r="C1314" t="s">
        <v>2709</v>
      </c>
      <c r="D1314" t="s">
        <v>2709</v>
      </c>
      <c r="E1314" t="s">
        <v>18</v>
      </c>
      <c r="F1314" t="s">
        <v>19</v>
      </c>
      <c r="H1314" s="23" t="e">
        <f>VLOOKUP(A1314,Revisión!$A$2:$L$703,6,FALSE)</f>
        <v>#N/A</v>
      </c>
      <c r="I1314" s="4" t="e">
        <f>VLOOKUP(A1314,Revisión!$A$2:$L$703,7,FALSE)</f>
        <v>#N/A</v>
      </c>
      <c r="J1314" s="4" t="e">
        <f>VLOOKUP(A1314,Revisión!$A$2:$L$703,8,FALSE)</f>
        <v>#N/A</v>
      </c>
      <c r="K1314" s="4" t="e">
        <f>VLOOKUP(A1314,Revisión!$A$2:$L$703,9,FALSE)</f>
        <v>#N/A</v>
      </c>
      <c r="L1314" s="4" t="e">
        <f>VLOOKUP(A1314,Revisión!$A$2:$L$703,10,FALSE)</f>
        <v>#N/A</v>
      </c>
      <c r="M1314" s="18" t="e">
        <f>VLOOKUP(A1314,Revisión!$A$2:$L$703,11,FALSE)</f>
        <v>#N/A</v>
      </c>
      <c r="N1314" s="30" t="str">
        <f>IF(E1314="Coinciden",D1314,IF(E1314="Revisar",VLOOKUP(A1314,Revisión!$A$2:$L$703,12,FALSE),""))</f>
        <v>Madia sativa</v>
      </c>
    </row>
    <row r="1315" spans="1:14" x14ac:dyDescent="0.3">
      <c r="A1315" t="s">
        <v>2710</v>
      </c>
      <c r="B1315" t="s">
        <v>2711</v>
      </c>
      <c r="C1315" t="s">
        <v>2712</v>
      </c>
      <c r="D1315" t="s">
        <v>2712</v>
      </c>
      <c r="E1315" t="s">
        <v>8</v>
      </c>
      <c r="F1315" t="s">
        <v>23</v>
      </c>
      <c r="H1315" s="23" t="str">
        <f>VLOOKUP(A1315,Revisión!$A$2:$L$703,6,FALSE)</f>
        <v>Maesa perlaria var. formosana</v>
      </c>
      <c r="I1315" s="4" t="str">
        <f>VLOOKUP(A1315,Revisión!$A$2:$L$703,7,FALSE)</f>
        <v>-</v>
      </c>
      <c r="J1315" s="4" t="str">
        <f>VLOOKUP(A1315,Revisión!$A$2:$L$703,8,FALSE)</f>
        <v>Maesa tenera</v>
      </c>
      <c r="K1315" s="4" t="str">
        <f>VLOOKUP(A1315,Revisión!$A$2:$L$703,9,FALSE)</f>
        <v>Maesa perlaria var. formosana </v>
      </c>
      <c r="L1315" s="4" t="str">
        <f>VLOOKUP(A1315,Revisión!$A$2:$L$703,10,FALSE)</f>
        <v>Maesa perlaria var. formosana </v>
      </c>
      <c r="M1315" s="18">
        <f>VLOOKUP(A1315,Revisión!$A$2:$L$703,11,FALSE)</f>
        <v>3</v>
      </c>
      <c r="N1315" s="30" t="str">
        <f>IF(E1315="Coinciden",D1315,IF(E1315="Revisar",VLOOKUP(A1315,Revisión!$A$2:$L$703,12,FALSE),""))</f>
        <v>Maesa tenera</v>
      </c>
    </row>
    <row r="1316" spans="1:14" x14ac:dyDescent="0.3">
      <c r="A1316" t="s">
        <v>2713</v>
      </c>
      <c r="B1316" t="s">
        <v>2714</v>
      </c>
      <c r="C1316" t="s">
        <v>2714</v>
      </c>
      <c r="D1316" t="s">
        <v>2714</v>
      </c>
      <c r="E1316" t="s">
        <v>18</v>
      </c>
      <c r="F1316" t="s">
        <v>19</v>
      </c>
      <c r="H1316" s="23" t="e">
        <f>VLOOKUP(A1316,Revisión!$A$2:$L$703,6,FALSE)</f>
        <v>#N/A</v>
      </c>
      <c r="I1316" s="4" t="e">
        <f>VLOOKUP(A1316,Revisión!$A$2:$L$703,7,FALSE)</f>
        <v>#N/A</v>
      </c>
      <c r="J1316" s="4" t="e">
        <f>VLOOKUP(A1316,Revisión!$A$2:$L$703,8,FALSE)</f>
        <v>#N/A</v>
      </c>
      <c r="K1316" s="4" t="e">
        <f>VLOOKUP(A1316,Revisión!$A$2:$L$703,9,FALSE)</f>
        <v>#N/A</v>
      </c>
      <c r="L1316" s="4" t="e">
        <f>VLOOKUP(A1316,Revisión!$A$2:$L$703,10,FALSE)</f>
        <v>#N/A</v>
      </c>
      <c r="M1316" s="18" t="e">
        <f>VLOOKUP(A1316,Revisión!$A$2:$L$703,11,FALSE)</f>
        <v>#N/A</v>
      </c>
      <c r="N1316" s="30" t="str">
        <f>IF(E1316="Coinciden",D1316,IF(E1316="Revisar",VLOOKUP(A1316,Revisión!$A$2:$L$703,12,FALSE),""))</f>
        <v>Magnolia salicifolia</v>
      </c>
    </row>
    <row r="1317" spans="1:14" x14ac:dyDescent="0.3">
      <c r="A1317" t="s">
        <v>2715</v>
      </c>
      <c r="B1317" t="s">
        <v>2716</v>
      </c>
      <c r="C1317" t="s">
        <v>2717</v>
      </c>
      <c r="D1317" t="s">
        <v>2717</v>
      </c>
      <c r="E1317" t="s">
        <v>8</v>
      </c>
      <c r="F1317" t="s">
        <v>23</v>
      </c>
      <c r="H1317" s="23" t="str">
        <f>VLOOKUP(A1317,Revisión!$A$2:$L$703,6,FALSE)</f>
        <v>Mahonia japonica</v>
      </c>
      <c r="I1317" s="4" t="str">
        <f>VLOOKUP(A1317,Revisión!$A$2:$L$703,7,FALSE)</f>
        <v>-</v>
      </c>
      <c r="J1317" s="4" t="str">
        <f>VLOOKUP(A1317,Revisión!$A$2:$L$703,8,FALSE)</f>
        <v>Berberis japonica</v>
      </c>
      <c r="K1317" s="4" t="str">
        <f>VLOOKUP(A1317,Revisión!$A$2:$L$703,9,FALSE)</f>
        <v>Mahonia japonica</v>
      </c>
      <c r="L1317" s="4" t="str">
        <f>VLOOKUP(A1317,Revisión!$A$2:$L$703,10,FALSE)</f>
        <v>Mahonia japonica</v>
      </c>
      <c r="M1317" s="18">
        <f>VLOOKUP(A1317,Revisión!$A$2:$L$703,11,FALSE)</f>
        <v>3</v>
      </c>
      <c r="N1317" s="30" t="str">
        <f>IF(E1317="Coinciden",D1317,IF(E1317="Revisar",VLOOKUP(A1317,Revisión!$A$2:$L$703,12,FALSE),""))</f>
        <v>Berberis japonica</v>
      </c>
    </row>
    <row r="1318" spans="1:14" x14ac:dyDescent="0.3">
      <c r="A1318" t="s">
        <v>2718</v>
      </c>
      <c r="B1318" t="s">
        <v>2719</v>
      </c>
      <c r="C1318" t="s">
        <v>2719</v>
      </c>
      <c r="D1318" t="s">
        <v>2719</v>
      </c>
      <c r="E1318" t="s">
        <v>18</v>
      </c>
      <c r="F1318" t="s">
        <v>19</v>
      </c>
      <c r="H1318" s="23" t="e">
        <f>VLOOKUP(A1318,Revisión!$A$2:$L$703,6,FALSE)</f>
        <v>#N/A</v>
      </c>
      <c r="I1318" s="4" t="e">
        <f>VLOOKUP(A1318,Revisión!$A$2:$L$703,7,FALSE)</f>
        <v>#N/A</v>
      </c>
      <c r="J1318" s="4" t="e">
        <f>VLOOKUP(A1318,Revisión!$A$2:$L$703,8,FALSE)</f>
        <v>#N/A</v>
      </c>
      <c r="K1318" s="4" t="e">
        <f>VLOOKUP(A1318,Revisión!$A$2:$L$703,9,FALSE)</f>
        <v>#N/A</v>
      </c>
      <c r="L1318" s="4" t="e">
        <f>VLOOKUP(A1318,Revisión!$A$2:$L$703,10,FALSE)</f>
        <v>#N/A</v>
      </c>
      <c r="M1318" s="18" t="e">
        <f>VLOOKUP(A1318,Revisión!$A$2:$L$703,11,FALSE)</f>
        <v>#N/A</v>
      </c>
      <c r="N1318" s="30" t="str">
        <f>IF(E1318="Coinciden",D1318,IF(E1318="Revisar",VLOOKUP(A1318,Revisión!$A$2:$L$703,12,FALSE),""))</f>
        <v>Maianthemum canadense</v>
      </c>
    </row>
    <row r="1319" spans="1:14" x14ac:dyDescent="0.3">
      <c r="A1319" t="s">
        <v>2720</v>
      </c>
      <c r="B1319" t="s">
        <v>2721</v>
      </c>
      <c r="C1319" t="s">
        <v>2721</v>
      </c>
      <c r="D1319" t="s">
        <v>2721</v>
      </c>
      <c r="E1319" t="s">
        <v>18</v>
      </c>
      <c r="F1319" t="s">
        <v>19</v>
      </c>
      <c r="H1319" s="23" t="e">
        <f>VLOOKUP(A1319,Revisión!$A$2:$L$703,6,FALSE)</f>
        <v>#N/A</v>
      </c>
      <c r="I1319" s="4" t="e">
        <f>VLOOKUP(A1319,Revisión!$A$2:$L$703,7,FALSE)</f>
        <v>#N/A</v>
      </c>
      <c r="J1319" s="4" t="e">
        <f>VLOOKUP(A1319,Revisión!$A$2:$L$703,8,FALSE)</f>
        <v>#N/A</v>
      </c>
      <c r="K1319" s="4" t="e">
        <f>VLOOKUP(A1319,Revisión!$A$2:$L$703,9,FALSE)</f>
        <v>#N/A</v>
      </c>
      <c r="L1319" s="4" t="e">
        <f>VLOOKUP(A1319,Revisión!$A$2:$L$703,10,FALSE)</f>
        <v>#N/A</v>
      </c>
      <c r="M1319" s="18" t="e">
        <f>VLOOKUP(A1319,Revisión!$A$2:$L$703,11,FALSE)</f>
        <v>#N/A</v>
      </c>
      <c r="N1319" s="30" t="str">
        <f>IF(E1319="Coinciden",D1319,IF(E1319="Revisar",VLOOKUP(A1319,Revisión!$A$2:$L$703,12,FALSE),""))</f>
        <v>Malcolmia chia</v>
      </c>
    </row>
    <row r="1320" spans="1:14" x14ac:dyDescent="0.3">
      <c r="A1320" t="s">
        <v>2722</v>
      </c>
      <c r="B1320" t="s">
        <v>2723</v>
      </c>
      <c r="C1320" t="s">
        <v>2723</v>
      </c>
      <c r="D1320" t="s">
        <v>2723</v>
      </c>
      <c r="E1320" t="s">
        <v>18</v>
      </c>
      <c r="F1320" t="s">
        <v>19</v>
      </c>
      <c r="H1320" s="23" t="e">
        <f>VLOOKUP(A1320,Revisión!$A$2:$L$703,6,FALSE)</f>
        <v>#N/A</v>
      </c>
      <c r="I1320" s="4" t="e">
        <f>VLOOKUP(A1320,Revisión!$A$2:$L$703,7,FALSE)</f>
        <v>#N/A</v>
      </c>
      <c r="J1320" s="4" t="e">
        <f>VLOOKUP(A1320,Revisión!$A$2:$L$703,8,FALSE)</f>
        <v>#N/A</v>
      </c>
      <c r="K1320" s="4" t="e">
        <f>VLOOKUP(A1320,Revisión!$A$2:$L$703,9,FALSE)</f>
        <v>#N/A</v>
      </c>
      <c r="L1320" s="4" t="e">
        <f>VLOOKUP(A1320,Revisión!$A$2:$L$703,10,FALSE)</f>
        <v>#N/A</v>
      </c>
      <c r="M1320" s="18" t="e">
        <f>VLOOKUP(A1320,Revisión!$A$2:$L$703,11,FALSE)</f>
        <v>#N/A</v>
      </c>
      <c r="N1320" s="30" t="str">
        <f>IF(E1320="Coinciden",D1320,IF(E1320="Revisar",VLOOKUP(A1320,Revisión!$A$2:$L$703,12,FALSE),""))</f>
        <v>Malesherbia linearifolia</v>
      </c>
    </row>
    <row r="1321" spans="1:14" x14ac:dyDescent="0.3">
      <c r="A1321" t="s">
        <v>2724</v>
      </c>
      <c r="B1321" t="s">
        <v>2725</v>
      </c>
      <c r="C1321" t="s">
        <v>2725</v>
      </c>
      <c r="D1321" t="s">
        <v>2725</v>
      </c>
      <c r="E1321" t="s">
        <v>18</v>
      </c>
      <c r="F1321" t="s">
        <v>19</v>
      </c>
      <c r="H1321" s="23" t="e">
        <f>VLOOKUP(A1321,Revisión!$A$2:$L$703,6,FALSE)</f>
        <v>#N/A</v>
      </c>
      <c r="I1321" s="4" t="e">
        <f>VLOOKUP(A1321,Revisión!$A$2:$L$703,7,FALSE)</f>
        <v>#N/A</v>
      </c>
      <c r="J1321" s="4" t="e">
        <f>VLOOKUP(A1321,Revisión!$A$2:$L$703,8,FALSE)</f>
        <v>#N/A</v>
      </c>
      <c r="K1321" s="4" t="e">
        <f>VLOOKUP(A1321,Revisión!$A$2:$L$703,9,FALSE)</f>
        <v>#N/A</v>
      </c>
      <c r="L1321" s="4" t="e">
        <f>VLOOKUP(A1321,Revisión!$A$2:$L$703,10,FALSE)</f>
        <v>#N/A</v>
      </c>
      <c r="M1321" s="18" t="e">
        <f>VLOOKUP(A1321,Revisión!$A$2:$L$703,11,FALSE)</f>
        <v>#N/A</v>
      </c>
      <c r="N1321" s="30" t="str">
        <f>IF(E1321="Coinciden",D1321,IF(E1321="Revisar",VLOOKUP(A1321,Revisión!$A$2:$L$703,12,FALSE),""))</f>
        <v>Mallotus japonicus</v>
      </c>
    </row>
    <row r="1322" spans="1:14" x14ac:dyDescent="0.3">
      <c r="A1322" t="s">
        <v>2726</v>
      </c>
      <c r="B1322" t="s">
        <v>2727</v>
      </c>
      <c r="C1322" t="s">
        <v>2727</v>
      </c>
      <c r="D1322" t="s">
        <v>2727</v>
      </c>
      <c r="E1322" t="s">
        <v>18</v>
      </c>
      <c r="F1322" t="s">
        <v>19</v>
      </c>
      <c r="H1322" s="23" t="e">
        <f>VLOOKUP(A1322,Revisión!$A$2:$L$703,6,FALSE)</f>
        <v>#N/A</v>
      </c>
      <c r="I1322" s="4" t="e">
        <f>VLOOKUP(A1322,Revisión!$A$2:$L$703,7,FALSE)</f>
        <v>#N/A</v>
      </c>
      <c r="J1322" s="4" t="e">
        <f>VLOOKUP(A1322,Revisión!$A$2:$L$703,8,FALSE)</f>
        <v>#N/A</v>
      </c>
      <c r="K1322" s="4" t="e">
        <f>VLOOKUP(A1322,Revisión!$A$2:$L$703,9,FALSE)</f>
        <v>#N/A</v>
      </c>
      <c r="L1322" s="4" t="e">
        <f>VLOOKUP(A1322,Revisión!$A$2:$L$703,10,FALSE)</f>
        <v>#N/A</v>
      </c>
      <c r="M1322" s="18" t="e">
        <f>VLOOKUP(A1322,Revisión!$A$2:$L$703,11,FALSE)</f>
        <v>#N/A</v>
      </c>
      <c r="N1322" s="30" t="str">
        <f>IF(E1322="Coinciden",D1322,IF(E1322="Revisar",VLOOKUP(A1322,Revisión!$A$2:$L$703,12,FALSE),""))</f>
        <v>Malpighia glabra</v>
      </c>
    </row>
    <row r="1323" spans="1:14" x14ac:dyDescent="0.3">
      <c r="A1323" t="s">
        <v>2728</v>
      </c>
      <c r="B1323" t="s">
        <v>2729</v>
      </c>
      <c r="C1323" t="s">
        <v>2729</v>
      </c>
      <c r="D1323" t="s">
        <v>2729</v>
      </c>
      <c r="E1323" t="s">
        <v>18</v>
      </c>
      <c r="F1323" t="s">
        <v>19</v>
      </c>
      <c r="H1323" s="23" t="e">
        <f>VLOOKUP(A1323,Revisión!$A$2:$L$703,6,FALSE)</f>
        <v>#N/A</v>
      </c>
      <c r="I1323" s="4" t="e">
        <f>VLOOKUP(A1323,Revisión!$A$2:$L$703,7,FALSE)</f>
        <v>#N/A</v>
      </c>
      <c r="J1323" s="4" t="e">
        <f>VLOOKUP(A1323,Revisión!$A$2:$L$703,8,FALSE)</f>
        <v>#N/A</v>
      </c>
      <c r="K1323" s="4" t="e">
        <f>VLOOKUP(A1323,Revisión!$A$2:$L$703,9,FALSE)</f>
        <v>#N/A</v>
      </c>
      <c r="L1323" s="4" t="e">
        <f>VLOOKUP(A1323,Revisión!$A$2:$L$703,10,FALSE)</f>
        <v>#N/A</v>
      </c>
      <c r="M1323" s="18" t="e">
        <f>VLOOKUP(A1323,Revisión!$A$2:$L$703,11,FALSE)</f>
        <v>#N/A</v>
      </c>
      <c r="N1323" s="30" t="str">
        <f>IF(E1323="Coinciden",D1323,IF(E1323="Revisar",VLOOKUP(A1323,Revisión!$A$2:$L$703,12,FALSE),""))</f>
        <v>Malus toringo</v>
      </c>
    </row>
    <row r="1324" spans="1:14" x14ac:dyDescent="0.3">
      <c r="A1324" t="s">
        <v>2730</v>
      </c>
      <c r="B1324" t="s">
        <v>2731</v>
      </c>
      <c r="C1324" t="s">
        <v>2731</v>
      </c>
      <c r="D1324" t="s">
        <v>2731</v>
      </c>
      <c r="E1324" t="s">
        <v>18</v>
      </c>
      <c r="F1324" t="s">
        <v>19</v>
      </c>
      <c r="H1324" s="23" t="e">
        <f>VLOOKUP(A1324,Revisión!$A$2:$L$703,6,FALSE)</f>
        <v>#N/A</v>
      </c>
      <c r="I1324" s="4" t="e">
        <f>VLOOKUP(A1324,Revisión!$A$2:$L$703,7,FALSE)</f>
        <v>#N/A</v>
      </c>
      <c r="J1324" s="4" t="e">
        <f>VLOOKUP(A1324,Revisión!$A$2:$L$703,8,FALSE)</f>
        <v>#N/A</v>
      </c>
      <c r="K1324" s="4" t="e">
        <f>VLOOKUP(A1324,Revisión!$A$2:$L$703,9,FALSE)</f>
        <v>#N/A</v>
      </c>
      <c r="L1324" s="4" t="e">
        <f>VLOOKUP(A1324,Revisión!$A$2:$L$703,10,FALSE)</f>
        <v>#N/A</v>
      </c>
      <c r="M1324" s="18" t="e">
        <f>VLOOKUP(A1324,Revisión!$A$2:$L$703,11,FALSE)</f>
        <v>#N/A</v>
      </c>
      <c r="N1324" s="30" t="str">
        <f>IF(E1324="Coinciden",D1324,IF(E1324="Revisar",VLOOKUP(A1324,Revisión!$A$2:$L$703,12,FALSE),""))</f>
        <v>Malus halliana</v>
      </c>
    </row>
    <row r="1325" spans="1:14" x14ac:dyDescent="0.3">
      <c r="A1325" t="s">
        <v>2732</v>
      </c>
      <c r="D1325" t="s">
        <v>2733</v>
      </c>
      <c r="E1325" t="s">
        <v>8</v>
      </c>
      <c r="F1325" t="s">
        <v>9</v>
      </c>
      <c r="H1325" s="23" t="str">
        <f>VLOOKUP(A1325,Revisión!$A$2:$L$703,6,FALSE)</f>
        <v>Malva pusilla</v>
      </c>
      <c r="I1325" s="4" t="str">
        <f>VLOOKUP(A1325,Revisión!$A$2:$L$703,7,FALSE)</f>
        <v>-</v>
      </c>
      <c r="J1325" s="4" t="str">
        <f>VLOOKUP(A1325,Revisión!$A$2:$L$703,8,FALSE)</f>
        <v>Malva pusilla</v>
      </c>
      <c r="K1325" s="4" t="str">
        <f>VLOOKUP(A1325,Revisión!$A$2:$L$703,9,FALSE)</f>
        <v>Malva pusilla</v>
      </c>
      <c r="L1325" s="4" t="str">
        <f>VLOOKUP(A1325,Revisión!$A$2:$L$703,10,FALSE)</f>
        <v>Malva pusilla</v>
      </c>
      <c r="M1325" s="18">
        <f>VLOOKUP(A1325,Revisión!$A$2:$L$703,11,FALSE)</f>
        <v>4</v>
      </c>
      <c r="N1325" s="30" t="str">
        <f>IF(E1325="Coinciden",D1325,IF(E1325="Revisar",VLOOKUP(A1325,Revisión!$A$2:$L$703,12,FALSE),""))</f>
        <v>Malva pusilla</v>
      </c>
    </row>
    <row r="1326" spans="1:14" x14ac:dyDescent="0.3">
      <c r="A1326" t="s">
        <v>2734</v>
      </c>
      <c r="B1326" t="s">
        <v>2735</v>
      </c>
      <c r="C1326" t="s">
        <v>2735</v>
      </c>
      <c r="D1326" t="s">
        <v>2735</v>
      </c>
      <c r="E1326" t="s">
        <v>18</v>
      </c>
      <c r="F1326" t="s">
        <v>19</v>
      </c>
      <c r="H1326" s="23" t="e">
        <f>VLOOKUP(A1326,Revisión!$A$2:$L$703,6,FALSE)</f>
        <v>#N/A</v>
      </c>
      <c r="I1326" s="4" t="e">
        <f>VLOOKUP(A1326,Revisión!$A$2:$L$703,7,FALSE)</f>
        <v>#N/A</v>
      </c>
      <c r="J1326" s="4" t="e">
        <f>VLOOKUP(A1326,Revisión!$A$2:$L$703,8,FALSE)</f>
        <v>#N/A</v>
      </c>
      <c r="K1326" s="4" t="e">
        <f>VLOOKUP(A1326,Revisión!$A$2:$L$703,9,FALSE)</f>
        <v>#N/A</v>
      </c>
      <c r="L1326" s="4" t="e">
        <f>VLOOKUP(A1326,Revisión!$A$2:$L$703,10,FALSE)</f>
        <v>#N/A</v>
      </c>
      <c r="M1326" s="18" t="e">
        <f>VLOOKUP(A1326,Revisión!$A$2:$L$703,11,FALSE)</f>
        <v>#N/A</v>
      </c>
      <c r="N1326" s="30" t="str">
        <f>IF(E1326="Coinciden",D1326,IF(E1326="Revisar",VLOOKUP(A1326,Revisión!$A$2:$L$703,12,FALSE),""))</f>
        <v>Malva sylvestris</v>
      </c>
    </row>
    <row r="1327" spans="1:14" x14ac:dyDescent="0.3">
      <c r="A1327" t="s">
        <v>2736</v>
      </c>
      <c r="B1327" t="s">
        <v>2737</v>
      </c>
      <c r="C1327" t="s">
        <v>2737</v>
      </c>
      <c r="D1327" t="s">
        <v>2737</v>
      </c>
      <c r="E1327" t="s">
        <v>18</v>
      </c>
      <c r="F1327" t="s">
        <v>19</v>
      </c>
      <c r="H1327" s="23" t="e">
        <f>VLOOKUP(A1327,Revisión!$A$2:$L$703,6,FALSE)</f>
        <v>#N/A</v>
      </c>
      <c r="I1327" s="4" t="e">
        <f>VLOOKUP(A1327,Revisión!$A$2:$L$703,7,FALSE)</f>
        <v>#N/A</v>
      </c>
      <c r="J1327" s="4" t="e">
        <f>VLOOKUP(A1327,Revisión!$A$2:$L$703,8,FALSE)</f>
        <v>#N/A</v>
      </c>
      <c r="K1327" s="4" t="e">
        <f>VLOOKUP(A1327,Revisión!$A$2:$L$703,9,FALSE)</f>
        <v>#N/A</v>
      </c>
      <c r="L1327" s="4" t="e">
        <f>VLOOKUP(A1327,Revisión!$A$2:$L$703,10,FALSE)</f>
        <v>#N/A</v>
      </c>
      <c r="M1327" s="18" t="e">
        <f>VLOOKUP(A1327,Revisión!$A$2:$L$703,11,FALSE)</f>
        <v>#N/A</v>
      </c>
      <c r="N1327" s="30" t="str">
        <f>IF(E1327="Coinciden",D1327,IF(E1327="Revisar",VLOOKUP(A1327,Revisión!$A$2:$L$703,12,FALSE),""))</f>
        <v>Sphaeralcea coccinea</v>
      </c>
    </row>
    <row r="1328" spans="1:14" x14ac:dyDescent="0.3">
      <c r="A1328" t="s">
        <v>2738</v>
      </c>
      <c r="B1328" t="s">
        <v>2739</v>
      </c>
      <c r="C1328" t="s">
        <v>2739</v>
      </c>
      <c r="D1328" t="s">
        <v>2739</v>
      </c>
      <c r="E1328" t="s">
        <v>18</v>
      </c>
      <c r="F1328" t="s">
        <v>19</v>
      </c>
      <c r="H1328" s="23" t="e">
        <f>VLOOKUP(A1328,Revisión!$A$2:$L$703,6,FALSE)</f>
        <v>#N/A</v>
      </c>
      <c r="I1328" s="4" t="e">
        <f>VLOOKUP(A1328,Revisión!$A$2:$L$703,7,FALSE)</f>
        <v>#N/A</v>
      </c>
      <c r="J1328" s="4" t="e">
        <f>VLOOKUP(A1328,Revisión!$A$2:$L$703,8,FALSE)</f>
        <v>#N/A</v>
      </c>
      <c r="K1328" s="4" t="e">
        <f>VLOOKUP(A1328,Revisión!$A$2:$L$703,9,FALSE)</f>
        <v>#N/A</v>
      </c>
      <c r="L1328" s="4" t="e">
        <f>VLOOKUP(A1328,Revisión!$A$2:$L$703,10,FALSE)</f>
        <v>#N/A</v>
      </c>
      <c r="M1328" s="18" t="e">
        <f>VLOOKUP(A1328,Revisión!$A$2:$L$703,11,FALSE)</f>
        <v>#N/A</v>
      </c>
      <c r="N1328" s="30" t="str">
        <f>IF(E1328="Coinciden",D1328,IF(E1328="Revisar",VLOOKUP(A1328,Revisión!$A$2:$L$703,12,FALSE),""))</f>
        <v>Malvastrum coromandelianum</v>
      </c>
    </row>
    <row r="1329" spans="1:14" x14ac:dyDescent="0.3">
      <c r="A1329" t="s">
        <v>2740</v>
      </c>
      <c r="B1329" t="s">
        <v>2741</v>
      </c>
      <c r="C1329" t="s">
        <v>2741</v>
      </c>
      <c r="D1329" t="s">
        <v>2741</v>
      </c>
      <c r="E1329" t="s">
        <v>18</v>
      </c>
      <c r="F1329" t="s">
        <v>19</v>
      </c>
      <c r="H1329" s="23" t="e">
        <f>VLOOKUP(A1329,Revisión!$A$2:$L$703,6,FALSE)</f>
        <v>#N/A</v>
      </c>
      <c r="I1329" s="4" t="e">
        <f>VLOOKUP(A1329,Revisión!$A$2:$L$703,7,FALSE)</f>
        <v>#N/A</v>
      </c>
      <c r="J1329" s="4" t="e">
        <f>VLOOKUP(A1329,Revisión!$A$2:$L$703,8,FALSE)</f>
        <v>#N/A</v>
      </c>
      <c r="K1329" s="4" t="e">
        <f>VLOOKUP(A1329,Revisión!$A$2:$L$703,9,FALSE)</f>
        <v>#N/A</v>
      </c>
      <c r="L1329" s="4" t="e">
        <f>VLOOKUP(A1329,Revisión!$A$2:$L$703,10,FALSE)</f>
        <v>#N/A</v>
      </c>
      <c r="M1329" s="18" t="e">
        <f>VLOOKUP(A1329,Revisión!$A$2:$L$703,11,FALSE)</f>
        <v>#N/A</v>
      </c>
      <c r="N1329" s="30" t="str">
        <f>IF(E1329="Coinciden",D1329,IF(E1329="Revisar",VLOOKUP(A1329,Revisión!$A$2:$L$703,12,FALSE),""))</f>
        <v>Mandevilla benthamii</v>
      </c>
    </row>
    <row r="1330" spans="1:14" x14ac:dyDescent="0.3">
      <c r="A1330" t="s">
        <v>2742</v>
      </c>
      <c r="B1330" t="s">
        <v>2743</v>
      </c>
      <c r="C1330" t="s">
        <v>2743</v>
      </c>
      <c r="D1330" t="s">
        <v>2743</v>
      </c>
      <c r="E1330" t="s">
        <v>18</v>
      </c>
      <c r="F1330" t="s">
        <v>19</v>
      </c>
      <c r="H1330" s="23" t="e">
        <f>VLOOKUP(A1330,Revisión!$A$2:$L$703,6,FALSE)</f>
        <v>#N/A</v>
      </c>
      <c r="I1330" s="4" t="e">
        <f>VLOOKUP(A1330,Revisión!$A$2:$L$703,7,FALSE)</f>
        <v>#N/A</v>
      </c>
      <c r="J1330" s="4" t="e">
        <f>VLOOKUP(A1330,Revisión!$A$2:$L$703,8,FALSE)</f>
        <v>#N/A</v>
      </c>
      <c r="K1330" s="4" t="e">
        <f>VLOOKUP(A1330,Revisión!$A$2:$L$703,9,FALSE)</f>
        <v>#N/A</v>
      </c>
      <c r="L1330" s="4" t="e">
        <f>VLOOKUP(A1330,Revisión!$A$2:$L$703,10,FALSE)</f>
        <v>#N/A</v>
      </c>
      <c r="M1330" s="18" t="e">
        <f>VLOOKUP(A1330,Revisión!$A$2:$L$703,11,FALSE)</f>
        <v>#N/A</v>
      </c>
      <c r="N1330" s="30" t="str">
        <f>IF(E1330="Coinciden",D1330,IF(E1330="Revisar",VLOOKUP(A1330,Revisión!$A$2:$L$703,12,FALSE),""))</f>
        <v>Marcetia taxifolia</v>
      </c>
    </row>
    <row r="1331" spans="1:14" x14ac:dyDescent="0.3">
      <c r="A1331" t="s">
        <v>2744</v>
      </c>
      <c r="B1331" t="s">
        <v>2745</v>
      </c>
      <c r="C1331" t="s">
        <v>2745</v>
      </c>
      <c r="D1331" t="s">
        <v>2745</v>
      </c>
      <c r="E1331" t="s">
        <v>18</v>
      </c>
      <c r="F1331" t="s">
        <v>19</v>
      </c>
      <c r="H1331" s="23" t="e">
        <f>VLOOKUP(A1331,Revisión!$A$2:$L$703,6,FALSE)</f>
        <v>#N/A</v>
      </c>
      <c r="I1331" s="4" t="e">
        <f>VLOOKUP(A1331,Revisión!$A$2:$L$703,7,FALSE)</f>
        <v>#N/A</v>
      </c>
      <c r="J1331" s="4" t="e">
        <f>VLOOKUP(A1331,Revisión!$A$2:$L$703,8,FALSE)</f>
        <v>#N/A</v>
      </c>
      <c r="K1331" s="4" t="e">
        <f>VLOOKUP(A1331,Revisión!$A$2:$L$703,9,FALSE)</f>
        <v>#N/A</v>
      </c>
      <c r="L1331" s="4" t="e">
        <f>VLOOKUP(A1331,Revisión!$A$2:$L$703,10,FALSE)</f>
        <v>#N/A</v>
      </c>
      <c r="M1331" s="18" t="e">
        <f>VLOOKUP(A1331,Revisión!$A$2:$L$703,11,FALSE)</f>
        <v>#N/A</v>
      </c>
      <c r="N1331" s="30" t="str">
        <f>IF(E1331="Coinciden",D1331,IF(E1331="Revisar",VLOOKUP(A1331,Revisión!$A$2:$L$703,12,FALSE),""))</f>
        <v>Marrubium vulgare</v>
      </c>
    </row>
    <row r="1332" spans="1:14" x14ac:dyDescent="0.3">
      <c r="A1332" t="s">
        <v>2746</v>
      </c>
      <c r="B1332" t="s">
        <v>2747</v>
      </c>
      <c r="C1332" t="s">
        <v>2747</v>
      </c>
      <c r="D1332" t="s">
        <v>2747</v>
      </c>
      <c r="E1332" t="s">
        <v>18</v>
      </c>
      <c r="F1332" t="s">
        <v>19</v>
      </c>
      <c r="H1332" s="23" t="e">
        <f>VLOOKUP(A1332,Revisión!$A$2:$L$703,6,FALSE)</f>
        <v>#N/A</v>
      </c>
      <c r="I1332" s="4" t="e">
        <f>VLOOKUP(A1332,Revisión!$A$2:$L$703,7,FALSE)</f>
        <v>#N/A</v>
      </c>
      <c r="J1332" s="4" t="e">
        <f>VLOOKUP(A1332,Revisión!$A$2:$L$703,8,FALSE)</f>
        <v>#N/A</v>
      </c>
      <c r="K1332" s="4" t="e">
        <f>VLOOKUP(A1332,Revisión!$A$2:$L$703,9,FALSE)</f>
        <v>#N/A</v>
      </c>
      <c r="L1332" s="4" t="e">
        <f>VLOOKUP(A1332,Revisión!$A$2:$L$703,10,FALSE)</f>
        <v>#N/A</v>
      </c>
      <c r="M1332" s="18" t="e">
        <f>VLOOKUP(A1332,Revisión!$A$2:$L$703,11,FALSE)</f>
        <v>#N/A</v>
      </c>
      <c r="N1332" s="30" t="str">
        <f>IF(E1332="Coinciden",D1332,IF(E1332="Revisar",VLOOKUP(A1332,Revisión!$A$2:$L$703,12,FALSE),""))</f>
        <v>Proboscidea louisianica subsp. louisianica</v>
      </c>
    </row>
    <row r="1333" spans="1:14" x14ac:dyDescent="0.3">
      <c r="A1333" t="s">
        <v>2748</v>
      </c>
      <c r="B1333" t="s">
        <v>2749</v>
      </c>
      <c r="C1333" t="s">
        <v>2749</v>
      </c>
      <c r="D1333" t="s">
        <v>2749</v>
      </c>
      <c r="E1333" t="s">
        <v>18</v>
      </c>
      <c r="F1333" t="s">
        <v>19</v>
      </c>
      <c r="H1333" s="23" t="e">
        <f>VLOOKUP(A1333,Revisión!$A$2:$L$703,6,FALSE)</f>
        <v>#N/A</v>
      </c>
      <c r="I1333" s="4" t="e">
        <f>VLOOKUP(A1333,Revisión!$A$2:$L$703,7,FALSE)</f>
        <v>#N/A</v>
      </c>
      <c r="J1333" s="4" t="e">
        <f>VLOOKUP(A1333,Revisión!$A$2:$L$703,8,FALSE)</f>
        <v>#N/A</v>
      </c>
      <c r="K1333" s="4" t="e">
        <f>VLOOKUP(A1333,Revisión!$A$2:$L$703,9,FALSE)</f>
        <v>#N/A</v>
      </c>
      <c r="L1333" s="4" t="e">
        <f>VLOOKUP(A1333,Revisión!$A$2:$L$703,10,FALSE)</f>
        <v>#N/A</v>
      </c>
      <c r="M1333" s="18" t="e">
        <f>VLOOKUP(A1333,Revisión!$A$2:$L$703,11,FALSE)</f>
        <v>#N/A</v>
      </c>
      <c r="N1333" s="30" t="str">
        <f>IF(E1333="Coinciden",D1333,IF(E1333="Revisar",VLOOKUP(A1333,Revisión!$A$2:$L$703,12,FALSE),""))</f>
        <v>Medeola virginiana</v>
      </c>
    </row>
    <row r="1334" spans="1:14" x14ac:dyDescent="0.3">
      <c r="A1334" t="s">
        <v>2750</v>
      </c>
      <c r="B1334" t="s">
        <v>2751</v>
      </c>
      <c r="C1334" t="s">
        <v>2751</v>
      </c>
      <c r="D1334" t="s">
        <v>2751</v>
      </c>
      <c r="E1334" t="s">
        <v>18</v>
      </c>
      <c r="F1334" t="s">
        <v>19</v>
      </c>
      <c r="H1334" s="23" t="e">
        <f>VLOOKUP(A1334,Revisión!$A$2:$L$703,6,FALSE)</f>
        <v>#N/A</v>
      </c>
      <c r="I1334" s="4" t="e">
        <f>VLOOKUP(A1334,Revisión!$A$2:$L$703,7,FALSE)</f>
        <v>#N/A</v>
      </c>
      <c r="J1334" s="4" t="e">
        <f>VLOOKUP(A1334,Revisión!$A$2:$L$703,8,FALSE)</f>
        <v>#N/A</v>
      </c>
      <c r="K1334" s="4" t="e">
        <f>VLOOKUP(A1334,Revisión!$A$2:$L$703,9,FALSE)</f>
        <v>#N/A</v>
      </c>
      <c r="L1334" s="4" t="e">
        <f>VLOOKUP(A1334,Revisión!$A$2:$L$703,10,FALSE)</f>
        <v>#N/A</v>
      </c>
      <c r="M1334" s="18" t="e">
        <f>VLOOKUP(A1334,Revisión!$A$2:$L$703,11,FALSE)</f>
        <v>#N/A</v>
      </c>
      <c r="N1334" s="30" t="str">
        <f>IF(E1334="Coinciden",D1334,IF(E1334="Revisar",VLOOKUP(A1334,Revisión!$A$2:$L$703,12,FALSE),""))</f>
        <v>Medicago lupulina</v>
      </c>
    </row>
    <row r="1335" spans="1:14" x14ac:dyDescent="0.3">
      <c r="A1335" t="s">
        <v>2752</v>
      </c>
      <c r="B1335" t="s">
        <v>2753</v>
      </c>
      <c r="C1335" t="s">
        <v>2753</v>
      </c>
      <c r="D1335" t="s">
        <v>2753</v>
      </c>
      <c r="E1335" t="s">
        <v>18</v>
      </c>
      <c r="F1335" t="s">
        <v>19</v>
      </c>
      <c r="H1335" s="23" t="e">
        <f>VLOOKUP(A1335,Revisión!$A$2:$L$703,6,FALSE)</f>
        <v>#N/A</v>
      </c>
      <c r="I1335" s="4" t="e">
        <f>VLOOKUP(A1335,Revisión!$A$2:$L$703,7,FALSE)</f>
        <v>#N/A</v>
      </c>
      <c r="J1335" s="4" t="e">
        <f>VLOOKUP(A1335,Revisión!$A$2:$L$703,8,FALSE)</f>
        <v>#N/A</v>
      </c>
      <c r="K1335" s="4" t="e">
        <f>VLOOKUP(A1335,Revisión!$A$2:$L$703,9,FALSE)</f>
        <v>#N/A</v>
      </c>
      <c r="L1335" s="4" t="e">
        <f>VLOOKUP(A1335,Revisión!$A$2:$L$703,10,FALSE)</f>
        <v>#N/A</v>
      </c>
      <c r="M1335" s="18" t="e">
        <f>VLOOKUP(A1335,Revisión!$A$2:$L$703,11,FALSE)</f>
        <v>#N/A</v>
      </c>
      <c r="N1335" s="30" t="str">
        <f>IF(E1335="Coinciden",D1335,IF(E1335="Revisar",VLOOKUP(A1335,Revisión!$A$2:$L$703,12,FALSE),""))</f>
        <v>Medusagyne oppositifolia</v>
      </c>
    </row>
    <row r="1336" spans="1:14" x14ac:dyDescent="0.3">
      <c r="A1336" t="s">
        <v>2754</v>
      </c>
      <c r="B1336" t="s">
        <v>2755</v>
      </c>
      <c r="C1336" t="s">
        <v>2755</v>
      </c>
      <c r="D1336" t="s">
        <v>2755</v>
      </c>
      <c r="E1336" t="s">
        <v>18</v>
      </c>
      <c r="F1336" t="s">
        <v>19</v>
      </c>
      <c r="H1336" s="23" t="e">
        <f>VLOOKUP(A1336,Revisión!$A$2:$L$703,6,FALSE)</f>
        <v>#N/A</v>
      </c>
      <c r="I1336" s="4" t="e">
        <f>VLOOKUP(A1336,Revisión!$A$2:$L$703,7,FALSE)</f>
        <v>#N/A</v>
      </c>
      <c r="J1336" s="4" t="e">
        <f>VLOOKUP(A1336,Revisión!$A$2:$L$703,8,FALSE)</f>
        <v>#N/A</v>
      </c>
      <c r="K1336" s="4" t="e">
        <f>VLOOKUP(A1336,Revisión!$A$2:$L$703,9,FALSE)</f>
        <v>#N/A</v>
      </c>
      <c r="L1336" s="4" t="e">
        <f>VLOOKUP(A1336,Revisión!$A$2:$L$703,10,FALSE)</f>
        <v>#N/A</v>
      </c>
      <c r="M1336" s="18" t="e">
        <f>VLOOKUP(A1336,Revisión!$A$2:$L$703,11,FALSE)</f>
        <v>#N/A</v>
      </c>
      <c r="N1336" s="30" t="str">
        <f>IF(E1336="Coinciden",D1336,IF(E1336="Revisar",VLOOKUP(A1336,Revisión!$A$2:$L$703,12,FALSE),""))</f>
        <v>Meehania urticifolia</v>
      </c>
    </row>
    <row r="1337" spans="1:14" x14ac:dyDescent="0.3">
      <c r="A1337" t="s">
        <v>2756</v>
      </c>
      <c r="B1337" t="s">
        <v>2757</v>
      </c>
      <c r="C1337" t="s">
        <v>2757</v>
      </c>
      <c r="D1337" t="s">
        <v>2758</v>
      </c>
      <c r="E1337" t="s">
        <v>8</v>
      </c>
      <c r="F1337" t="s">
        <v>15</v>
      </c>
      <c r="H1337" s="23" t="str">
        <f>VLOOKUP(A1337,Revisión!$A$2:$L$703,6,FALSE)</f>
        <v>Silene sorensenis</v>
      </c>
      <c r="I1337" s="4" t="str">
        <f>VLOOKUP(A1337,Revisión!$A$2:$L$703,7,FALSE)</f>
        <v>-</v>
      </c>
      <c r="J1337" s="4" t="str">
        <f>VLOOKUP(A1337,Revisión!$A$2:$L$703,8,FALSE)</f>
        <v>Silene sorensenis</v>
      </c>
      <c r="K1337" s="4" t="str">
        <f>VLOOKUP(A1337,Revisión!$A$2:$L$703,9,FALSE)</f>
        <v>Silene sorensenis</v>
      </c>
      <c r="L1337" s="4" t="str">
        <f>VLOOKUP(A1337,Revisión!$A$2:$L$703,10,FALSE)</f>
        <v>Silene sorensenis</v>
      </c>
      <c r="M1337" s="18">
        <f>VLOOKUP(A1337,Revisión!$A$2:$L$703,11,FALSE)</f>
        <v>4</v>
      </c>
      <c r="N1337" s="30" t="str">
        <f>IF(E1337="Coinciden",D1337,IF(E1337="Revisar",VLOOKUP(A1337,Revisión!$A$2:$L$703,12,FALSE),""))</f>
        <v>Silene sorensenis</v>
      </c>
    </row>
    <row r="1338" spans="1:14" x14ac:dyDescent="0.3">
      <c r="A1338" t="s">
        <v>2759</v>
      </c>
      <c r="B1338" t="s">
        <v>2760</v>
      </c>
      <c r="C1338" t="s">
        <v>2760</v>
      </c>
      <c r="D1338" t="s">
        <v>2760</v>
      </c>
      <c r="E1338" t="s">
        <v>18</v>
      </c>
      <c r="F1338" t="s">
        <v>19</v>
      </c>
      <c r="H1338" s="23" t="e">
        <f>VLOOKUP(A1338,Revisión!$A$2:$L$703,6,FALSE)</f>
        <v>#N/A</v>
      </c>
      <c r="I1338" s="4" t="e">
        <f>VLOOKUP(A1338,Revisión!$A$2:$L$703,7,FALSE)</f>
        <v>#N/A</v>
      </c>
      <c r="J1338" s="4" t="e">
        <f>VLOOKUP(A1338,Revisión!$A$2:$L$703,8,FALSE)</f>
        <v>#N/A</v>
      </c>
      <c r="K1338" s="4" t="e">
        <f>VLOOKUP(A1338,Revisión!$A$2:$L$703,9,FALSE)</f>
        <v>#N/A</v>
      </c>
      <c r="L1338" s="4" t="e">
        <f>VLOOKUP(A1338,Revisión!$A$2:$L$703,10,FALSE)</f>
        <v>#N/A</v>
      </c>
      <c r="M1338" s="18" t="e">
        <f>VLOOKUP(A1338,Revisión!$A$2:$L$703,11,FALSE)</f>
        <v>#N/A</v>
      </c>
      <c r="N1338" s="30" t="str">
        <f>IF(E1338="Coinciden",D1338,IF(E1338="Revisar",VLOOKUP(A1338,Revisión!$A$2:$L$703,12,FALSE),""))</f>
        <v>Melanthium virginicum</v>
      </c>
    </row>
    <row r="1339" spans="1:14" x14ac:dyDescent="0.3">
      <c r="A1339" t="s">
        <v>2761</v>
      </c>
      <c r="B1339" t="s">
        <v>2762</v>
      </c>
      <c r="C1339" t="s">
        <v>2762</v>
      </c>
      <c r="D1339" t="s">
        <v>2762</v>
      </c>
      <c r="E1339" t="s">
        <v>18</v>
      </c>
      <c r="F1339" t="s">
        <v>19</v>
      </c>
      <c r="H1339" s="23" t="e">
        <f>VLOOKUP(A1339,Revisión!$A$2:$L$703,6,FALSE)</f>
        <v>#N/A</v>
      </c>
      <c r="I1339" s="4" t="e">
        <f>VLOOKUP(A1339,Revisión!$A$2:$L$703,7,FALSE)</f>
        <v>#N/A</v>
      </c>
      <c r="J1339" s="4" t="e">
        <f>VLOOKUP(A1339,Revisión!$A$2:$L$703,8,FALSE)</f>
        <v>#N/A</v>
      </c>
      <c r="K1339" s="4" t="e">
        <f>VLOOKUP(A1339,Revisión!$A$2:$L$703,9,FALSE)</f>
        <v>#N/A</v>
      </c>
      <c r="L1339" s="4" t="e">
        <f>VLOOKUP(A1339,Revisión!$A$2:$L$703,10,FALSE)</f>
        <v>#N/A</v>
      </c>
      <c r="M1339" s="18" t="e">
        <f>VLOOKUP(A1339,Revisión!$A$2:$L$703,11,FALSE)</f>
        <v>#N/A</v>
      </c>
      <c r="N1339" s="30" t="str">
        <f>IF(E1339="Coinciden",D1339,IF(E1339="Revisar",VLOOKUP(A1339,Revisión!$A$2:$L$703,12,FALSE),""))</f>
        <v>Melastoma malabathricum subsp. malabathricum</v>
      </c>
    </row>
    <row r="1340" spans="1:14" x14ac:dyDescent="0.3">
      <c r="A1340" t="s">
        <v>2763</v>
      </c>
      <c r="B1340" t="s">
        <v>2764</v>
      </c>
      <c r="C1340" t="s">
        <v>2764</v>
      </c>
      <c r="D1340" t="s">
        <v>2764</v>
      </c>
      <c r="E1340" t="s">
        <v>18</v>
      </c>
      <c r="F1340" t="s">
        <v>19</v>
      </c>
      <c r="H1340" s="23" t="e">
        <f>VLOOKUP(A1340,Revisión!$A$2:$L$703,6,FALSE)</f>
        <v>#N/A</v>
      </c>
      <c r="I1340" s="4" t="e">
        <f>VLOOKUP(A1340,Revisión!$A$2:$L$703,7,FALSE)</f>
        <v>#N/A</v>
      </c>
      <c r="J1340" s="4" t="e">
        <f>VLOOKUP(A1340,Revisión!$A$2:$L$703,8,FALSE)</f>
        <v>#N/A</v>
      </c>
      <c r="K1340" s="4" t="e">
        <f>VLOOKUP(A1340,Revisión!$A$2:$L$703,9,FALSE)</f>
        <v>#N/A</v>
      </c>
      <c r="L1340" s="4" t="e">
        <f>VLOOKUP(A1340,Revisión!$A$2:$L$703,10,FALSE)</f>
        <v>#N/A</v>
      </c>
      <c r="M1340" s="18" t="e">
        <f>VLOOKUP(A1340,Revisión!$A$2:$L$703,11,FALSE)</f>
        <v>#N/A</v>
      </c>
      <c r="N1340" s="30" t="str">
        <f>IF(E1340="Coinciden",D1340,IF(E1340="Revisar",VLOOKUP(A1340,Revisión!$A$2:$L$703,12,FALSE),""))</f>
        <v>Melilotus officinalis</v>
      </c>
    </row>
    <row r="1341" spans="1:14" x14ac:dyDescent="0.3">
      <c r="A1341" t="s">
        <v>2765</v>
      </c>
      <c r="B1341" t="s">
        <v>2766</v>
      </c>
      <c r="C1341" t="s">
        <v>2766</v>
      </c>
      <c r="D1341" t="s">
        <v>2766</v>
      </c>
      <c r="E1341" t="s">
        <v>18</v>
      </c>
      <c r="F1341" t="s">
        <v>19</v>
      </c>
      <c r="H1341" s="23" t="e">
        <f>VLOOKUP(A1341,Revisión!$A$2:$L$703,6,FALSE)</f>
        <v>#N/A</v>
      </c>
      <c r="I1341" s="4" t="e">
        <f>VLOOKUP(A1341,Revisión!$A$2:$L$703,7,FALSE)</f>
        <v>#N/A</v>
      </c>
      <c r="J1341" s="4" t="e">
        <f>VLOOKUP(A1341,Revisión!$A$2:$L$703,8,FALSE)</f>
        <v>#N/A</v>
      </c>
      <c r="K1341" s="4" t="e">
        <f>VLOOKUP(A1341,Revisión!$A$2:$L$703,9,FALSE)</f>
        <v>#N/A</v>
      </c>
      <c r="L1341" s="4" t="e">
        <f>VLOOKUP(A1341,Revisión!$A$2:$L$703,10,FALSE)</f>
        <v>#N/A</v>
      </c>
      <c r="M1341" s="18" t="e">
        <f>VLOOKUP(A1341,Revisión!$A$2:$L$703,11,FALSE)</f>
        <v>#N/A</v>
      </c>
      <c r="N1341" s="30" t="str">
        <f>IF(E1341="Coinciden",D1341,IF(E1341="Revisar",VLOOKUP(A1341,Revisión!$A$2:$L$703,12,FALSE),""))</f>
        <v>Melilotus albus</v>
      </c>
    </row>
    <row r="1342" spans="1:14" x14ac:dyDescent="0.3">
      <c r="A1342" t="s">
        <v>2767</v>
      </c>
      <c r="B1342" t="s">
        <v>2764</v>
      </c>
      <c r="C1342" t="s">
        <v>2766</v>
      </c>
      <c r="D1342" t="s">
        <v>2766</v>
      </c>
      <c r="E1342" t="s">
        <v>8</v>
      </c>
      <c r="F1342" t="s">
        <v>23</v>
      </c>
      <c r="H1342" s="23" t="str">
        <f>VLOOKUP(A1342,Revisión!$A$2:$L$703,6,FALSE)</f>
        <v>Melilotus albus</v>
      </c>
      <c r="I1342" s="4" t="str">
        <f>VLOOKUP(A1342,Revisión!$A$2:$L$703,7,FALSE)</f>
        <v>-</v>
      </c>
      <c r="J1342" s="4" t="str">
        <f>VLOOKUP(A1342,Revisión!$A$2:$L$703,8,FALSE)</f>
        <v>Melilotus albus</v>
      </c>
      <c r="K1342" s="4" t="str">
        <f>VLOOKUP(A1342,Revisión!$A$2:$L$703,9,FALSE)</f>
        <v>Melilotus albus</v>
      </c>
      <c r="L1342" s="4" t="str">
        <f>VLOOKUP(A1342,Revisión!$A$2:$L$703,10,FALSE)</f>
        <v>Melilotus albus</v>
      </c>
      <c r="M1342" s="18">
        <f>VLOOKUP(A1342,Revisión!$A$2:$L$703,11,FALSE)</f>
        <v>5</v>
      </c>
      <c r="N1342" s="30" t="str">
        <f>IF(E1342="Coinciden",D1342,IF(E1342="Revisar",VLOOKUP(A1342,Revisión!$A$2:$L$703,12,FALSE),""))</f>
        <v>Melilotus albus</v>
      </c>
    </row>
    <row r="1343" spans="1:14" x14ac:dyDescent="0.3">
      <c r="A1343" t="s">
        <v>2768</v>
      </c>
      <c r="B1343" t="s">
        <v>2769</v>
      </c>
      <c r="C1343" t="s">
        <v>2769</v>
      </c>
      <c r="D1343" t="s">
        <v>2769</v>
      </c>
      <c r="E1343" t="s">
        <v>18</v>
      </c>
      <c r="F1343" t="s">
        <v>19</v>
      </c>
      <c r="H1343" s="23" t="e">
        <f>VLOOKUP(A1343,Revisión!$A$2:$L$703,6,FALSE)</f>
        <v>#N/A</v>
      </c>
      <c r="I1343" s="4" t="e">
        <f>VLOOKUP(A1343,Revisión!$A$2:$L$703,7,FALSE)</f>
        <v>#N/A</v>
      </c>
      <c r="J1343" s="4" t="e">
        <f>VLOOKUP(A1343,Revisión!$A$2:$L$703,8,FALSE)</f>
        <v>#N/A</v>
      </c>
      <c r="K1343" s="4" t="e">
        <f>VLOOKUP(A1343,Revisión!$A$2:$L$703,9,FALSE)</f>
        <v>#N/A</v>
      </c>
      <c r="L1343" s="4" t="e">
        <f>VLOOKUP(A1343,Revisión!$A$2:$L$703,10,FALSE)</f>
        <v>#N/A</v>
      </c>
      <c r="M1343" s="18" t="e">
        <f>VLOOKUP(A1343,Revisión!$A$2:$L$703,11,FALSE)</f>
        <v>#N/A</v>
      </c>
      <c r="N1343" s="30" t="str">
        <f>IF(E1343="Coinciden",D1343,IF(E1343="Revisar",VLOOKUP(A1343,Revisión!$A$2:$L$703,12,FALSE),""))</f>
        <v>Meliosma oldhamii</v>
      </c>
    </row>
    <row r="1344" spans="1:14" x14ac:dyDescent="0.3">
      <c r="A1344" t="s">
        <v>2770</v>
      </c>
      <c r="B1344" t="s">
        <v>2771</v>
      </c>
      <c r="C1344" t="s">
        <v>2771</v>
      </c>
      <c r="D1344" t="s">
        <v>2771</v>
      </c>
      <c r="E1344" t="s">
        <v>18</v>
      </c>
      <c r="F1344" t="s">
        <v>19</v>
      </c>
      <c r="H1344" s="23" t="e">
        <f>VLOOKUP(A1344,Revisión!$A$2:$L$703,6,FALSE)</f>
        <v>#N/A</v>
      </c>
      <c r="I1344" s="4" t="e">
        <f>VLOOKUP(A1344,Revisión!$A$2:$L$703,7,FALSE)</f>
        <v>#N/A</v>
      </c>
      <c r="J1344" s="4" t="e">
        <f>VLOOKUP(A1344,Revisión!$A$2:$L$703,8,FALSE)</f>
        <v>#N/A</v>
      </c>
      <c r="K1344" s="4" t="e">
        <f>VLOOKUP(A1344,Revisión!$A$2:$L$703,9,FALSE)</f>
        <v>#N/A</v>
      </c>
      <c r="L1344" s="4" t="e">
        <f>VLOOKUP(A1344,Revisión!$A$2:$L$703,10,FALSE)</f>
        <v>#N/A</v>
      </c>
      <c r="M1344" s="18" t="e">
        <f>VLOOKUP(A1344,Revisión!$A$2:$L$703,11,FALSE)</f>
        <v>#N/A</v>
      </c>
      <c r="N1344" s="30" t="str">
        <f>IF(E1344="Coinciden",D1344,IF(E1344="Revisar",VLOOKUP(A1344,Revisión!$A$2:$L$703,12,FALSE),""))</f>
        <v>Meliosma rigida</v>
      </c>
    </row>
    <row r="1345" spans="1:14" x14ac:dyDescent="0.3">
      <c r="A1345" t="s">
        <v>2772</v>
      </c>
      <c r="B1345" t="s">
        <v>2773</v>
      </c>
      <c r="C1345" t="s">
        <v>2773</v>
      </c>
      <c r="D1345" t="s">
        <v>2773</v>
      </c>
      <c r="E1345" t="s">
        <v>18</v>
      </c>
      <c r="F1345" t="s">
        <v>19</v>
      </c>
      <c r="H1345" s="23" t="e">
        <f>VLOOKUP(A1345,Revisión!$A$2:$L$703,6,FALSE)</f>
        <v>#N/A</v>
      </c>
      <c r="I1345" s="4" t="e">
        <f>VLOOKUP(A1345,Revisión!$A$2:$L$703,7,FALSE)</f>
        <v>#N/A</v>
      </c>
      <c r="J1345" s="4" t="e">
        <f>VLOOKUP(A1345,Revisión!$A$2:$L$703,8,FALSE)</f>
        <v>#N/A</v>
      </c>
      <c r="K1345" s="4" t="e">
        <f>VLOOKUP(A1345,Revisión!$A$2:$L$703,9,FALSE)</f>
        <v>#N/A</v>
      </c>
      <c r="L1345" s="4" t="e">
        <f>VLOOKUP(A1345,Revisión!$A$2:$L$703,10,FALSE)</f>
        <v>#N/A</v>
      </c>
      <c r="M1345" s="18" t="e">
        <f>VLOOKUP(A1345,Revisión!$A$2:$L$703,11,FALSE)</f>
        <v>#N/A</v>
      </c>
      <c r="N1345" s="30" t="str">
        <f>IF(E1345="Coinciden",D1345,IF(E1345="Revisar",VLOOKUP(A1345,Revisión!$A$2:$L$703,12,FALSE),""))</f>
        <v>Meliosma tenuis</v>
      </c>
    </row>
    <row r="1346" spans="1:14" x14ac:dyDescent="0.3">
      <c r="A1346" t="s">
        <v>2774</v>
      </c>
      <c r="B1346" t="s">
        <v>2775</v>
      </c>
      <c r="C1346" t="s">
        <v>2776</v>
      </c>
      <c r="D1346" t="s">
        <v>2777</v>
      </c>
      <c r="E1346" t="s">
        <v>8</v>
      </c>
      <c r="F1346" t="s">
        <v>295</v>
      </c>
      <c r="H1346" s="23" t="str">
        <f>VLOOKUP(A1346,Revisión!$A$2:$L$703,6,FALSE)</f>
        <v>Melochia spicata</v>
      </c>
      <c r="I1346" s="4" t="str">
        <f>VLOOKUP(A1346,Revisión!$A$2:$L$703,7,FALSE)</f>
        <v>-</v>
      </c>
      <c r="J1346" s="4" t="str">
        <f>VLOOKUP(A1346,Revisión!$A$2:$L$703,8,FALSE)</f>
        <v>Melochia spicata var. spicata</v>
      </c>
      <c r="K1346" s="4" t="str">
        <f>VLOOKUP(A1346,Revisión!$A$2:$L$703,9,FALSE)</f>
        <v>Melochia spicata</v>
      </c>
      <c r="L1346" s="4" t="str">
        <f>VLOOKUP(A1346,Revisión!$A$2:$L$703,10,FALSE)</f>
        <v>Melochia spicata</v>
      </c>
      <c r="M1346" s="18">
        <f>VLOOKUP(A1346,Revisión!$A$2:$L$703,11,FALSE)</f>
        <v>4</v>
      </c>
      <c r="N1346" s="30" t="str">
        <f>IF(E1346="Coinciden",D1346,IF(E1346="Revisar",VLOOKUP(A1346,Revisión!$A$2:$L$703,12,FALSE),""))</f>
        <v>Melochia spicata</v>
      </c>
    </row>
    <row r="1347" spans="1:14" x14ac:dyDescent="0.3">
      <c r="A1347" t="s">
        <v>2778</v>
      </c>
      <c r="B1347" t="s">
        <v>2779</v>
      </c>
      <c r="C1347" t="s">
        <v>2779</v>
      </c>
      <c r="D1347" t="s">
        <v>2779</v>
      </c>
      <c r="E1347" t="s">
        <v>18</v>
      </c>
      <c r="F1347" t="s">
        <v>19</v>
      </c>
      <c r="H1347" s="23" t="e">
        <f>VLOOKUP(A1347,Revisión!$A$2:$L$703,6,FALSE)</f>
        <v>#N/A</v>
      </c>
      <c r="I1347" s="4" t="e">
        <f>VLOOKUP(A1347,Revisión!$A$2:$L$703,7,FALSE)</f>
        <v>#N/A</v>
      </c>
      <c r="J1347" s="4" t="e">
        <f>VLOOKUP(A1347,Revisión!$A$2:$L$703,8,FALSE)</f>
        <v>#N/A</v>
      </c>
      <c r="K1347" s="4" t="e">
        <f>VLOOKUP(A1347,Revisión!$A$2:$L$703,9,FALSE)</f>
        <v>#N/A</v>
      </c>
      <c r="L1347" s="4" t="e">
        <f>VLOOKUP(A1347,Revisión!$A$2:$L$703,10,FALSE)</f>
        <v>#N/A</v>
      </c>
      <c r="M1347" s="18" t="e">
        <f>VLOOKUP(A1347,Revisión!$A$2:$L$703,11,FALSE)</f>
        <v>#N/A</v>
      </c>
      <c r="N1347" s="30" t="str">
        <f>IF(E1347="Coinciden",D1347,IF(E1347="Revisar",VLOOKUP(A1347,Revisión!$A$2:$L$703,12,FALSE),""))</f>
        <v>Melochia nodiflora</v>
      </c>
    </row>
    <row r="1348" spans="1:14" x14ac:dyDescent="0.3">
      <c r="A1348" t="s">
        <v>2780</v>
      </c>
      <c r="B1348" t="s">
        <v>2781</v>
      </c>
      <c r="C1348" t="s">
        <v>2781</v>
      </c>
      <c r="D1348" t="s">
        <v>2781</v>
      </c>
      <c r="E1348" t="s">
        <v>18</v>
      </c>
      <c r="F1348" t="s">
        <v>19</v>
      </c>
      <c r="H1348" s="23" t="e">
        <f>VLOOKUP(A1348,Revisión!$A$2:$L$703,6,FALSE)</f>
        <v>#N/A</v>
      </c>
      <c r="I1348" s="4" t="e">
        <f>VLOOKUP(A1348,Revisión!$A$2:$L$703,7,FALSE)</f>
        <v>#N/A</v>
      </c>
      <c r="J1348" s="4" t="e">
        <f>VLOOKUP(A1348,Revisión!$A$2:$L$703,8,FALSE)</f>
        <v>#N/A</v>
      </c>
      <c r="K1348" s="4" t="e">
        <f>VLOOKUP(A1348,Revisión!$A$2:$L$703,9,FALSE)</f>
        <v>#N/A</v>
      </c>
      <c r="L1348" s="4" t="e">
        <f>VLOOKUP(A1348,Revisión!$A$2:$L$703,10,FALSE)</f>
        <v>#N/A</v>
      </c>
      <c r="M1348" s="18" t="e">
        <f>VLOOKUP(A1348,Revisión!$A$2:$L$703,11,FALSE)</f>
        <v>#N/A</v>
      </c>
      <c r="N1348" s="30" t="str">
        <f>IF(E1348="Coinciden",D1348,IF(E1348="Revisar",VLOOKUP(A1348,Revisión!$A$2:$L$703,12,FALSE),""))</f>
        <v>Memecylon elaeagni</v>
      </c>
    </row>
    <row r="1349" spans="1:14" x14ac:dyDescent="0.3">
      <c r="A1349" t="s">
        <v>2782</v>
      </c>
      <c r="B1349" t="s">
        <v>2783</v>
      </c>
      <c r="C1349" t="s">
        <v>2783</v>
      </c>
      <c r="D1349" t="s">
        <v>2783</v>
      </c>
      <c r="E1349" t="s">
        <v>18</v>
      </c>
      <c r="F1349" t="s">
        <v>19</v>
      </c>
      <c r="H1349" s="23" t="e">
        <f>VLOOKUP(A1349,Revisión!$A$2:$L$703,6,FALSE)</f>
        <v>#N/A</v>
      </c>
      <c r="I1349" s="4" t="e">
        <f>VLOOKUP(A1349,Revisión!$A$2:$L$703,7,FALSE)</f>
        <v>#N/A</v>
      </c>
      <c r="J1349" s="4" t="e">
        <f>VLOOKUP(A1349,Revisión!$A$2:$L$703,8,FALSE)</f>
        <v>#N/A</v>
      </c>
      <c r="K1349" s="4" t="e">
        <f>VLOOKUP(A1349,Revisión!$A$2:$L$703,9,FALSE)</f>
        <v>#N/A</v>
      </c>
      <c r="L1349" s="4" t="e">
        <f>VLOOKUP(A1349,Revisión!$A$2:$L$703,10,FALSE)</f>
        <v>#N/A</v>
      </c>
      <c r="M1349" s="18" t="e">
        <f>VLOOKUP(A1349,Revisión!$A$2:$L$703,11,FALSE)</f>
        <v>#N/A</v>
      </c>
      <c r="N1349" s="30" t="str">
        <f>IF(E1349="Coinciden",D1349,IF(E1349="Revisar",VLOOKUP(A1349,Revisión!$A$2:$L$703,12,FALSE),""))</f>
        <v>Memecylon ovatifolium</v>
      </c>
    </row>
    <row r="1350" spans="1:14" x14ac:dyDescent="0.3">
      <c r="A1350" t="s">
        <v>2784</v>
      </c>
      <c r="B1350" t="s">
        <v>2785</v>
      </c>
      <c r="C1350" t="s">
        <v>2785</v>
      </c>
      <c r="D1350" t="s">
        <v>2785</v>
      </c>
      <c r="E1350" t="s">
        <v>18</v>
      </c>
      <c r="F1350" t="s">
        <v>19</v>
      </c>
      <c r="H1350" s="23" t="e">
        <f>VLOOKUP(A1350,Revisión!$A$2:$L$703,6,FALSE)</f>
        <v>#N/A</v>
      </c>
      <c r="I1350" s="4" t="e">
        <f>VLOOKUP(A1350,Revisión!$A$2:$L$703,7,FALSE)</f>
        <v>#N/A</v>
      </c>
      <c r="J1350" s="4" t="e">
        <f>VLOOKUP(A1350,Revisión!$A$2:$L$703,8,FALSE)</f>
        <v>#N/A</v>
      </c>
      <c r="K1350" s="4" t="e">
        <f>VLOOKUP(A1350,Revisión!$A$2:$L$703,9,FALSE)</f>
        <v>#N/A</v>
      </c>
      <c r="L1350" s="4" t="e">
        <f>VLOOKUP(A1350,Revisión!$A$2:$L$703,10,FALSE)</f>
        <v>#N/A</v>
      </c>
      <c r="M1350" s="18" t="e">
        <f>VLOOKUP(A1350,Revisión!$A$2:$L$703,11,FALSE)</f>
        <v>#N/A</v>
      </c>
      <c r="N1350" s="30" t="str">
        <f>IF(E1350="Coinciden",D1350,IF(E1350="Revisar",VLOOKUP(A1350,Revisión!$A$2:$L$703,12,FALSE),""))</f>
        <v>Menonvillea scapigera subsp. longipes</v>
      </c>
    </row>
    <row r="1351" spans="1:14" x14ac:dyDescent="0.3">
      <c r="A1351" t="s">
        <v>2786</v>
      </c>
      <c r="B1351" t="s">
        <v>2787</v>
      </c>
      <c r="C1351" t="s">
        <v>2787</v>
      </c>
      <c r="D1351" t="s">
        <v>2787</v>
      </c>
      <c r="E1351" t="s">
        <v>18</v>
      </c>
      <c r="F1351" t="s">
        <v>19</v>
      </c>
      <c r="H1351" s="23" t="e">
        <f>VLOOKUP(A1351,Revisión!$A$2:$L$703,6,FALSE)</f>
        <v>#N/A</v>
      </c>
      <c r="I1351" s="4" t="e">
        <f>VLOOKUP(A1351,Revisión!$A$2:$L$703,7,FALSE)</f>
        <v>#N/A</v>
      </c>
      <c r="J1351" s="4" t="e">
        <f>VLOOKUP(A1351,Revisión!$A$2:$L$703,8,FALSE)</f>
        <v>#N/A</v>
      </c>
      <c r="K1351" s="4" t="e">
        <f>VLOOKUP(A1351,Revisión!$A$2:$L$703,9,FALSE)</f>
        <v>#N/A</v>
      </c>
      <c r="L1351" s="4" t="e">
        <f>VLOOKUP(A1351,Revisión!$A$2:$L$703,10,FALSE)</f>
        <v>#N/A</v>
      </c>
      <c r="M1351" s="18" t="e">
        <f>VLOOKUP(A1351,Revisión!$A$2:$L$703,11,FALSE)</f>
        <v>#N/A</v>
      </c>
      <c r="N1351" s="30" t="str">
        <f>IF(E1351="Coinciden",D1351,IF(E1351="Revisar",VLOOKUP(A1351,Revisión!$A$2:$L$703,12,FALSE),""))</f>
        <v>Mentha arvensis</v>
      </c>
    </row>
    <row r="1352" spans="1:14" x14ac:dyDescent="0.3">
      <c r="A1352" t="s">
        <v>2788</v>
      </c>
      <c r="B1352" t="s">
        <v>2789</v>
      </c>
      <c r="C1352" t="s">
        <v>2789</v>
      </c>
      <c r="D1352" t="s">
        <v>2789</v>
      </c>
      <c r="E1352" t="s">
        <v>18</v>
      </c>
      <c r="F1352" t="s">
        <v>19</v>
      </c>
      <c r="H1352" s="23" t="e">
        <f>VLOOKUP(A1352,Revisión!$A$2:$L$703,6,FALSE)</f>
        <v>#N/A</v>
      </c>
      <c r="I1352" s="4" t="e">
        <f>VLOOKUP(A1352,Revisión!$A$2:$L$703,7,FALSE)</f>
        <v>#N/A</v>
      </c>
      <c r="J1352" s="4" t="e">
        <f>VLOOKUP(A1352,Revisión!$A$2:$L$703,8,FALSE)</f>
        <v>#N/A</v>
      </c>
      <c r="K1352" s="4" t="e">
        <f>VLOOKUP(A1352,Revisión!$A$2:$L$703,9,FALSE)</f>
        <v>#N/A</v>
      </c>
      <c r="L1352" s="4" t="e">
        <f>VLOOKUP(A1352,Revisión!$A$2:$L$703,10,FALSE)</f>
        <v>#N/A</v>
      </c>
      <c r="M1352" s="18" t="e">
        <f>VLOOKUP(A1352,Revisión!$A$2:$L$703,11,FALSE)</f>
        <v>#N/A</v>
      </c>
      <c r="N1352" s="30" t="str">
        <f>IF(E1352="Coinciden",D1352,IF(E1352="Revisar",VLOOKUP(A1352,Revisión!$A$2:$L$703,12,FALSE),""))</f>
        <v>Mentha aquatica</v>
      </c>
    </row>
    <row r="1353" spans="1:14" x14ac:dyDescent="0.3">
      <c r="A1353" t="s">
        <v>2790</v>
      </c>
      <c r="B1353" t="s">
        <v>2791</v>
      </c>
      <c r="C1353" t="s">
        <v>2791</v>
      </c>
      <c r="D1353" t="s">
        <v>2791</v>
      </c>
      <c r="E1353" t="s">
        <v>18</v>
      </c>
      <c r="F1353" t="s">
        <v>19</v>
      </c>
      <c r="H1353" s="23" t="e">
        <f>VLOOKUP(A1353,Revisión!$A$2:$L$703,6,FALSE)</f>
        <v>#N/A</v>
      </c>
      <c r="I1353" s="4" t="e">
        <f>VLOOKUP(A1353,Revisión!$A$2:$L$703,7,FALSE)</f>
        <v>#N/A</v>
      </c>
      <c r="J1353" s="4" t="e">
        <f>VLOOKUP(A1353,Revisión!$A$2:$L$703,8,FALSE)</f>
        <v>#N/A</v>
      </c>
      <c r="K1353" s="4" t="e">
        <f>VLOOKUP(A1353,Revisión!$A$2:$L$703,9,FALSE)</f>
        <v>#N/A</v>
      </c>
      <c r="L1353" s="4" t="e">
        <f>VLOOKUP(A1353,Revisión!$A$2:$L$703,10,FALSE)</f>
        <v>#N/A</v>
      </c>
      <c r="M1353" s="18" t="e">
        <f>VLOOKUP(A1353,Revisión!$A$2:$L$703,11,FALSE)</f>
        <v>#N/A</v>
      </c>
      <c r="N1353" s="30" t="str">
        <f>IF(E1353="Coinciden",D1353,IF(E1353="Revisar",VLOOKUP(A1353,Revisión!$A$2:$L$703,12,FALSE),""))</f>
        <v>Mentha longifolia</v>
      </c>
    </row>
    <row r="1354" spans="1:14" x14ac:dyDescent="0.3">
      <c r="A1354" t="s">
        <v>2792</v>
      </c>
      <c r="B1354" t="s">
        <v>2793</v>
      </c>
      <c r="D1354" t="s">
        <v>2793</v>
      </c>
      <c r="E1354" t="s">
        <v>8</v>
      </c>
      <c r="F1354" t="s">
        <v>34</v>
      </c>
      <c r="H1354" s="23" t="str">
        <f>VLOOKUP(A1354,Revisión!$A$2:$L$703,6,FALSE)</f>
        <v>Mentzelia aspera</v>
      </c>
      <c r="I1354" s="4" t="str">
        <f>VLOOKUP(A1354,Revisión!$A$2:$L$703,7,FALSE)</f>
        <v>-</v>
      </c>
      <c r="J1354" s="4" t="str">
        <f>VLOOKUP(A1354,Revisión!$A$2:$L$703,8,FALSE)</f>
        <v>Mentzelia aspera</v>
      </c>
      <c r="K1354" s="4" t="str">
        <f>VLOOKUP(A1354,Revisión!$A$2:$L$703,9,FALSE)</f>
        <v>Mentzelia aspera</v>
      </c>
      <c r="L1354" s="4" t="str">
        <f>VLOOKUP(A1354,Revisión!$A$2:$L$703,10,FALSE)</f>
        <v>Mentzelia aspera</v>
      </c>
      <c r="M1354" s="18">
        <f>VLOOKUP(A1354,Revisión!$A$2:$L$703,11,FALSE)</f>
        <v>5</v>
      </c>
      <c r="N1354" s="30" t="str">
        <f>IF(E1354="Coinciden",D1354,IF(E1354="Revisar",VLOOKUP(A1354,Revisión!$A$2:$L$703,12,FALSE),""))</f>
        <v>Mentzelia aspera</v>
      </c>
    </row>
    <row r="1355" spans="1:14" x14ac:dyDescent="0.3">
      <c r="A1355" t="s">
        <v>2794</v>
      </c>
      <c r="B1355" t="s">
        <v>2795</v>
      </c>
      <c r="C1355" t="s">
        <v>2795</v>
      </c>
      <c r="D1355" t="s">
        <v>2795</v>
      </c>
      <c r="E1355" t="s">
        <v>18</v>
      </c>
      <c r="F1355" t="s">
        <v>19</v>
      </c>
      <c r="H1355" s="23" t="e">
        <f>VLOOKUP(A1355,Revisión!$A$2:$L$703,6,FALSE)</f>
        <v>#N/A</v>
      </c>
      <c r="I1355" s="4" t="e">
        <f>VLOOKUP(A1355,Revisión!$A$2:$L$703,7,FALSE)</f>
        <v>#N/A</v>
      </c>
      <c r="J1355" s="4" t="e">
        <f>VLOOKUP(A1355,Revisión!$A$2:$L$703,8,FALSE)</f>
        <v>#N/A</v>
      </c>
      <c r="K1355" s="4" t="e">
        <f>VLOOKUP(A1355,Revisión!$A$2:$L$703,9,FALSE)</f>
        <v>#N/A</v>
      </c>
      <c r="L1355" s="4" t="e">
        <f>VLOOKUP(A1355,Revisión!$A$2:$L$703,10,FALSE)</f>
        <v>#N/A</v>
      </c>
      <c r="M1355" s="18" t="e">
        <f>VLOOKUP(A1355,Revisión!$A$2:$L$703,11,FALSE)</f>
        <v>#N/A</v>
      </c>
      <c r="N1355" s="30" t="str">
        <f>IF(E1355="Coinciden",D1355,IF(E1355="Revisar",VLOOKUP(A1355,Revisión!$A$2:$L$703,12,FALSE),""))</f>
        <v>Mentzelia multiflora</v>
      </c>
    </row>
    <row r="1356" spans="1:14" x14ac:dyDescent="0.3">
      <c r="A1356" t="s">
        <v>2796</v>
      </c>
      <c r="B1356" t="s">
        <v>2797</v>
      </c>
      <c r="C1356" t="s">
        <v>2797</v>
      </c>
      <c r="D1356" t="s">
        <v>2797</v>
      </c>
      <c r="E1356" t="s">
        <v>18</v>
      </c>
      <c r="F1356" t="s">
        <v>19</v>
      </c>
      <c r="H1356" s="23" t="e">
        <f>VLOOKUP(A1356,Revisión!$A$2:$L$703,6,FALSE)</f>
        <v>#N/A</v>
      </c>
      <c r="I1356" s="4" t="e">
        <f>VLOOKUP(A1356,Revisión!$A$2:$L$703,7,FALSE)</f>
        <v>#N/A</v>
      </c>
      <c r="J1356" s="4" t="e">
        <f>VLOOKUP(A1356,Revisión!$A$2:$L$703,8,FALSE)</f>
        <v>#N/A</v>
      </c>
      <c r="K1356" s="4" t="e">
        <f>VLOOKUP(A1356,Revisión!$A$2:$L$703,9,FALSE)</f>
        <v>#N/A</v>
      </c>
      <c r="L1356" s="4" t="e">
        <f>VLOOKUP(A1356,Revisión!$A$2:$L$703,10,FALSE)</f>
        <v>#N/A</v>
      </c>
      <c r="M1356" s="18" t="e">
        <f>VLOOKUP(A1356,Revisión!$A$2:$L$703,11,FALSE)</f>
        <v>#N/A</v>
      </c>
      <c r="N1356" s="30" t="str">
        <f>IF(E1356="Coinciden",D1356,IF(E1356="Revisar",VLOOKUP(A1356,Revisión!$A$2:$L$703,12,FALSE),""))</f>
        <v>Rhododendron pentandrum</v>
      </c>
    </row>
    <row r="1357" spans="1:14" x14ac:dyDescent="0.3">
      <c r="A1357" t="s">
        <v>2798</v>
      </c>
      <c r="C1357" t="s">
        <v>2799</v>
      </c>
      <c r="D1357" t="s">
        <v>2799</v>
      </c>
      <c r="E1357" t="s">
        <v>8</v>
      </c>
      <c r="F1357" t="s">
        <v>49</v>
      </c>
      <c r="H1357" s="23" t="str">
        <f>VLOOKUP(A1357,Revisión!$A$2:$L$703,6,FALSE)</f>
        <v>Meriania sclerophylla</v>
      </c>
      <c r="I1357" s="4" t="str">
        <f>VLOOKUP(A1357,Revisión!$A$2:$L$703,7,FALSE)</f>
        <v>-</v>
      </c>
      <c r="J1357" s="4" t="str">
        <f>VLOOKUP(A1357,Revisión!$A$2:$L$703,8,FALSE)</f>
        <v>Meriania sclerophylla</v>
      </c>
      <c r="K1357" s="4" t="str">
        <f>VLOOKUP(A1357,Revisión!$A$2:$L$703,9,FALSE)</f>
        <v>Meriania sclerophylla</v>
      </c>
      <c r="L1357" s="4" t="str">
        <f>VLOOKUP(A1357,Revisión!$A$2:$L$703,10,FALSE)</f>
        <v>Meriania sclerophylla</v>
      </c>
      <c r="M1357" s="18">
        <f>VLOOKUP(A1357,Revisión!$A$2:$L$703,11,FALSE)</f>
        <v>4</v>
      </c>
      <c r="N1357" s="30" t="str">
        <f>IF(E1357="Coinciden",D1357,IF(E1357="Revisar",VLOOKUP(A1357,Revisión!$A$2:$L$703,12,FALSE),""))</f>
        <v>Meriania sclerophylla</v>
      </c>
    </row>
    <row r="1358" spans="1:14" x14ac:dyDescent="0.3">
      <c r="A1358" t="s">
        <v>2800</v>
      </c>
      <c r="B1358" t="s">
        <v>2801</v>
      </c>
      <c r="C1358" t="s">
        <v>2802</v>
      </c>
      <c r="D1358" t="s">
        <v>2802</v>
      </c>
      <c r="E1358" t="s">
        <v>8</v>
      </c>
      <c r="F1358" t="s">
        <v>23</v>
      </c>
      <c r="H1358" s="23" t="str">
        <f>VLOOKUP(A1358,Revisión!$A$2:$L$703,6,FALSE)</f>
        <v>Camonea umbellata</v>
      </c>
      <c r="I1358" s="4" t="str">
        <f>VLOOKUP(A1358,Revisión!$A$2:$L$703,7,FALSE)</f>
        <v>-</v>
      </c>
      <c r="J1358" s="4" t="str">
        <f>VLOOKUP(A1358,Revisión!$A$2:$L$703,8,FALSE)</f>
        <v>Camonea umbellata</v>
      </c>
      <c r="K1358" s="4" t="str">
        <f>VLOOKUP(A1358,Revisión!$A$2:$L$703,9,FALSE)</f>
        <v>Camonea umbellata</v>
      </c>
      <c r="L1358" s="4" t="str">
        <f>VLOOKUP(A1358,Revisión!$A$2:$L$703,10,FALSE)</f>
        <v>Camonea umbellata</v>
      </c>
      <c r="M1358" s="18">
        <f>VLOOKUP(A1358,Revisión!$A$2:$L$703,11,FALSE)</f>
        <v>5</v>
      </c>
      <c r="N1358" s="30" t="str">
        <f>IF(E1358="Coinciden",D1358,IF(E1358="Revisar",VLOOKUP(A1358,Revisión!$A$2:$L$703,12,FALSE),""))</f>
        <v>Camonea umbellata</v>
      </c>
    </row>
    <row r="1359" spans="1:14" x14ac:dyDescent="0.3">
      <c r="A1359" t="s">
        <v>2803</v>
      </c>
      <c r="B1359" t="s">
        <v>2804</v>
      </c>
      <c r="C1359" t="s">
        <v>2804</v>
      </c>
      <c r="D1359" t="s">
        <v>2804</v>
      </c>
      <c r="E1359" t="s">
        <v>18</v>
      </c>
      <c r="F1359" t="s">
        <v>19</v>
      </c>
      <c r="H1359" s="23" t="e">
        <f>VLOOKUP(A1359,Revisión!$A$2:$L$703,6,FALSE)</f>
        <v>#N/A</v>
      </c>
      <c r="I1359" s="4" t="e">
        <f>VLOOKUP(A1359,Revisión!$A$2:$L$703,7,FALSE)</f>
        <v>#N/A</v>
      </c>
      <c r="J1359" s="4" t="e">
        <f>VLOOKUP(A1359,Revisión!$A$2:$L$703,8,FALSE)</f>
        <v>#N/A</v>
      </c>
      <c r="K1359" s="4" t="e">
        <f>VLOOKUP(A1359,Revisión!$A$2:$L$703,9,FALSE)</f>
        <v>#N/A</v>
      </c>
      <c r="L1359" s="4" t="e">
        <f>VLOOKUP(A1359,Revisión!$A$2:$L$703,10,FALSE)</f>
        <v>#N/A</v>
      </c>
      <c r="M1359" s="18" t="e">
        <f>VLOOKUP(A1359,Revisión!$A$2:$L$703,11,FALSE)</f>
        <v>#N/A</v>
      </c>
      <c r="N1359" s="30" t="str">
        <f>IF(E1359="Coinciden",D1359,IF(E1359="Revisar",VLOOKUP(A1359,Revisión!$A$2:$L$703,12,FALSE),""))</f>
        <v>Mertensia sibirica</v>
      </c>
    </row>
    <row r="1360" spans="1:14" x14ac:dyDescent="0.3">
      <c r="A1360" t="s">
        <v>2805</v>
      </c>
      <c r="B1360" t="s">
        <v>2806</v>
      </c>
      <c r="C1360" t="s">
        <v>2806</v>
      </c>
      <c r="D1360" t="s">
        <v>2806</v>
      </c>
      <c r="E1360" t="s">
        <v>18</v>
      </c>
      <c r="F1360" t="s">
        <v>19</v>
      </c>
      <c r="H1360" s="23" t="e">
        <f>VLOOKUP(A1360,Revisión!$A$2:$L$703,6,FALSE)</f>
        <v>#N/A</v>
      </c>
      <c r="I1360" s="4" t="e">
        <f>VLOOKUP(A1360,Revisión!$A$2:$L$703,7,FALSE)</f>
        <v>#N/A</v>
      </c>
      <c r="J1360" s="4" t="e">
        <f>VLOOKUP(A1360,Revisión!$A$2:$L$703,8,FALSE)</f>
        <v>#N/A</v>
      </c>
      <c r="K1360" s="4" t="e">
        <f>VLOOKUP(A1360,Revisión!$A$2:$L$703,9,FALSE)</f>
        <v>#N/A</v>
      </c>
      <c r="L1360" s="4" t="e">
        <f>VLOOKUP(A1360,Revisión!$A$2:$L$703,10,FALSE)</f>
        <v>#N/A</v>
      </c>
      <c r="M1360" s="18" t="e">
        <f>VLOOKUP(A1360,Revisión!$A$2:$L$703,11,FALSE)</f>
        <v>#N/A</v>
      </c>
      <c r="N1360" s="30" t="str">
        <f>IF(E1360="Coinciden",D1360,IF(E1360="Revisar",VLOOKUP(A1360,Revisión!$A$2:$L$703,12,FALSE),""))</f>
        <v>Mertensia virginica</v>
      </c>
    </row>
    <row r="1361" spans="1:14" x14ac:dyDescent="0.3">
      <c r="A1361" t="s">
        <v>2807</v>
      </c>
      <c r="B1361" t="s">
        <v>2808</v>
      </c>
      <c r="C1361" t="s">
        <v>2808</v>
      </c>
      <c r="D1361" t="s">
        <v>2808</v>
      </c>
      <c r="E1361" t="s">
        <v>18</v>
      </c>
      <c r="F1361" t="s">
        <v>19</v>
      </c>
      <c r="H1361" s="23" t="e">
        <f>VLOOKUP(A1361,Revisión!$A$2:$L$703,6,FALSE)</f>
        <v>#N/A</v>
      </c>
      <c r="I1361" s="4" t="e">
        <f>VLOOKUP(A1361,Revisión!$A$2:$L$703,7,FALSE)</f>
        <v>#N/A</v>
      </c>
      <c r="J1361" s="4" t="e">
        <f>VLOOKUP(A1361,Revisión!$A$2:$L$703,8,FALSE)</f>
        <v>#N/A</v>
      </c>
      <c r="K1361" s="4" t="e">
        <f>VLOOKUP(A1361,Revisión!$A$2:$L$703,9,FALSE)</f>
        <v>#N/A</v>
      </c>
      <c r="L1361" s="4" t="e">
        <f>VLOOKUP(A1361,Revisión!$A$2:$L$703,10,FALSE)</f>
        <v>#N/A</v>
      </c>
      <c r="M1361" s="18" t="e">
        <f>VLOOKUP(A1361,Revisión!$A$2:$L$703,11,FALSE)</f>
        <v>#N/A</v>
      </c>
      <c r="N1361" s="30" t="str">
        <f>IF(E1361="Coinciden",D1361,IF(E1361="Revisar",VLOOKUP(A1361,Revisión!$A$2:$L$703,12,FALSE),""))</f>
        <v>Mertensia pratensis</v>
      </c>
    </row>
    <row r="1362" spans="1:14" x14ac:dyDescent="0.3">
      <c r="A1362" t="s">
        <v>2809</v>
      </c>
      <c r="C1362" t="s">
        <v>2810</v>
      </c>
      <c r="D1362" t="s">
        <v>2811</v>
      </c>
      <c r="E1362" t="s">
        <v>8</v>
      </c>
      <c r="F1362" t="s">
        <v>9</v>
      </c>
      <c r="H1362" s="23" t="str">
        <f>VLOOKUP(A1362,Revisión!$A$2:$L$703,6,FALSE)</f>
        <v>Zehneria liukiuensis</v>
      </c>
      <c r="I1362" s="4" t="str">
        <f>VLOOKUP(A1362,Revisión!$A$2:$L$703,7,FALSE)</f>
        <v>-</v>
      </c>
      <c r="J1362" s="4" t="str">
        <f>VLOOKUP(A1362,Revisión!$A$2:$L$703,8,FALSE)</f>
        <v>Zehneria guamensis</v>
      </c>
      <c r="K1362" s="4" t="str">
        <f>VLOOKUP(A1362,Revisión!$A$2:$L$703,9,FALSE)</f>
        <v>Zehneria liukiuensis</v>
      </c>
      <c r="L1362" s="4" t="str">
        <f>VLOOKUP(A1362,Revisión!$A$2:$L$703,10,FALSE)</f>
        <v>-</v>
      </c>
      <c r="M1362" s="18">
        <f>VLOOKUP(A1362,Revisión!$A$2:$L$703,11,FALSE)</f>
        <v>3</v>
      </c>
      <c r="N1362" s="30" t="str">
        <f>IF(E1362="Coinciden",D1362,IF(E1362="Revisar",VLOOKUP(A1362,Revisión!$A$2:$L$703,12,FALSE),""))</f>
        <v>Zehneria liukiuensis</v>
      </c>
    </row>
    <row r="1363" spans="1:14" x14ac:dyDescent="0.3">
      <c r="A1363" t="s">
        <v>2812</v>
      </c>
      <c r="B1363" t="s">
        <v>2813</v>
      </c>
      <c r="C1363" t="s">
        <v>2813</v>
      </c>
      <c r="D1363" t="s">
        <v>2813</v>
      </c>
      <c r="E1363" t="s">
        <v>18</v>
      </c>
      <c r="F1363" t="s">
        <v>19</v>
      </c>
      <c r="H1363" s="23" t="e">
        <f>VLOOKUP(A1363,Revisión!$A$2:$L$703,6,FALSE)</f>
        <v>#N/A</v>
      </c>
      <c r="I1363" s="4" t="e">
        <f>VLOOKUP(A1363,Revisión!$A$2:$L$703,7,FALSE)</f>
        <v>#N/A</v>
      </c>
      <c r="J1363" s="4" t="e">
        <f>VLOOKUP(A1363,Revisión!$A$2:$L$703,8,FALSE)</f>
        <v>#N/A</v>
      </c>
      <c r="K1363" s="4" t="e">
        <f>VLOOKUP(A1363,Revisión!$A$2:$L$703,9,FALSE)</f>
        <v>#N/A</v>
      </c>
      <c r="L1363" s="4" t="e">
        <f>VLOOKUP(A1363,Revisión!$A$2:$L$703,10,FALSE)</f>
        <v>#N/A</v>
      </c>
      <c r="M1363" s="18" t="e">
        <f>VLOOKUP(A1363,Revisión!$A$2:$L$703,11,FALSE)</f>
        <v>#N/A</v>
      </c>
      <c r="N1363" s="30" t="str">
        <f>IF(E1363="Coinciden",D1363,IF(E1363="Revisar",VLOOKUP(A1363,Revisión!$A$2:$L$703,12,FALSE),""))</f>
        <v>Miconia stephananthera</v>
      </c>
    </row>
    <row r="1364" spans="1:14" x14ac:dyDescent="0.3">
      <c r="A1364" t="s">
        <v>2814</v>
      </c>
      <c r="B1364" t="s">
        <v>2815</v>
      </c>
      <c r="C1364" t="s">
        <v>2815</v>
      </c>
      <c r="D1364" t="s">
        <v>2815</v>
      </c>
      <c r="E1364" t="s">
        <v>18</v>
      </c>
      <c r="F1364" t="s">
        <v>19</v>
      </c>
      <c r="H1364" s="23" t="e">
        <f>VLOOKUP(A1364,Revisión!$A$2:$L$703,6,FALSE)</f>
        <v>#N/A</v>
      </c>
      <c r="I1364" s="4" t="e">
        <f>VLOOKUP(A1364,Revisión!$A$2:$L$703,7,FALSE)</f>
        <v>#N/A</v>
      </c>
      <c r="J1364" s="4" t="e">
        <f>VLOOKUP(A1364,Revisión!$A$2:$L$703,8,FALSE)</f>
        <v>#N/A</v>
      </c>
      <c r="K1364" s="4" t="e">
        <f>VLOOKUP(A1364,Revisión!$A$2:$L$703,9,FALSE)</f>
        <v>#N/A</v>
      </c>
      <c r="L1364" s="4" t="e">
        <f>VLOOKUP(A1364,Revisión!$A$2:$L$703,10,FALSE)</f>
        <v>#N/A</v>
      </c>
      <c r="M1364" s="18" t="e">
        <f>VLOOKUP(A1364,Revisión!$A$2:$L$703,11,FALSE)</f>
        <v>#N/A</v>
      </c>
      <c r="N1364" s="30" t="str">
        <f>IF(E1364="Coinciden",D1364,IF(E1364="Revisar",VLOOKUP(A1364,Revisión!$A$2:$L$703,12,FALSE),""))</f>
        <v>Miconia robinsoniana</v>
      </c>
    </row>
    <row r="1365" spans="1:14" x14ac:dyDescent="0.3">
      <c r="A1365" t="s">
        <v>2816</v>
      </c>
      <c r="B1365" t="s">
        <v>2817</v>
      </c>
      <c r="C1365" t="s">
        <v>2817</v>
      </c>
      <c r="D1365" t="s">
        <v>2817</v>
      </c>
      <c r="E1365" t="s">
        <v>18</v>
      </c>
      <c r="F1365" t="s">
        <v>19</v>
      </c>
      <c r="H1365" s="23" t="e">
        <f>VLOOKUP(A1365,Revisión!$A$2:$L$703,6,FALSE)</f>
        <v>#N/A</v>
      </c>
      <c r="I1365" s="4" t="e">
        <f>VLOOKUP(A1365,Revisión!$A$2:$L$703,7,FALSE)</f>
        <v>#N/A</v>
      </c>
      <c r="J1365" s="4" t="e">
        <f>VLOOKUP(A1365,Revisión!$A$2:$L$703,8,FALSE)</f>
        <v>#N/A</v>
      </c>
      <c r="K1365" s="4" t="e">
        <f>VLOOKUP(A1365,Revisión!$A$2:$L$703,9,FALSE)</f>
        <v>#N/A</v>
      </c>
      <c r="L1365" s="4" t="e">
        <f>VLOOKUP(A1365,Revisión!$A$2:$L$703,10,FALSE)</f>
        <v>#N/A</v>
      </c>
      <c r="M1365" s="18" t="e">
        <f>VLOOKUP(A1365,Revisión!$A$2:$L$703,11,FALSE)</f>
        <v>#N/A</v>
      </c>
      <c r="N1365" s="30" t="str">
        <f>IF(E1365="Coinciden",D1365,IF(E1365="Revisar",VLOOKUP(A1365,Revisión!$A$2:$L$703,12,FALSE),""))</f>
        <v>Miconia ciliata</v>
      </c>
    </row>
    <row r="1366" spans="1:14" x14ac:dyDescent="0.3">
      <c r="A1366" t="s">
        <v>2818</v>
      </c>
      <c r="E1366" t="s">
        <v>8</v>
      </c>
      <c r="F1366" t="s">
        <v>11</v>
      </c>
      <c r="H1366" s="23" t="e">
        <f>VLOOKUP(A1366,Revisión!$A$2:$L$703,6,FALSE)</f>
        <v>#N/A</v>
      </c>
      <c r="I1366" s="4" t="e">
        <f>VLOOKUP(A1366,Revisión!$A$2:$L$703,7,FALSE)</f>
        <v>#N/A</v>
      </c>
      <c r="J1366" s="4" t="e">
        <f>VLOOKUP(A1366,Revisión!$A$2:$L$703,8,FALSE)</f>
        <v>#N/A</v>
      </c>
      <c r="K1366" s="4" t="e">
        <f>VLOOKUP(A1366,Revisión!$A$2:$L$703,9,FALSE)</f>
        <v>#N/A</v>
      </c>
      <c r="L1366" s="4" t="e">
        <f>VLOOKUP(A1366,Revisión!$A$2:$L$703,10,FALSE)</f>
        <v>#N/A</v>
      </c>
      <c r="M1366" s="18" t="e">
        <f>VLOOKUP(A1366,Revisión!$A$2:$L$703,11,FALSE)</f>
        <v>#N/A</v>
      </c>
      <c r="N1366" s="30" t="e">
        <f>IF(E1366="Coinciden",D1366,IF(E1366="Revisar",VLOOKUP(A1366,Revisión!$A$2:$L$703,12,FALSE),""))</f>
        <v>#N/A</v>
      </c>
    </row>
    <row r="1367" spans="1:14" x14ac:dyDescent="0.3">
      <c r="A1367" t="s">
        <v>2819</v>
      </c>
      <c r="B1367" t="s">
        <v>2820</v>
      </c>
      <c r="C1367" t="s">
        <v>2820</v>
      </c>
      <c r="D1367" t="s">
        <v>2820</v>
      </c>
      <c r="E1367" t="s">
        <v>18</v>
      </c>
      <c r="F1367" t="s">
        <v>19</v>
      </c>
      <c r="H1367" s="23" t="e">
        <f>VLOOKUP(A1367,Revisión!$A$2:$L$703,6,FALSE)</f>
        <v>#N/A</v>
      </c>
      <c r="I1367" s="4" t="e">
        <f>VLOOKUP(A1367,Revisión!$A$2:$L$703,7,FALSE)</f>
        <v>#N/A</v>
      </c>
      <c r="J1367" s="4" t="e">
        <f>VLOOKUP(A1367,Revisión!$A$2:$L$703,8,FALSE)</f>
        <v>#N/A</v>
      </c>
      <c r="K1367" s="4" t="e">
        <f>VLOOKUP(A1367,Revisión!$A$2:$L$703,9,FALSE)</f>
        <v>#N/A</v>
      </c>
      <c r="L1367" s="4" t="e">
        <f>VLOOKUP(A1367,Revisión!$A$2:$L$703,10,FALSE)</f>
        <v>#N/A</v>
      </c>
      <c r="M1367" s="18" t="e">
        <f>VLOOKUP(A1367,Revisión!$A$2:$L$703,11,FALSE)</f>
        <v>#N/A</v>
      </c>
      <c r="N1367" s="30" t="str">
        <f>IF(E1367="Coinciden",D1367,IF(E1367="Revisar",VLOOKUP(A1367,Revisión!$A$2:$L$703,12,FALSE),""))</f>
        <v>Miconia striata</v>
      </c>
    </row>
    <row r="1368" spans="1:14" x14ac:dyDescent="0.3">
      <c r="A1368" t="s">
        <v>2821</v>
      </c>
      <c r="B1368" t="s">
        <v>2822</v>
      </c>
      <c r="C1368" t="s">
        <v>2822</v>
      </c>
      <c r="D1368" t="s">
        <v>2822</v>
      </c>
      <c r="E1368" t="s">
        <v>18</v>
      </c>
      <c r="F1368" t="s">
        <v>19</v>
      </c>
      <c r="H1368" s="23" t="e">
        <f>VLOOKUP(A1368,Revisión!$A$2:$L$703,6,FALSE)</f>
        <v>#N/A</v>
      </c>
      <c r="I1368" s="4" t="e">
        <f>VLOOKUP(A1368,Revisión!$A$2:$L$703,7,FALSE)</f>
        <v>#N/A</v>
      </c>
      <c r="J1368" s="4" t="e">
        <f>VLOOKUP(A1368,Revisión!$A$2:$L$703,8,FALSE)</f>
        <v>#N/A</v>
      </c>
      <c r="K1368" s="4" t="e">
        <f>VLOOKUP(A1368,Revisión!$A$2:$L$703,9,FALSE)</f>
        <v>#N/A</v>
      </c>
      <c r="L1368" s="4" t="e">
        <f>VLOOKUP(A1368,Revisión!$A$2:$L$703,10,FALSE)</f>
        <v>#N/A</v>
      </c>
      <c r="M1368" s="18" t="e">
        <f>VLOOKUP(A1368,Revisión!$A$2:$L$703,11,FALSE)</f>
        <v>#N/A</v>
      </c>
      <c r="N1368" s="30" t="str">
        <f>IF(E1368="Coinciden",D1368,IF(E1368="Revisar",VLOOKUP(A1368,Revisión!$A$2:$L$703,12,FALSE),""))</f>
        <v>Microseris lanceolata</v>
      </c>
    </row>
    <row r="1369" spans="1:14" x14ac:dyDescent="0.3">
      <c r="A1369" t="s">
        <v>2823</v>
      </c>
      <c r="C1369" t="s">
        <v>2824</v>
      </c>
      <c r="D1369" t="s">
        <v>2824</v>
      </c>
      <c r="E1369" t="s">
        <v>8</v>
      </c>
      <c r="F1369" t="s">
        <v>49</v>
      </c>
      <c r="H1369" s="23" t="str">
        <f>VLOOKUP(A1369,Revisión!$A$2:$L$703,6,FALSE)</f>
        <v>Mikania psilostachya</v>
      </c>
      <c r="I1369" s="4" t="str">
        <f>VLOOKUP(A1369,Revisión!$A$2:$L$703,7,FALSE)</f>
        <v>-</v>
      </c>
      <c r="J1369" s="4" t="str">
        <f>VLOOKUP(A1369,Revisión!$A$2:$L$703,8,FALSE)</f>
        <v>Mikania psilostachya</v>
      </c>
      <c r="K1369" s="4" t="str">
        <f>VLOOKUP(A1369,Revisión!$A$2:$L$703,9,FALSE)</f>
        <v>Mikania psilostachya</v>
      </c>
      <c r="L1369" s="4" t="str">
        <f>VLOOKUP(A1369,Revisión!$A$2:$L$703,10,FALSE)</f>
        <v>Mikania psilostachya</v>
      </c>
      <c r="M1369" s="18">
        <f>VLOOKUP(A1369,Revisión!$A$2:$L$703,11,FALSE)</f>
        <v>4</v>
      </c>
      <c r="N1369" s="30" t="str">
        <f>IF(E1369="Coinciden",D1369,IF(E1369="Revisar",VLOOKUP(A1369,Revisión!$A$2:$L$703,12,FALSE),""))</f>
        <v>Mikania psilostachya</v>
      </c>
    </row>
    <row r="1370" spans="1:14" x14ac:dyDescent="0.3">
      <c r="A1370" t="s">
        <v>2825</v>
      </c>
      <c r="B1370" t="s">
        <v>2826</v>
      </c>
      <c r="C1370" t="s">
        <v>2826</v>
      </c>
      <c r="D1370" t="s">
        <v>2826</v>
      </c>
      <c r="E1370" t="s">
        <v>18</v>
      </c>
      <c r="F1370" t="s">
        <v>19</v>
      </c>
      <c r="H1370" s="23" t="e">
        <f>VLOOKUP(A1370,Revisión!$A$2:$L$703,6,FALSE)</f>
        <v>#N/A</v>
      </c>
      <c r="I1370" s="4" t="e">
        <f>VLOOKUP(A1370,Revisión!$A$2:$L$703,7,FALSE)</f>
        <v>#N/A</v>
      </c>
      <c r="J1370" s="4" t="e">
        <f>VLOOKUP(A1370,Revisión!$A$2:$L$703,8,FALSE)</f>
        <v>#N/A</v>
      </c>
      <c r="K1370" s="4" t="e">
        <f>VLOOKUP(A1370,Revisión!$A$2:$L$703,9,FALSE)</f>
        <v>#N/A</v>
      </c>
      <c r="L1370" s="4" t="e">
        <f>VLOOKUP(A1370,Revisión!$A$2:$L$703,10,FALSE)</f>
        <v>#N/A</v>
      </c>
      <c r="M1370" s="18" t="e">
        <f>VLOOKUP(A1370,Revisión!$A$2:$L$703,11,FALSE)</f>
        <v>#N/A</v>
      </c>
      <c r="N1370" s="30" t="str">
        <f>IF(E1370="Coinciden",D1370,IF(E1370="Revisar",VLOOKUP(A1370,Revisión!$A$2:$L$703,12,FALSE),""))</f>
        <v>Mikania micrantha</v>
      </c>
    </row>
    <row r="1371" spans="1:14" x14ac:dyDescent="0.3">
      <c r="A1371" t="s">
        <v>2827</v>
      </c>
      <c r="B1371" t="s">
        <v>2828</v>
      </c>
      <c r="C1371" t="s">
        <v>2828</v>
      </c>
      <c r="D1371" t="s">
        <v>2828</v>
      </c>
      <c r="E1371" t="s">
        <v>18</v>
      </c>
      <c r="F1371" t="s">
        <v>19</v>
      </c>
      <c r="H1371" s="23" t="e">
        <f>VLOOKUP(A1371,Revisión!$A$2:$L$703,6,FALSE)</f>
        <v>#N/A</v>
      </c>
      <c r="I1371" s="4" t="e">
        <f>VLOOKUP(A1371,Revisión!$A$2:$L$703,7,FALSE)</f>
        <v>#N/A</v>
      </c>
      <c r="J1371" s="4" t="e">
        <f>VLOOKUP(A1371,Revisión!$A$2:$L$703,8,FALSE)</f>
        <v>#N/A</v>
      </c>
      <c r="K1371" s="4" t="e">
        <f>VLOOKUP(A1371,Revisión!$A$2:$L$703,9,FALSE)</f>
        <v>#N/A</v>
      </c>
      <c r="L1371" s="4" t="e">
        <f>VLOOKUP(A1371,Revisión!$A$2:$L$703,10,FALSE)</f>
        <v>#N/A</v>
      </c>
      <c r="M1371" s="18" t="e">
        <f>VLOOKUP(A1371,Revisión!$A$2:$L$703,11,FALSE)</f>
        <v>#N/A</v>
      </c>
      <c r="N1371" s="30" t="str">
        <f>IF(E1371="Coinciden",D1371,IF(E1371="Revisar",VLOOKUP(A1371,Revisión!$A$2:$L$703,12,FALSE),""))</f>
        <v>Mimosa casta</v>
      </c>
    </row>
    <row r="1372" spans="1:14" x14ac:dyDescent="0.3">
      <c r="A1372" t="s">
        <v>2829</v>
      </c>
      <c r="B1372" t="s">
        <v>2830</v>
      </c>
      <c r="C1372" t="s">
        <v>2830</v>
      </c>
      <c r="D1372" t="s">
        <v>2830</v>
      </c>
      <c r="E1372" t="s">
        <v>18</v>
      </c>
      <c r="F1372" t="s">
        <v>19</v>
      </c>
      <c r="H1372" s="23" t="e">
        <f>VLOOKUP(A1372,Revisión!$A$2:$L$703,6,FALSE)</f>
        <v>#N/A</v>
      </c>
      <c r="I1372" s="4" t="e">
        <f>VLOOKUP(A1372,Revisión!$A$2:$L$703,7,FALSE)</f>
        <v>#N/A</v>
      </c>
      <c r="J1372" s="4" t="e">
        <f>VLOOKUP(A1372,Revisión!$A$2:$L$703,8,FALSE)</f>
        <v>#N/A</v>
      </c>
      <c r="K1372" s="4" t="e">
        <f>VLOOKUP(A1372,Revisión!$A$2:$L$703,9,FALSE)</f>
        <v>#N/A</v>
      </c>
      <c r="L1372" s="4" t="e">
        <f>VLOOKUP(A1372,Revisión!$A$2:$L$703,10,FALSE)</f>
        <v>#N/A</v>
      </c>
      <c r="M1372" s="18" t="e">
        <f>VLOOKUP(A1372,Revisión!$A$2:$L$703,11,FALSE)</f>
        <v>#N/A</v>
      </c>
      <c r="N1372" s="30" t="str">
        <f>IF(E1372="Coinciden",D1372,IF(E1372="Revisar",VLOOKUP(A1372,Revisión!$A$2:$L$703,12,FALSE),""))</f>
        <v>Mimosa camporum</v>
      </c>
    </row>
    <row r="1373" spans="1:14" x14ac:dyDescent="0.3">
      <c r="A1373" t="s">
        <v>2831</v>
      </c>
      <c r="B1373" t="s">
        <v>2832</v>
      </c>
      <c r="C1373" t="s">
        <v>2832</v>
      </c>
      <c r="D1373" t="s">
        <v>2832</v>
      </c>
      <c r="E1373" t="s">
        <v>18</v>
      </c>
      <c r="F1373" t="s">
        <v>19</v>
      </c>
      <c r="H1373" s="23" t="e">
        <f>VLOOKUP(A1373,Revisión!$A$2:$L$703,6,FALSE)</f>
        <v>#N/A</v>
      </c>
      <c r="I1373" s="4" t="e">
        <f>VLOOKUP(A1373,Revisión!$A$2:$L$703,7,FALSE)</f>
        <v>#N/A</v>
      </c>
      <c r="J1373" s="4" t="e">
        <f>VLOOKUP(A1373,Revisión!$A$2:$L$703,8,FALSE)</f>
        <v>#N/A</v>
      </c>
      <c r="K1373" s="4" t="e">
        <f>VLOOKUP(A1373,Revisión!$A$2:$L$703,9,FALSE)</f>
        <v>#N/A</v>
      </c>
      <c r="L1373" s="4" t="e">
        <f>VLOOKUP(A1373,Revisión!$A$2:$L$703,10,FALSE)</f>
        <v>#N/A</v>
      </c>
      <c r="M1373" s="18" t="e">
        <f>VLOOKUP(A1373,Revisión!$A$2:$L$703,11,FALSE)</f>
        <v>#N/A</v>
      </c>
      <c r="N1373" s="30" t="str">
        <f>IF(E1373="Coinciden",D1373,IF(E1373="Revisar",VLOOKUP(A1373,Revisión!$A$2:$L$703,12,FALSE),""))</f>
        <v>Mimosa pudica</v>
      </c>
    </row>
    <row r="1374" spans="1:14" x14ac:dyDescent="0.3">
      <c r="A1374" t="s">
        <v>2833</v>
      </c>
      <c r="B1374" t="s">
        <v>2834</v>
      </c>
      <c r="C1374" t="s">
        <v>2834</v>
      </c>
      <c r="D1374" t="s">
        <v>2834</v>
      </c>
      <c r="E1374" t="s">
        <v>18</v>
      </c>
      <c r="F1374" t="s">
        <v>19</v>
      </c>
      <c r="H1374" s="23" t="e">
        <f>VLOOKUP(A1374,Revisión!$A$2:$L$703,6,FALSE)</f>
        <v>#N/A</v>
      </c>
      <c r="I1374" s="4" t="e">
        <f>VLOOKUP(A1374,Revisión!$A$2:$L$703,7,FALSE)</f>
        <v>#N/A</v>
      </c>
      <c r="J1374" s="4" t="e">
        <f>VLOOKUP(A1374,Revisión!$A$2:$L$703,8,FALSE)</f>
        <v>#N/A</v>
      </c>
      <c r="K1374" s="4" t="e">
        <f>VLOOKUP(A1374,Revisión!$A$2:$L$703,9,FALSE)</f>
        <v>#N/A</v>
      </c>
      <c r="L1374" s="4" t="e">
        <f>VLOOKUP(A1374,Revisión!$A$2:$L$703,10,FALSE)</f>
        <v>#N/A</v>
      </c>
      <c r="M1374" s="18" t="e">
        <f>VLOOKUP(A1374,Revisión!$A$2:$L$703,11,FALSE)</f>
        <v>#N/A</v>
      </c>
      <c r="N1374" s="30" t="str">
        <f>IF(E1374="Coinciden",D1374,IF(E1374="Revisar",VLOOKUP(A1374,Revisión!$A$2:$L$703,12,FALSE),""))</f>
        <v>Mimosa tandilensis</v>
      </c>
    </row>
    <row r="1375" spans="1:14" x14ac:dyDescent="0.3">
      <c r="A1375" t="s">
        <v>2835</v>
      </c>
      <c r="B1375" t="s">
        <v>2836</v>
      </c>
      <c r="C1375" t="s">
        <v>2836</v>
      </c>
      <c r="D1375" t="s">
        <v>2836</v>
      </c>
      <c r="E1375" t="s">
        <v>18</v>
      </c>
      <c r="F1375" t="s">
        <v>19</v>
      </c>
      <c r="H1375" s="23" t="e">
        <f>VLOOKUP(A1375,Revisión!$A$2:$L$703,6,FALSE)</f>
        <v>#N/A</v>
      </c>
      <c r="I1375" s="4" t="e">
        <f>VLOOKUP(A1375,Revisión!$A$2:$L$703,7,FALSE)</f>
        <v>#N/A</v>
      </c>
      <c r="J1375" s="4" t="e">
        <f>VLOOKUP(A1375,Revisión!$A$2:$L$703,8,FALSE)</f>
        <v>#N/A</v>
      </c>
      <c r="K1375" s="4" t="e">
        <f>VLOOKUP(A1375,Revisión!$A$2:$L$703,9,FALSE)</f>
        <v>#N/A</v>
      </c>
      <c r="L1375" s="4" t="e">
        <f>VLOOKUP(A1375,Revisión!$A$2:$L$703,10,FALSE)</f>
        <v>#N/A</v>
      </c>
      <c r="M1375" s="18" t="e">
        <f>VLOOKUP(A1375,Revisión!$A$2:$L$703,11,FALSE)</f>
        <v>#N/A</v>
      </c>
      <c r="N1375" s="30" t="str">
        <f>IF(E1375="Coinciden",D1375,IF(E1375="Revisar",VLOOKUP(A1375,Revisión!$A$2:$L$703,12,FALSE),""))</f>
        <v>Mimulus alatus</v>
      </c>
    </row>
    <row r="1376" spans="1:14" x14ac:dyDescent="0.3">
      <c r="A1376" t="s">
        <v>2837</v>
      </c>
      <c r="B1376" t="s">
        <v>2838</v>
      </c>
      <c r="C1376" t="s">
        <v>2838</v>
      </c>
      <c r="D1376" t="s">
        <v>2838</v>
      </c>
      <c r="E1376" t="s">
        <v>18</v>
      </c>
      <c r="F1376" t="s">
        <v>19</v>
      </c>
      <c r="H1376" s="23" t="e">
        <f>VLOOKUP(A1376,Revisión!$A$2:$L$703,6,FALSE)</f>
        <v>#N/A</v>
      </c>
      <c r="I1376" s="4" t="e">
        <f>VLOOKUP(A1376,Revisión!$A$2:$L$703,7,FALSE)</f>
        <v>#N/A</v>
      </c>
      <c r="J1376" s="4" t="e">
        <f>VLOOKUP(A1376,Revisión!$A$2:$L$703,8,FALSE)</f>
        <v>#N/A</v>
      </c>
      <c r="K1376" s="4" t="e">
        <f>VLOOKUP(A1376,Revisión!$A$2:$L$703,9,FALSE)</f>
        <v>#N/A</v>
      </c>
      <c r="L1376" s="4" t="e">
        <f>VLOOKUP(A1376,Revisión!$A$2:$L$703,10,FALSE)</f>
        <v>#N/A</v>
      </c>
      <c r="M1376" s="18" t="e">
        <f>VLOOKUP(A1376,Revisión!$A$2:$L$703,11,FALSE)</f>
        <v>#N/A</v>
      </c>
      <c r="N1376" s="30" t="str">
        <f>IF(E1376="Coinciden",D1376,IF(E1376="Revisar",VLOOKUP(A1376,Revisión!$A$2:$L$703,12,FALSE),""))</f>
        <v>Mimulus ringens</v>
      </c>
    </row>
    <row r="1377" spans="1:14" x14ac:dyDescent="0.3">
      <c r="A1377" t="s">
        <v>2839</v>
      </c>
      <c r="E1377" t="s">
        <v>8</v>
      </c>
      <c r="F1377" t="s">
        <v>11</v>
      </c>
      <c r="H1377" s="23" t="e">
        <f>VLOOKUP(A1377,Revisión!$A$2:$L$703,6,FALSE)</f>
        <v>#N/A</v>
      </c>
      <c r="I1377" s="4" t="e">
        <f>VLOOKUP(A1377,Revisión!$A$2:$L$703,7,FALSE)</f>
        <v>#N/A</v>
      </c>
      <c r="J1377" s="4" t="e">
        <f>VLOOKUP(A1377,Revisión!$A$2:$L$703,8,FALSE)</f>
        <v>#N/A</v>
      </c>
      <c r="K1377" s="4" t="e">
        <f>VLOOKUP(A1377,Revisión!$A$2:$L$703,9,FALSE)</f>
        <v>#N/A</v>
      </c>
      <c r="L1377" s="4" t="e">
        <f>VLOOKUP(A1377,Revisión!$A$2:$L$703,10,FALSE)</f>
        <v>#N/A</v>
      </c>
      <c r="M1377" s="18" t="e">
        <f>VLOOKUP(A1377,Revisión!$A$2:$L$703,11,FALSE)</f>
        <v>#N/A</v>
      </c>
      <c r="N1377" s="30" t="e">
        <f>IF(E1377="Coinciden",D1377,IF(E1377="Revisar",VLOOKUP(A1377,Revisión!$A$2:$L$703,12,FALSE),""))</f>
        <v>#N/A</v>
      </c>
    </row>
    <row r="1378" spans="1:14" x14ac:dyDescent="0.3">
      <c r="A1378" t="s">
        <v>2840</v>
      </c>
      <c r="B1378" t="s">
        <v>2841</v>
      </c>
      <c r="C1378" t="s">
        <v>2841</v>
      </c>
      <c r="D1378" t="s">
        <v>2841</v>
      </c>
      <c r="E1378" t="s">
        <v>18</v>
      </c>
      <c r="F1378" t="s">
        <v>19</v>
      </c>
      <c r="H1378" s="23" t="e">
        <f>VLOOKUP(A1378,Revisión!$A$2:$L$703,6,FALSE)</f>
        <v>#N/A</v>
      </c>
      <c r="I1378" s="4" t="e">
        <f>VLOOKUP(A1378,Revisión!$A$2:$L$703,7,FALSE)</f>
        <v>#N/A</v>
      </c>
      <c r="J1378" s="4" t="e">
        <f>VLOOKUP(A1378,Revisión!$A$2:$L$703,8,FALSE)</f>
        <v>#N/A</v>
      </c>
      <c r="K1378" s="4" t="e">
        <f>VLOOKUP(A1378,Revisión!$A$2:$L$703,9,FALSE)</f>
        <v>#N/A</v>
      </c>
      <c r="L1378" s="4" t="e">
        <f>VLOOKUP(A1378,Revisión!$A$2:$L$703,10,FALSE)</f>
        <v>#N/A</v>
      </c>
      <c r="M1378" s="18" t="e">
        <f>VLOOKUP(A1378,Revisión!$A$2:$L$703,11,FALSE)</f>
        <v>#N/A</v>
      </c>
      <c r="N1378" s="30" t="str">
        <f>IF(E1378="Coinciden",D1378,IF(E1378="Revisar",VLOOKUP(A1378,Revisión!$A$2:$L$703,12,FALSE),""))</f>
        <v>Mimusops sechellarum</v>
      </c>
    </row>
    <row r="1379" spans="1:14" x14ac:dyDescent="0.3">
      <c r="A1379" t="s">
        <v>2842</v>
      </c>
      <c r="B1379" t="s">
        <v>2843</v>
      </c>
      <c r="D1379" t="s">
        <v>2843</v>
      </c>
      <c r="E1379" t="s">
        <v>8</v>
      </c>
      <c r="F1379" t="s">
        <v>34</v>
      </c>
      <c r="H1379" s="23" t="str">
        <f>VLOOKUP(A1379,Revisión!$A$2:$L$703,6,FALSE)</f>
        <v>Mimusops erythroxylon</v>
      </c>
      <c r="I1379" s="4" t="str">
        <f>VLOOKUP(A1379,Revisión!$A$2:$L$703,7,FALSE)</f>
        <v>-</v>
      </c>
      <c r="J1379" s="4" t="str">
        <f>VLOOKUP(A1379,Revisión!$A$2:$L$703,8,FALSE)</f>
        <v>Mimusops erythroxylon</v>
      </c>
      <c r="K1379" s="4" t="str">
        <f>VLOOKUP(A1379,Revisión!$A$2:$L$703,9,FALSE)</f>
        <v>Mimusops erythroxylon</v>
      </c>
      <c r="L1379" s="4" t="str">
        <f>VLOOKUP(A1379,Revisión!$A$2:$L$703,10,FALSE)</f>
        <v>Mimusops erythroxylon</v>
      </c>
      <c r="M1379" s="18">
        <f>VLOOKUP(A1379,Revisión!$A$2:$L$703,11,FALSE)</f>
        <v>4</v>
      </c>
      <c r="N1379" s="30" t="str">
        <f>IF(E1379="Coinciden",D1379,IF(E1379="Revisar",VLOOKUP(A1379,Revisión!$A$2:$L$703,12,FALSE),""))</f>
        <v>Mimusops erythroxylon</v>
      </c>
    </row>
    <row r="1380" spans="1:14" x14ac:dyDescent="0.3">
      <c r="A1380" t="s">
        <v>2844</v>
      </c>
      <c r="B1380" t="s">
        <v>2845</v>
      </c>
      <c r="C1380" t="s">
        <v>2845</v>
      </c>
      <c r="D1380" t="s">
        <v>2845</v>
      </c>
      <c r="E1380" t="s">
        <v>18</v>
      </c>
      <c r="F1380" t="s">
        <v>19</v>
      </c>
      <c r="H1380" s="23" t="e">
        <f>VLOOKUP(A1380,Revisión!$A$2:$L$703,6,FALSE)</f>
        <v>#N/A</v>
      </c>
      <c r="I1380" s="4" t="e">
        <f>VLOOKUP(A1380,Revisión!$A$2:$L$703,7,FALSE)</f>
        <v>#N/A</v>
      </c>
      <c r="J1380" s="4" t="e">
        <f>VLOOKUP(A1380,Revisión!$A$2:$L$703,8,FALSE)</f>
        <v>#N/A</v>
      </c>
      <c r="K1380" s="4" t="e">
        <f>VLOOKUP(A1380,Revisión!$A$2:$L$703,9,FALSE)</f>
        <v>#N/A</v>
      </c>
      <c r="L1380" s="4" t="e">
        <f>VLOOKUP(A1380,Revisión!$A$2:$L$703,10,FALSE)</f>
        <v>#N/A</v>
      </c>
      <c r="M1380" s="18" t="e">
        <f>VLOOKUP(A1380,Revisión!$A$2:$L$703,11,FALSE)</f>
        <v>#N/A</v>
      </c>
      <c r="N1380" s="30" t="str">
        <f>IF(E1380="Coinciden",D1380,IF(E1380="Revisar",VLOOKUP(A1380,Revisión!$A$2:$L$703,12,FALSE),""))</f>
        <v>Mirabilis jalapa</v>
      </c>
    </row>
    <row r="1381" spans="1:14" x14ac:dyDescent="0.3">
      <c r="A1381" t="s">
        <v>2846</v>
      </c>
      <c r="B1381" t="s">
        <v>2847</v>
      </c>
      <c r="C1381" t="s">
        <v>2847</v>
      </c>
      <c r="D1381" t="s">
        <v>2847</v>
      </c>
      <c r="E1381" t="s">
        <v>18</v>
      </c>
      <c r="F1381" t="s">
        <v>19</v>
      </c>
      <c r="H1381" s="23" t="e">
        <f>VLOOKUP(A1381,Revisión!$A$2:$L$703,6,FALSE)</f>
        <v>#N/A</v>
      </c>
      <c r="I1381" s="4" t="e">
        <f>VLOOKUP(A1381,Revisión!$A$2:$L$703,7,FALSE)</f>
        <v>#N/A</v>
      </c>
      <c r="J1381" s="4" t="e">
        <f>VLOOKUP(A1381,Revisión!$A$2:$L$703,8,FALSE)</f>
        <v>#N/A</v>
      </c>
      <c r="K1381" s="4" t="e">
        <f>VLOOKUP(A1381,Revisión!$A$2:$L$703,9,FALSE)</f>
        <v>#N/A</v>
      </c>
      <c r="L1381" s="4" t="e">
        <f>VLOOKUP(A1381,Revisión!$A$2:$L$703,10,FALSE)</f>
        <v>#N/A</v>
      </c>
      <c r="M1381" s="18" t="e">
        <f>VLOOKUP(A1381,Revisión!$A$2:$L$703,11,FALSE)</f>
        <v>#N/A</v>
      </c>
      <c r="N1381" s="30" t="str">
        <f>IF(E1381="Coinciden",D1381,IF(E1381="Revisar",VLOOKUP(A1381,Revisión!$A$2:$L$703,12,FALSE),""))</f>
        <v>Miraglossum verticillare</v>
      </c>
    </row>
    <row r="1382" spans="1:14" x14ac:dyDescent="0.3">
      <c r="A1382" t="s">
        <v>2848</v>
      </c>
      <c r="B1382" t="s">
        <v>2849</v>
      </c>
      <c r="C1382" t="s">
        <v>2849</v>
      </c>
      <c r="D1382" t="s">
        <v>2849</v>
      </c>
      <c r="E1382" t="s">
        <v>18</v>
      </c>
      <c r="F1382" t="s">
        <v>19</v>
      </c>
      <c r="H1382" s="23" t="e">
        <f>VLOOKUP(A1382,Revisión!$A$2:$L$703,6,FALSE)</f>
        <v>#N/A</v>
      </c>
      <c r="I1382" s="4" t="e">
        <f>VLOOKUP(A1382,Revisión!$A$2:$L$703,7,FALSE)</f>
        <v>#N/A</v>
      </c>
      <c r="J1382" s="4" t="e">
        <f>VLOOKUP(A1382,Revisión!$A$2:$L$703,8,FALSE)</f>
        <v>#N/A</v>
      </c>
      <c r="K1382" s="4" t="e">
        <f>VLOOKUP(A1382,Revisión!$A$2:$L$703,9,FALSE)</f>
        <v>#N/A</v>
      </c>
      <c r="L1382" s="4" t="e">
        <f>VLOOKUP(A1382,Revisión!$A$2:$L$703,10,FALSE)</f>
        <v>#N/A</v>
      </c>
      <c r="M1382" s="18" t="e">
        <f>VLOOKUP(A1382,Revisión!$A$2:$L$703,11,FALSE)</f>
        <v>#N/A</v>
      </c>
      <c r="N1382" s="30" t="str">
        <f>IF(E1382="Coinciden",D1382,IF(E1382="Revisar",VLOOKUP(A1382,Revisión!$A$2:$L$703,12,FALSE),""))</f>
        <v>Miraglossum pilosum</v>
      </c>
    </row>
    <row r="1383" spans="1:14" x14ac:dyDescent="0.3">
      <c r="A1383" t="s">
        <v>2850</v>
      </c>
      <c r="B1383" t="s">
        <v>2851</v>
      </c>
      <c r="C1383" t="s">
        <v>2851</v>
      </c>
      <c r="D1383" t="s">
        <v>2851</v>
      </c>
      <c r="E1383" t="s">
        <v>18</v>
      </c>
      <c r="F1383" t="s">
        <v>19</v>
      </c>
      <c r="H1383" s="23" t="e">
        <f>VLOOKUP(A1383,Revisión!$A$2:$L$703,6,FALSE)</f>
        <v>#N/A</v>
      </c>
      <c r="I1383" s="4" t="e">
        <f>VLOOKUP(A1383,Revisión!$A$2:$L$703,7,FALSE)</f>
        <v>#N/A</v>
      </c>
      <c r="J1383" s="4" t="e">
        <f>VLOOKUP(A1383,Revisión!$A$2:$L$703,8,FALSE)</f>
        <v>#N/A</v>
      </c>
      <c r="K1383" s="4" t="e">
        <f>VLOOKUP(A1383,Revisión!$A$2:$L$703,9,FALSE)</f>
        <v>#N/A</v>
      </c>
      <c r="L1383" s="4" t="e">
        <f>VLOOKUP(A1383,Revisión!$A$2:$L$703,10,FALSE)</f>
        <v>#N/A</v>
      </c>
      <c r="M1383" s="18" t="e">
        <f>VLOOKUP(A1383,Revisión!$A$2:$L$703,11,FALSE)</f>
        <v>#N/A</v>
      </c>
      <c r="N1383" s="30" t="str">
        <f>IF(E1383="Coinciden",D1383,IF(E1383="Revisar",VLOOKUP(A1383,Revisión!$A$2:$L$703,12,FALSE),""))</f>
        <v>Mitraria coccinea</v>
      </c>
    </row>
    <row r="1384" spans="1:14" x14ac:dyDescent="0.3">
      <c r="A1384" t="s">
        <v>2852</v>
      </c>
      <c r="B1384" t="s">
        <v>2853</v>
      </c>
      <c r="C1384" t="s">
        <v>2853</v>
      </c>
      <c r="D1384" t="s">
        <v>2853</v>
      </c>
      <c r="E1384" t="s">
        <v>18</v>
      </c>
      <c r="F1384" t="s">
        <v>19</v>
      </c>
      <c r="H1384" s="23" t="e">
        <f>VLOOKUP(A1384,Revisión!$A$2:$L$703,6,FALSE)</f>
        <v>#N/A</v>
      </c>
      <c r="I1384" s="4" t="e">
        <f>VLOOKUP(A1384,Revisión!$A$2:$L$703,7,FALSE)</f>
        <v>#N/A</v>
      </c>
      <c r="J1384" s="4" t="e">
        <f>VLOOKUP(A1384,Revisión!$A$2:$L$703,8,FALSE)</f>
        <v>#N/A</v>
      </c>
      <c r="K1384" s="4" t="e">
        <f>VLOOKUP(A1384,Revisión!$A$2:$L$703,9,FALSE)</f>
        <v>#N/A</v>
      </c>
      <c r="L1384" s="4" t="e">
        <f>VLOOKUP(A1384,Revisión!$A$2:$L$703,10,FALSE)</f>
        <v>#N/A</v>
      </c>
      <c r="M1384" s="18" t="e">
        <f>VLOOKUP(A1384,Revisión!$A$2:$L$703,11,FALSE)</f>
        <v>#N/A</v>
      </c>
      <c r="N1384" s="30" t="str">
        <f>IF(E1384="Coinciden",D1384,IF(E1384="Revisar",VLOOKUP(A1384,Revisión!$A$2:$L$703,12,FALSE),""))</f>
        <v>Moehringia lateriflora</v>
      </c>
    </row>
    <row r="1385" spans="1:14" x14ac:dyDescent="0.3">
      <c r="A1385" t="s">
        <v>2854</v>
      </c>
      <c r="B1385" t="s">
        <v>2855</v>
      </c>
      <c r="C1385" t="s">
        <v>2855</v>
      </c>
      <c r="D1385" t="s">
        <v>2855</v>
      </c>
      <c r="E1385" t="s">
        <v>18</v>
      </c>
      <c r="F1385" t="s">
        <v>19</v>
      </c>
      <c r="H1385" s="23" t="e">
        <f>VLOOKUP(A1385,Revisión!$A$2:$L$703,6,FALSE)</f>
        <v>#N/A</v>
      </c>
      <c r="I1385" s="4" t="e">
        <f>VLOOKUP(A1385,Revisión!$A$2:$L$703,7,FALSE)</f>
        <v>#N/A</v>
      </c>
      <c r="J1385" s="4" t="e">
        <f>VLOOKUP(A1385,Revisión!$A$2:$L$703,8,FALSE)</f>
        <v>#N/A</v>
      </c>
      <c r="K1385" s="4" t="e">
        <f>VLOOKUP(A1385,Revisión!$A$2:$L$703,9,FALSE)</f>
        <v>#N/A</v>
      </c>
      <c r="L1385" s="4" t="e">
        <f>VLOOKUP(A1385,Revisión!$A$2:$L$703,10,FALSE)</f>
        <v>#N/A</v>
      </c>
      <c r="M1385" s="18" t="e">
        <f>VLOOKUP(A1385,Revisión!$A$2:$L$703,11,FALSE)</f>
        <v>#N/A</v>
      </c>
      <c r="N1385" s="30" t="str">
        <f>IF(E1385="Coinciden",D1385,IF(E1385="Revisar",VLOOKUP(A1385,Revisión!$A$2:$L$703,12,FALSE),""))</f>
        <v>Molinaea macrantha</v>
      </c>
    </row>
    <row r="1386" spans="1:14" x14ac:dyDescent="0.3">
      <c r="A1386" t="s">
        <v>2856</v>
      </c>
      <c r="B1386" t="s">
        <v>2857</v>
      </c>
      <c r="C1386" t="s">
        <v>2857</v>
      </c>
      <c r="D1386" t="s">
        <v>2857</v>
      </c>
      <c r="E1386" t="s">
        <v>18</v>
      </c>
      <c r="F1386" t="s">
        <v>19</v>
      </c>
      <c r="H1386" s="23" t="e">
        <f>VLOOKUP(A1386,Revisión!$A$2:$L$703,6,FALSE)</f>
        <v>#N/A</v>
      </c>
      <c r="I1386" s="4" t="e">
        <f>VLOOKUP(A1386,Revisión!$A$2:$L$703,7,FALSE)</f>
        <v>#N/A</v>
      </c>
      <c r="J1386" s="4" t="e">
        <f>VLOOKUP(A1386,Revisión!$A$2:$L$703,8,FALSE)</f>
        <v>#N/A</v>
      </c>
      <c r="K1386" s="4" t="e">
        <f>VLOOKUP(A1386,Revisión!$A$2:$L$703,9,FALSE)</f>
        <v>#N/A</v>
      </c>
      <c r="L1386" s="4" t="e">
        <f>VLOOKUP(A1386,Revisión!$A$2:$L$703,10,FALSE)</f>
        <v>#N/A</v>
      </c>
      <c r="M1386" s="18" t="e">
        <f>VLOOKUP(A1386,Revisión!$A$2:$L$703,11,FALSE)</f>
        <v>#N/A</v>
      </c>
      <c r="N1386" s="30" t="str">
        <f>IF(E1386="Coinciden",D1386,IF(E1386="Revisar",VLOOKUP(A1386,Revisión!$A$2:$L$703,12,FALSE),""))</f>
        <v>Molinaea alternifolia</v>
      </c>
    </row>
    <row r="1387" spans="1:14" x14ac:dyDescent="0.3">
      <c r="A1387" t="s">
        <v>2858</v>
      </c>
      <c r="B1387" t="s">
        <v>2859</v>
      </c>
      <c r="D1387" t="s">
        <v>2859</v>
      </c>
      <c r="E1387" t="s">
        <v>8</v>
      </c>
      <c r="F1387" t="s">
        <v>34</v>
      </c>
      <c r="H1387" s="23" t="str">
        <f>VLOOKUP(A1387,Revisión!$A$2:$L$703,6,FALSE)</f>
        <v>Mollugo verticillata</v>
      </c>
      <c r="I1387" s="4" t="str">
        <f>VLOOKUP(A1387,Revisión!$A$2:$L$703,7,FALSE)</f>
        <v>-</v>
      </c>
      <c r="J1387" s="4" t="str">
        <f>VLOOKUP(A1387,Revisión!$A$2:$L$703,8,FALSE)</f>
        <v>Mollugo verticillata</v>
      </c>
      <c r="K1387" s="4" t="str">
        <f>VLOOKUP(A1387,Revisión!$A$2:$L$703,9,FALSE)</f>
        <v>Mollugo verticillata</v>
      </c>
      <c r="L1387" s="4" t="str">
        <f>VLOOKUP(A1387,Revisión!$A$2:$L$703,10,FALSE)</f>
        <v>Mollugo verticillata</v>
      </c>
      <c r="M1387" s="18">
        <f>VLOOKUP(A1387,Revisión!$A$2:$L$703,11,FALSE)</f>
        <v>5</v>
      </c>
      <c r="N1387" s="30" t="str">
        <f>IF(E1387="Coinciden",D1387,IF(E1387="Revisar",VLOOKUP(A1387,Revisión!$A$2:$L$703,12,FALSE),""))</f>
        <v>Mollugo verticillata</v>
      </c>
    </row>
    <row r="1388" spans="1:14" x14ac:dyDescent="0.3">
      <c r="A1388" t="s">
        <v>2860</v>
      </c>
      <c r="B1388" t="s">
        <v>2861</v>
      </c>
      <c r="C1388" t="s">
        <v>2861</v>
      </c>
      <c r="D1388" t="s">
        <v>2861</v>
      </c>
      <c r="E1388" t="s">
        <v>18</v>
      </c>
      <c r="F1388" t="s">
        <v>19</v>
      </c>
      <c r="H1388" s="23" t="e">
        <f>VLOOKUP(A1388,Revisión!$A$2:$L$703,6,FALSE)</f>
        <v>#N/A</v>
      </c>
      <c r="I1388" s="4" t="e">
        <f>VLOOKUP(A1388,Revisión!$A$2:$L$703,7,FALSE)</f>
        <v>#N/A</v>
      </c>
      <c r="J1388" s="4" t="e">
        <f>VLOOKUP(A1388,Revisión!$A$2:$L$703,8,FALSE)</f>
        <v>#N/A</v>
      </c>
      <c r="K1388" s="4" t="e">
        <f>VLOOKUP(A1388,Revisión!$A$2:$L$703,9,FALSE)</f>
        <v>#N/A</v>
      </c>
      <c r="L1388" s="4" t="e">
        <f>VLOOKUP(A1388,Revisión!$A$2:$L$703,10,FALSE)</f>
        <v>#N/A</v>
      </c>
      <c r="M1388" s="18" t="e">
        <f>VLOOKUP(A1388,Revisión!$A$2:$L$703,11,FALSE)</f>
        <v>#N/A</v>
      </c>
      <c r="N1388" s="30" t="str">
        <f>IF(E1388="Coinciden",D1388,IF(E1388="Revisar",VLOOKUP(A1388,Revisión!$A$2:$L$703,12,FALSE),""))</f>
        <v>Momordica charantia</v>
      </c>
    </row>
    <row r="1389" spans="1:14" x14ac:dyDescent="0.3">
      <c r="A1389" t="s">
        <v>2862</v>
      </c>
      <c r="B1389" t="s">
        <v>2863</v>
      </c>
      <c r="C1389" t="s">
        <v>2864</v>
      </c>
      <c r="D1389" t="s">
        <v>2864</v>
      </c>
      <c r="E1389" t="s">
        <v>8</v>
      </c>
      <c r="F1389" t="s">
        <v>23</v>
      </c>
      <c r="H1389" s="23" t="str">
        <f>VLOOKUP(A1389,Revisión!$A$2:$L$703,6,FALSE)</f>
        <v>Monarda bradburiana</v>
      </c>
      <c r="I1389" s="4" t="str">
        <f>VLOOKUP(A1389,Revisión!$A$2:$L$703,7,FALSE)</f>
        <v>-</v>
      </c>
      <c r="J1389" s="4" t="str">
        <f>VLOOKUP(A1389,Revisión!$A$2:$L$703,8,FALSE)</f>
        <v>Monarda bradburyana</v>
      </c>
      <c r="K1389" s="4" t="str">
        <f>VLOOKUP(A1389,Revisión!$A$2:$L$703,9,FALSE)</f>
        <v>Monarda bradburiana</v>
      </c>
      <c r="L1389" s="4" t="str">
        <f>VLOOKUP(A1389,Revisión!$A$2:$L$703,10,FALSE)</f>
        <v>Monarda bradburiana</v>
      </c>
      <c r="M1389" s="18">
        <f>VLOOKUP(A1389,Revisión!$A$2:$L$703,11,FALSE)</f>
        <v>3</v>
      </c>
      <c r="N1389" s="30" t="str">
        <f>IF(E1389="Coinciden",D1389,IF(E1389="Revisar",VLOOKUP(A1389,Revisión!$A$2:$L$703,12,FALSE),""))</f>
        <v>Monarda bradburiana</v>
      </c>
    </row>
    <row r="1390" spans="1:14" x14ac:dyDescent="0.3">
      <c r="A1390" t="s">
        <v>2865</v>
      </c>
      <c r="B1390" t="s">
        <v>2866</v>
      </c>
      <c r="C1390" t="s">
        <v>2866</v>
      </c>
      <c r="D1390" t="s">
        <v>2866</v>
      </c>
      <c r="E1390" t="s">
        <v>18</v>
      </c>
      <c r="F1390" t="s">
        <v>19</v>
      </c>
      <c r="H1390" s="23" t="e">
        <f>VLOOKUP(A1390,Revisión!$A$2:$L$703,6,FALSE)</f>
        <v>#N/A</v>
      </c>
      <c r="I1390" s="4" t="e">
        <f>VLOOKUP(A1390,Revisión!$A$2:$L$703,7,FALSE)</f>
        <v>#N/A</v>
      </c>
      <c r="J1390" s="4" t="e">
        <f>VLOOKUP(A1390,Revisión!$A$2:$L$703,8,FALSE)</f>
        <v>#N/A</v>
      </c>
      <c r="K1390" s="4" t="e">
        <f>VLOOKUP(A1390,Revisión!$A$2:$L$703,9,FALSE)</f>
        <v>#N/A</v>
      </c>
      <c r="L1390" s="4" t="e">
        <f>VLOOKUP(A1390,Revisión!$A$2:$L$703,10,FALSE)</f>
        <v>#N/A</v>
      </c>
      <c r="M1390" s="18" t="e">
        <f>VLOOKUP(A1390,Revisión!$A$2:$L$703,11,FALSE)</f>
        <v>#N/A</v>
      </c>
      <c r="N1390" s="30" t="str">
        <f>IF(E1390="Coinciden",D1390,IF(E1390="Revisar",VLOOKUP(A1390,Revisión!$A$2:$L$703,12,FALSE),""))</f>
        <v>Monarda fistulosa</v>
      </c>
    </row>
    <row r="1391" spans="1:14" x14ac:dyDescent="0.3">
      <c r="A1391" t="s">
        <v>2867</v>
      </c>
      <c r="B1391" t="s">
        <v>2868</v>
      </c>
      <c r="C1391" t="s">
        <v>2868</v>
      </c>
      <c r="D1391" t="s">
        <v>2868</v>
      </c>
      <c r="E1391" t="s">
        <v>18</v>
      </c>
      <c r="F1391" t="s">
        <v>19</v>
      </c>
      <c r="H1391" s="23" t="e">
        <f>VLOOKUP(A1391,Revisión!$A$2:$L$703,6,FALSE)</f>
        <v>#N/A</v>
      </c>
      <c r="I1391" s="4" t="e">
        <f>VLOOKUP(A1391,Revisión!$A$2:$L$703,7,FALSE)</f>
        <v>#N/A</v>
      </c>
      <c r="J1391" s="4" t="e">
        <f>VLOOKUP(A1391,Revisión!$A$2:$L$703,8,FALSE)</f>
        <v>#N/A</v>
      </c>
      <c r="K1391" s="4" t="e">
        <f>VLOOKUP(A1391,Revisión!$A$2:$L$703,9,FALSE)</f>
        <v>#N/A</v>
      </c>
      <c r="L1391" s="4" t="e">
        <f>VLOOKUP(A1391,Revisión!$A$2:$L$703,10,FALSE)</f>
        <v>#N/A</v>
      </c>
      <c r="M1391" s="18" t="e">
        <f>VLOOKUP(A1391,Revisión!$A$2:$L$703,11,FALSE)</f>
        <v>#N/A</v>
      </c>
      <c r="N1391" s="30" t="str">
        <f>IF(E1391="Coinciden",D1391,IF(E1391="Revisar",VLOOKUP(A1391,Revisión!$A$2:$L$703,12,FALSE),""))</f>
        <v>Eugenia kanakana</v>
      </c>
    </row>
    <row r="1392" spans="1:14" x14ac:dyDescent="0.3">
      <c r="A1392" t="s">
        <v>2869</v>
      </c>
      <c r="B1392" t="s">
        <v>2870</v>
      </c>
      <c r="C1392" t="s">
        <v>2870</v>
      </c>
      <c r="D1392" t="s">
        <v>2870</v>
      </c>
      <c r="E1392" t="s">
        <v>18</v>
      </c>
      <c r="F1392" t="s">
        <v>19</v>
      </c>
      <c r="H1392" s="23" t="e">
        <f>VLOOKUP(A1392,Revisión!$A$2:$L$703,6,FALSE)</f>
        <v>#N/A</v>
      </c>
      <c r="I1392" s="4" t="e">
        <f>VLOOKUP(A1392,Revisión!$A$2:$L$703,7,FALSE)</f>
        <v>#N/A</v>
      </c>
      <c r="J1392" s="4" t="e">
        <f>VLOOKUP(A1392,Revisión!$A$2:$L$703,8,FALSE)</f>
        <v>#N/A</v>
      </c>
      <c r="K1392" s="4" t="e">
        <f>VLOOKUP(A1392,Revisión!$A$2:$L$703,9,FALSE)</f>
        <v>#N/A</v>
      </c>
      <c r="L1392" s="4" t="e">
        <f>VLOOKUP(A1392,Revisión!$A$2:$L$703,10,FALSE)</f>
        <v>#N/A</v>
      </c>
      <c r="M1392" s="18" t="e">
        <f>VLOOKUP(A1392,Revisión!$A$2:$L$703,11,FALSE)</f>
        <v>#N/A</v>
      </c>
      <c r="N1392" s="30" t="str">
        <f>IF(E1392="Coinciden",D1392,IF(E1392="Revisar",VLOOKUP(A1392,Revisión!$A$2:$L$703,12,FALSE),""))</f>
        <v>Pontederia korsakowii</v>
      </c>
    </row>
    <row r="1393" spans="1:14" x14ac:dyDescent="0.3">
      <c r="A1393" t="s">
        <v>2871</v>
      </c>
      <c r="B1393" t="s">
        <v>2872</v>
      </c>
      <c r="C1393" t="s">
        <v>2872</v>
      </c>
      <c r="D1393" t="s">
        <v>2872</v>
      </c>
      <c r="E1393" t="s">
        <v>18</v>
      </c>
      <c r="F1393" t="s">
        <v>19</v>
      </c>
      <c r="H1393" s="23" t="e">
        <f>VLOOKUP(A1393,Revisión!$A$2:$L$703,6,FALSE)</f>
        <v>#N/A</v>
      </c>
      <c r="I1393" s="4" t="e">
        <f>VLOOKUP(A1393,Revisión!$A$2:$L$703,7,FALSE)</f>
        <v>#N/A</v>
      </c>
      <c r="J1393" s="4" t="e">
        <f>VLOOKUP(A1393,Revisión!$A$2:$L$703,8,FALSE)</f>
        <v>#N/A</v>
      </c>
      <c r="K1393" s="4" t="e">
        <f>VLOOKUP(A1393,Revisión!$A$2:$L$703,9,FALSE)</f>
        <v>#N/A</v>
      </c>
      <c r="L1393" s="4" t="e">
        <f>VLOOKUP(A1393,Revisión!$A$2:$L$703,10,FALSE)</f>
        <v>#N/A</v>
      </c>
      <c r="M1393" s="18" t="e">
        <f>VLOOKUP(A1393,Revisión!$A$2:$L$703,11,FALSE)</f>
        <v>#N/A</v>
      </c>
      <c r="N1393" s="30" t="str">
        <f>IF(E1393="Coinciden",D1393,IF(E1393="Revisar",VLOOKUP(A1393,Revisión!$A$2:$L$703,12,FALSE),""))</f>
        <v>Pontederia vaginalis</v>
      </c>
    </row>
    <row r="1394" spans="1:14" x14ac:dyDescent="0.3">
      <c r="A1394" t="s">
        <v>2873</v>
      </c>
      <c r="B1394" t="s">
        <v>2874</v>
      </c>
      <c r="C1394" t="s">
        <v>2874</v>
      </c>
      <c r="D1394" t="s">
        <v>2874</v>
      </c>
      <c r="E1394" t="s">
        <v>18</v>
      </c>
      <c r="F1394" t="s">
        <v>19</v>
      </c>
      <c r="H1394" s="23" t="e">
        <f>VLOOKUP(A1394,Revisión!$A$2:$L$703,6,FALSE)</f>
        <v>#N/A</v>
      </c>
      <c r="I1394" s="4" t="e">
        <f>VLOOKUP(A1394,Revisión!$A$2:$L$703,7,FALSE)</f>
        <v>#N/A</v>
      </c>
      <c r="J1394" s="4" t="e">
        <f>VLOOKUP(A1394,Revisión!$A$2:$L$703,8,FALSE)</f>
        <v>#N/A</v>
      </c>
      <c r="K1394" s="4" t="e">
        <f>VLOOKUP(A1394,Revisión!$A$2:$L$703,9,FALSE)</f>
        <v>#N/A</v>
      </c>
      <c r="L1394" s="4" t="e">
        <f>VLOOKUP(A1394,Revisión!$A$2:$L$703,10,FALSE)</f>
        <v>#N/A</v>
      </c>
      <c r="M1394" s="18" t="e">
        <f>VLOOKUP(A1394,Revisión!$A$2:$L$703,11,FALSE)</f>
        <v>#N/A</v>
      </c>
      <c r="N1394" s="30" t="str">
        <f>IF(E1394="Coinciden",D1394,IF(E1394="Revisar",VLOOKUP(A1394,Revisión!$A$2:$L$703,12,FALSE),""))</f>
        <v>Montiopsis gilliesii</v>
      </c>
    </row>
    <row r="1395" spans="1:14" x14ac:dyDescent="0.3">
      <c r="A1395" t="s">
        <v>2875</v>
      </c>
      <c r="C1395" t="s">
        <v>2876</v>
      </c>
      <c r="D1395" t="s">
        <v>2876</v>
      </c>
      <c r="E1395" t="s">
        <v>8</v>
      </c>
      <c r="F1395" t="s">
        <v>49</v>
      </c>
      <c r="H1395" s="23" t="str">
        <f>VLOOKUP(A1395,Revisión!$A$2:$L$703,6,FALSE)</f>
        <v>Montrichardia arborescens</v>
      </c>
      <c r="I1395" s="4" t="str">
        <f>VLOOKUP(A1395,Revisión!$A$2:$L$703,7,FALSE)</f>
        <v>-</v>
      </c>
      <c r="J1395" s="4" t="str">
        <f>VLOOKUP(A1395,Revisión!$A$2:$L$703,8,FALSE)</f>
        <v>Montrichardia arborescens</v>
      </c>
      <c r="K1395" s="4" t="str">
        <f>VLOOKUP(A1395,Revisión!$A$2:$L$703,9,FALSE)</f>
        <v>Montrichardia arborescens</v>
      </c>
      <c r="L1395" s="4" t="str">
        <f>VLOOKUP(A1395,Revisión!$A$2:$L$703,10,FALSE)</f>
        <v>Montrichardia arborescens</v>
      </c>
      <c r="M1395" s="18">
        <f>VLOOKUP(A1395,Revisión!$A$2:$L$703,11,FALSE)</f>
        <v>5</v>
      </c>
      <c r="N1395" s="30" t="str">
        <f>IF(E1395="Coinciden",D1395,IF(E1395="Revisar",VLOOKUP(A1395,Revisión!$A$2:$L$703,12,FALSE),""))</f>
        <v>Montrichardia arborescens</v>
      </c>
    </row>
    <row r="1396" spans="1:14" x14ac:dyDescent="0.3">
      <c r="A1396" t="s">
        <v>2877</v>
      </c>
      <c r="B1396" t="s">
        <v>2878</v>
      </c>
      <c r="C1396" t="s">
        <v>2878</v>
      </c>
      <c r="D1396" t="s">
        <v>2878</v>
      </c>
      <c r="E1396" t="s">
        <v>18</v>
      </c>
      <c r="F1396" t="s">
        <v>19</v>
      </c>
      <c r="H1396" s="23" t="e">
        <f>VLOOKUP(A1396,Revisión!$A$2:$L$703,6,FALSE)</f>
        <v>#N/A</v>
      </c>
      <c r="I1396" s="4" t="e">
        <f>VLOOKUP(A1396,Revisión!$A$2:$L$703,7,FALSE)</f>
        <v>#N/A</v>
      </c>
      <c r="J1396" s="4" t="e">
        <f>VLOOKUP(A1396,Revisión!$A$2:$L$703,8,FALSE)</f>
        <v>#N/A</v>
      </c>
      <c r="K1396" s="4" t="e">
        <f>VLOOKUP(A1396,Revisión!$A$2:$L$703,9,FALSE)</f>
        <v>#N/A</v>
      </c>
      <c r="L1396" s="4" t="e">
        <f>VLOOKUP(A1396,Revisión!$A$2:$L$703,10,FALSE)</f>
        <v>#N/A</v>
      </c>
      <c r="M1396" s="18" t="e">
        <f>VLOOKUP(A1396,Revisión!$A$2:$L$703,11,FALSE)</f>
        <v>#N/A</v>
      </c>
      <c r="N1396" s="30" t="str">
        <f>IF(E1396="Coinciden",D1396,IF(E1396="Revisar",VLOOKUP(A1396,Revisión!$A$2:$L$703,12,FALSE),""))</f>
        <v>Morinda citrifolia</v>
      </c>
    </row>
    <row r="1397" spans="1:14" x14ac:dyDescent="0.3">
      <c r="A1397" t="s">
        <v>2879</v>
      </c>
      <c r="B1397" t="s">
        <v>2880</v>
      </c>
      <c r="C1397" t="s">
        <v>2881</v>
      </c>
      <c r="D1397" t="s">
        <v>2881</v>
      </c>
      <c r="E1397" t="s">
        <v>8</v>
      </c>
      <c r="F1397" t="s">
        <v>23</v>
      </c>
      <c r="H1397" s="23" t="str">
        <f>VLOOKUP(A1397,Revisión!$A$2:$L$703,6,FALSE)</f>
        <v>Gynochthodes umbellata</v>
      </c>
      <c r="I1397" s="4" t="str">
        <f>VLOOKUP(A1397,Revisión!$A$2:$L$703,7,FALSE)</f>
        <v>-</v>
      </c>
      <c r="J1397" s="4" t="str">
        <f>VLOOKUP(A1397,Revisión!$A$2:$L$703,8,FALSE)</f>
        <v>Gynochthodes umbellata</v>
      </c>
      <c r="K1397" s="4" t="str">
        <f>VLOOKUP(A1397,Revisión!$A$2:$L$703,9,FALSE)</f>
        <v>Gynochthodes umbellata</v>
      </c>
      <c r="L1397" s="4" t="str">
        <f>VLOOKUP(A1397,Revisión!$A$2:$L$703,10,FALSE)</f>
        <v>Gynochthodes umbellata</v>
      </c>
      <c r="M1397" s="18">
        <f>VLOOKUP(A1397,Revisión!$A$2:$L$703,11,FALSE)</f>
        <v>5</v>
      </c>
      <c r="N1397" s="30" t="str">
        <f>IF(E1397="Coinciden",D1397,IF(E1397="Revisar",VLOOKUP(A1397,Revisión!$A$2:$L$703,12,FALSE),""))</f>
        <v>Gynochthodes umbellata</v>
      </c>
    </row>
    <row r="1398" spans="1:14" x14ac:dyDescent="0.3">
      <c r="A1398" t="s">
        <v>2882</v>
      </c>
      <c r="B1398" t="s">
        <v>2883</v>
      </c>
      <c r="C1398" t="s">
        <v>2883</v>
      </c>
      <c r="D1398" t="s">
        <v>2883</v>
      </c>
      <c r="E1398" t="s">
        <v>18</v>
      </c>
      <c r="F1398" t="s">
        <v>19</v>
      </c>
      <c r="H1398" s="23" t="e">
        <f>VLOOKUP(A1398,Revisión!$A$2:$L$703,6,FALSE)</f>
        <v>#N/A</v>
      </c>
      <c r="I1398" s="4" t="e">
        <f>VLOOKUP(A1398,Revisión!$A$2:$L$703,7,FALSE)</f>
        <v>#N/A</v>
      </c>
      <c r="J1398" s="4" t="e">
        <f>VLOOKUP(A1398,Revisión!$A$2:$L$703,8,FALSE)</f>
        <v>#N/A</v>
      </c>
      <c r="K1398" s="4" t="e">
        <f>VLOOKUP(A1398,Revisión!$A$2:$L$703,9,FALSE)</f>
        <v>#N/A</v>
      </c>
      <c r="L1398" s="4" t="e">
        <f>VLOOKUP(A1398,Revisión!$A$2:$L$703,10,FALSE)</f>
        <v>#N/A</v>
      </c>
      <c r="M1398" s="18" t="e">
        <f>VLOOKUP(A1398,Revisión!$A$2:$L$703,11,FALSE)</f>
        <v>#N/A</v>
      </c>
      <c r="N1398" s="30" t="str">
        <f>IF(E1398="Coinciden",D1398,IF(E1398="Revisar",VLOOKUP(A1398,Revisión!$A$2:$L$703,12,FALSE),""))</f>
        <v>Morinda royoc</v>
      </c>
    </row>
    <row r="1399" spans="1:14" x14ac:dyDescent="0.3">
      <c r="A1399" t="s">
        <v>2884</v>
      </c>
      <c r="C1399" t="s">
        <v>2861</v>
      </c>
      <c r="D1399" t="s">
        <v>2861</v>
      </c>
      <c r="E1399" t="s">
        <v>8</v>
      </c>
      <c r="F1399" t="s">
        <v>49</v>
      </c>
      <c r="H1399" s="23" t="str">
        <f>VLOOKUP(A1399,Revisión!$A$2:$L$703,6,FALSE)</f>
        <v>Momordica charantia</v>
      </c>
      <c r="I1399" s="4" t="str">
        <f>VLOOKUP(A1399,Revisión!$A$2:$L$703,7,FALSE)</f>
        <v>-</v>
      </c>
      <c r="J1399" s="4" t="str">
        <f>VLOOKUP(A1399,Revisión!$A$2:$L$703,8,FALSE)</f>
        <v>Momordica charantia</v>
      </c>
      <c r="K1399" s="4" t="str">
        <f>VLOOKUP(A1399,Revisión!$A$2:$L$703,9,FALSE)</f>
        <v>Momordica charantia</v>
      </c>
      <c r="L1399" s="4" t="str">
        <f>VLOOKUP(A1399,Revisión!$A$2:$L$703,10,FALSE)</f>
        <v>Momordica charantia</v>
      </c>
      <c r="M1399" s="18">
        <f>VLOOKUP(A1399,Revisión!$A$2:$L$703,11,FALSE)</f>
        <v>5</v>
      </c>
      <c r="N1399" s="30" t="str">
        <f>IF(E1399="Coinciden",D1399,IF(E1399="Revisar",VLOOKUP(A1399,Revisión!$A$2:$L$703,12,FALSE),""))</f>
        <v>Momordica charantia</v>
      </c>
    </row>
    <row r="1400" spans="1:14" x14ac:dyDescent="0.3">
      <c r="A1400" t="s">
        <v>2885</v>
      </c>
      <c r="B1400" t="s">
        <v>2886</v>
      </c>
      <c r="C1400" t="s">
        <v>2886</v>
      </c>
      <c r="D1400" t="s">
        <v>2886</v>
      </c>
      <c r="E1400" t="s">
        <v>18</v>
      </c>
      <c r="F1400" t="s">
        <v>19</v>
      </c>
      <c r="H1400" s="23" t="e">
        <f>VLOOKUP(A1400,Revisión!$A$2:$L$703,6,FALSE)</f>
        <v>#N/A</v>
      </c>
      <c r="I1400" s="4" t="e">
        <f>VLOOKUP(A1400,Revisión!$A$2:$L$703,7,FALSE)</f>
        <v>#N/A</v>
      </c>
      <c r="J1400" s="4" t="e">
        <f>VLOOKUP(A1400,Revisión!$A$2:$L$703,8,FALSE)</f>
        <v>#N/A</v>
      </c>
      <c r="K1400" s="4" t="e">
        <f>VLOOKUP(A1400,Revisión!$A$2:$L$703,9,FALSE)</f>
        <v>#N/A</v>
      </c>
      <c r="L1400" s="4" t="e">
        <f>VLOOKUP(A1400,Revisión!$A$2:$L$703,10,FALSE)</f>
        <v>#N/A</v>
      </c>
      <c r="M1400" s="18" t="e">
        <f>VLOOKUP(A1400,Revisión!$A$2:$L$703,11,FALSE)</f>
        <v>#N/A</v>
      </c>
      <c r="N1400" s="30" t="str">
        <f>IF(E1400="Coinciden",D1400,IF(E1400="Revisar",VLOOKUP(A1400,Revisión!$A$2:$L$703,12,FALSE),""))</f>
        <v>Mosla dianthera</v>
      </c>
    </row>
    <row r="1401" spans="1:14" x14ac:dyDescent="0.3">
      <c r="A1401" t="s">
        <v>2887</v>
      </c>
      <c r="B1401" t="s">
        <v>2888</v>
      </c>
      <c r="C1401" t="s">
        <v>2888</v>
      </c>
      <c r="D1401" t="s">
        <v>2888</v>
      </c>
      <c r="E1401" t="s">
        <v>18</v>
      </c>
      <c r="F1401" t="s">
        <v>19</v>
      </c>
      <c r="H1401" s="23" t="e">
        <f>VLOOKUP(A1401,Revisión!$A$2:$L$703,6,FALSE)</f>
        <v>#N/A</v>
      </c>
      <c r="I1401" s="4" t="e">
        <f>VLOOKUP(A1401,Revisión!$A$2:$L$703,7,FALSE)</f>
        <v>#N/A</v>
      </c>
      <c r="J1401" s="4" t="e">
        <f>VLOOKUP(A1401,Revisión!$A$2:$L$703,8,FALSE)</f>
        <v>#N/A</v>
      </c>
      <c r="K1401" s="4" t="e">
        <f>VLOOKUP(A1401,Revisión!$A$2:$L$703,9,FALSE)</f>
        <v>#N/A</v>
      </c>
      <c r="L1401" s="4" t="e">
        <f>VLOOKUP(A1401,Revisión!$A$2:$L$703,10,FALSE)</f>
        <v>#N/A</v>
      </c>
      <c r="M1401" s="18" t="e">
        <f>VLOOKUP(A1401,Revisión!$A$2:$L$703,11,FALSE)</f>
        <v>#N/A</v>
      </c>
      <c r="N1401" s="30" t="str">
        <f>IF(E1401="Coinciden",D1401,IF(E1401="Revisar",VLOOKUP(A1401,Revisión!$A$2:$L$703,12,FALSE),""))</f>
        <v>Muehlenbeckia complexa</v>
      </c>
    </row>
    <row r="1402" spans="1:14" x14ac:dyDescent="0.3">
      <c r="A1402" t="s">
        <v>2889</v>
      </c>
      <c r="B1402" t="s">
        <v>2890</v>
      </c>
      <c r="C1402" t="s">
        <v>2890</v>
      </c>
      <c r="E1402" t="s">
        <v>8</v>
      </c>
      <c r="F1402" t="s">
        <v>323</v>
      </c>
      <c r="H1402" s="23" t="str">
        <f>VLOOKUP(A1402,Revisión!$A$2:$L$703,6,FALSE)</f>
        <v>Muehlenbeckia axillaris</v>
      </c>
      <c r="I1402" s="4" t="str">
        <f>VLOOKUP(A1402,Revisión!$A$2:$L$703,7,FALSE)</f>
        <v>-</v>
      </c>
      <c r="J1402" s="4" t="str">
        <f>VLOOKUP(A1402,Revisión!$A$2:$L$703,8,FALSE)</f>
        <v>Muehlenbeckia axillaris</v>
      </c>
      <c r="K1402" s="4" t="str">
        <f>VLOOKUP(A1402,Revisión!$A$2:$L$703,9,FALSE)</f>
        <v>Muehlenbeckia axillaris</v>
      </c>
      <c r="L1402" s="4" t="str">
        <f>VLOOKUP(A1402,Revisión!$A$2:$L$703,10,FALSE)</f>
        <v>Muehlenbeckia axillaris</v>
      </c>
      <c r="M1402" s="18">
        <f>VLOOKUP(A1402,Revisión!$A$2:$L$703,11,FALSE)</f>
        <v>5</v>
      </c>
      <c r="N1402" s="30" t="str">
        <f>IF(E1402="Coinciden",D1402,IF(E1402="Revisar",VLOOKUP(A1402,Revisión!$A$2:$L$703,12,FALSE),""))</f>
        <v>Muehlenbeckia axillaris</v>
      </c>
    </row>
    <row r="1403" spans="1:14" x14ac:dyDescent="0.3">
      <c r="A1403" t="s">
        <v>2891</v>
      </c>
      <c r="B1403" t="s">
        <v>2892</v>
      </c>
      <c r="C1403" t="s">
        <v>2892</v>
      </c>
      <c r="D1403" t="s">
        <v>2892</v>
      </c>
      <c r="E1403" t="s">
        <v>18</v>
      </c>
      <c r="F1403" t="s">
        <v>19</v>
      </c>
      <c r="H1403" s="23" t="e">
        <f>VLOOKUP(A1403,Revisión!$A$2:$L$703,6,FALSE)</f>
        <v>#N/A</v>
      </c>
      <c r="I1403" s="4" t="e">
        <f>VLOOKUP(A1403,Revisión!$A$2:$L$703,7,FALSE)</f>
        <v>#N/A</v>
      </c>
      <c r="J1403" s="4" t="e">
        <f>VLOOKUP(A1403,Revisión!$A$2:$L$703,8,FALSE)</f>
        <v>#N/A</v>
      </c>
      <c r="K1403" s="4" t="e">
        <f>VLOOKUP(A1403,Revisión!$A$2:$L$703,9,FALSE)</f>
        <v>#N/A</v>
      </c>
      <c r="L1403" s="4" t="e">
        <f>VLOOKUP(A1403,Revisión!$A$2:$L$703,10,FALSE)</f>
        <v>#N/A</v>
      </c>
      <c r="M1403" s="18" t="e">
        <f>VLOOKUP(A1403,Revisión!$A$2:$L$703,11,FALSE)</f>
        <v>#N/A</v>
      </c>
      <c r="N1403" s="30" t="str">
        <f>IF(E1403="Coinciden",D1403,IF(E1403="Revisar",VLOOKUP(A1403,Revisión!$A$2:$L$703,12,FALSE),""))</f>
        <v>Azorella prolifera</v>
      </c>
    </row>
    <row r="1404" spans="1:14" x14ac:dyDescent="0.3">
      <c r="A1404" t="s">
        <v>2893</v>
      </c>
      <c r="B1404" t="s">
        <v>2894</v>
      </c>
      <c r="C1404" t="s">
        <v>2894</v>
      </c>
      <c r="D1404" t="s">
        <v>2894</v>
      </c>
      <c r="E1404" t="s">
        <v>18</v>
      </c>
      <c r="F1404" t="s">
        <v>19</v>
      </c>
      <c r="H1404" s="23" t="e">
        <f>VLOOKUP(A1404,Revisión!$A$2:$L$703,6,FALSE)</f>
        <v>#N/A</v>
      </c>
      <c r="I1404" s="4" t="e">
        <f>VLOOKUP(A1404,Revisión!$A$2:$L$703,7,FALSE)</f>
        <v>#N/A</v>
      </c>
      <c r="J1404" s="4" t="e">
        <f>VLOOKUP(A1404,Revisión!$A$2:$L$703,8,FALSE)</f>
        <v>#N/A</v>
      </c>
      <c r="K1404" s="4" t="e">
        <f>VLOOKUP(A1404,Revisión!$A$2:$L$703,9,FALSE)</f>
        <v>#N/A</v>
      </c>
      <c r="L1404" s="4" t="e">
        <f>VLOOKUP(A1404,Revisión!$A$2:$L$703,10,FALSE)</f>
        <v>#N/A</v>
      </c>
      <c r="M1404" s="18" t="e">
        <f>VLOOKUP(A1404,Revisión!$A$2:$L$703,11,FALSE)</f>
        <v>#N/A</v>
      </c>
      <c r="N1404" s="30" t="str">
        <f>IF(E1404="Coinciden",D1404,IF(E1404="Revisar",VLOOKUP(A1404,Revisión!$A$2:$L$703,12,FALSE),""))</f>
        <v>Murdannia keisak</v>
      </c>
    </row>
    <row r="1405" spans="1:14" x14ac:dyDescent="0.3">
      <c r="A1405" t="s">
        <v>2895</v>
      </c>
      <c r="B1405" t="s">
        <v>2896</v>
      </c>
      <c r="C1405" t="s">
        <v>2896</v>
      </c>
      <c r="D1405" t="s">
        <v>2896</v>
      </c>
      <c r="E1405" t="s">
        <v>18</v>
      </c>
      <c r="F1405" t="s">
        <v>19</v>
      </c>
      <c r="H1405" s="23" t="e">
        <f>VLOOKUP(A1405,Revisión!$A$2:$L$703,6,FALSE)</f>
        <v>#N/A</v>
      </c>
      <c r="I1405" s="4" t="e">
        <f>VLOOKUP(A1405,Revisión!$A$2:$L$703,7,FALSE)</f>
        <v>#N/A</v>
      </c>
      <c r="J1405" s="4" t="e">
        <f>VLOOKUP(A1405,Revisión!$A$2:$L$703,8,FALSE)</f>
        <v>#N/A</v>
      </c>
      <c r="K1405" s="4" t="e">
        <f>VLOOKUP(A1405,Revisión!$A$2:$L$703,9,FALSE)</f>
        <v>#N/A</v>
      </c>
      <c r="L1405" s="4" t="e">
        <f>VLOOKUP(A1405,Revisión!$A$2:$L$703,10,FALSE)</f>
        <v>#N/A</v>
      </c>
      <c r="M1405" s="18" t="e">
        <f>VLOOKUP(A1405,Revisión!$A$2:$L$703,11,FALSE)</f>
        <v>#N/A</v>
      </c>
      <c r="N1405" s="30" t="str">
        <f>IF(E1405="Coinciden",D1405,IF(E1405="Revisar",VLOOKUP(A1405,Revisión!$A$2:$L$703,12,FALSE),""))</f>
        <v>Musa balbisiana</v>
      </c>
    </row>
    <row r="1406" spans="1:14" x14ac:dyDescent="0.3">
      <c r="A1406" t="s">
        <v>2897</v>
      </c>
      <c r="D1406" t="s">
        <v>2898</v>
      </c>
      <c r="E1406" t="s">
        <v>8</v>
      </c>
      <c r="F1406" t="s">
        <v>9</v>
      </c>
      <c r="H1406" s="23" t="str">
        <f>VLOOKUP(A1406,Revisión!$A$2:$L$703,6,FALSE)</f>
        <v>Mussaenda parviflora</v>
      </c>
      <c r="I1406" s="4" t="str">
        <f>VLOOKUP(A1406,Revisión!$A$2:$L$703,7,FALSE)</f>
        <v>-</v>
      </c>
      <c r="J1406" s="4" t="str">
        <f>VLOOKUP(A1406,Revisión!$A$2:$L$703,8,FALSE)</f>
        <v>Mussaenda parviflora</v>
      </c>
      <c r="K1406" s="4" t="str">
        <f>VLOOKUP(A1406,Revisión!$A$2:$L$703,9,FALSE)</f>
        <v>Mussaenda parviflora</v>
      </c>
      <c r="L1406" s="4" t="str">
        <f>VLOOKUP(A1406,Revisión!$A$2:$L$703,10,FALSE)</f>
        <v>Mussaenda parviflora</v>
      </c>
      <c r="M1406" s="18">
        <f>VLOOKUP(A1406,Revisión!$A$2:$L$703,11,FALSE)</f>
        <v>5</v>
      </c>
      <c r="N1406" s="30" t="str">
        <f>IF(E1406="Coinciden",D1406,IF(E1406="Revisar",VLOOKUP(A1406,Revisión!$A$2:$L$703,12,FALSE),""))</f>
        <v>Mussaenda parviflora</v>
      </c>
    </row>
    <row r="1407" spans="1:14" x14ac:dyDescent="0.3">
      <c r="A1407" t="s">
        <v>2899</v>
      </c>
      <c r="B1407" t="s">
        <v>2900</v>
      </c>
      <c r="C1407" t="s">
        <v>2900</v>
      </c>
      <c r="D1407" t="s">
        <v>2900</v>
      </c>
      <c r="E1407" t="s">
        <v>18</v>
      </c>
      <c r="F1407" t="s">
        <v>19</v>
      </c>
      <c r="H1407" s="23" t="e">
        <f>VLOOKUP(A1407,Revisión!$A$2:$L$703,6,FALSE)</f>
        <v>#N/A</v>
      </c>
      <c r="I1407" s="4" t="e">
        <f>VLOOKUP(A1407,Revisión!$A$2:$L$703,7,FALSE)</f>
        <v>#N/A</v>
      </c>
      <c r="J1407" s="4" t="e">
        <f>VLOOKUP(A1407,Revisión!$A$2:$L$703,8,FALSE)</f>
        <v>#N/A</v>
      </c>
      <c r="K1407" s="4" t="e">
        <f>VLOOKUP(A1407,Revisión!$A$2:$L$703,9,FALSE)</f>
        <v>#N/A</v>
      </c>
      <c r="L1407" s="4" t="e">
        <f>VLOOKUP(A1407,Revisión!$A$2:$L$703,10,FALSE)</f>
        <v>#N/A</v>
      </c>
      <c r="M1407" s="18" t="e">
        <f>VLOOKUP(A1407,Revisión!$A$2:$L$703,11,FALSE)</f>
        <v>#N/A</v>
      </c>
      <c r="N1407" s="30" t="str">
        <f>IF(E1407="Coinciden",D1407,IF(E1407="Revisar",VLOOKUP(A1407,Revisión!$A$2:$L$703,12,FALSE),""))</f>
        <v>Muscari comosum</v>
      </c>
    </row>
    <row r="1408" spans="1:14" x14ac:dyDescent="0.3">
      <c r="A1408" t="s">
        <v>2901</v>
      </c>
      <c r="B1408" t="s">
        <v>2902</v>
      </c>
      <c r="C1408" t="s">
        <v>2902</v>
      </c>
      <c r="D1408" t="s">
        <v>2902</v>
      </c>
      <c r="E1408" t="s">
        <v>18</v>
      </c>
      <c r="F1408" t="s">
        <v>19</v>
      </c>
      <c r="H1408" s="23" t="e">
        <f>VLOOKUP(A1408,Revisión!$A$2:$L$703,6,FALSE)</f>
        <v>#N/A</v>
      </c>
      <c r="I1408" s="4" t="e">
        <f>VLOOKUP(A1408,Revisión!$A$2:$L$703,7,FALSE)</f>
        <v>#N/A</v>
      </c>
      <c r="J1408" s="4" t="e">
        <f>VLOOKUP(A1408,Revisión!$A$2:$L$703,8,FALSE)</f>
        <v>#N/A</v>
      </c>
      <c r="K1408" s="4" t="e">
        <f>VLOOKUP(A1408,Revisión!$A$2:$L$703,9,FALSE)</f>
        <v>#N/A</v>
      </c>
      <c r="L1408" s="4" t="e">
        <f>VLOOKUP(A1408,Revisión!$A$2:$L$703,10,FALSE)</f>
        <v>#N/A</v>
      </c>
      <c r="M1408" s="18" t="e">
        <f>VLOOKUP(A1408,Revisión!$A$2:$L$703,11,FALSE)</f>
        <v>#N/A</v>
      </c>
      <c r="N1408" s="30" t="str">
        <f>IF(E1408="Coinciden",D1408,IF(E1408="Revisar",VLOOKUP(A1408,Revisión!$A$2:$L$703,12,FALSE),""))</f>
        <v>Muscari commutatum</v>
      </c>
    </row>
    <row r="1409" spans="1:14" x14ac:dyDescent="0.3">
      <c r="A1409" t="s">
        <v>2903</v>
      </c>
      <c r="B1409" t="s">
        <v>2904</v>
      </c>
      <c r="C1409" t="s">
        <v>2904</v>
      </c>
      <c r="D1409" t="s">
        <v>2904</v>
      </c>
      <c r="E1409" t="s">
        <v>18</v>
      </c>
      <c r="F1409" t="s">
        <v>19</v>
      </c>
      <c r="H1409" s="23" t="e">
        <f>VLOOKUP(A1409,Revisión!$A$2:$L$703,6,FALSE)</f>
        <v>#N/A</v>
      </c>
      <c r="I1409" s="4" t="e">
        <f>VLOOKUP(A1409,Revisión!$A$2:$L$703,7,FALSE)</f>
        <v>#N/A</v>
      </c>
      <c r="J1409" s="4" t="e">
        <f>VLOOKUP(A1409,Revisión!$A$2:$L$703,8,FALSE)</f>
        <v>#N/A</v>
      </c>
      <c r="K1409" s="4" t="e">
        <f>VLOOKUP(A1409,Revisión!$A$2:$L$703,9,FALSE)</f>
        <v>#N/A</v>
      </c>
      <c r="L1409" s="4" t="e">
        <f>VLOOKUP(A1409,Revisión!$A$2:$L$703,10,FALSE)</f>
        <v>#N/A</v>
      </c>
      <c r="M1409" s="18" t="e">
        <f>VLOOKUP(A1409,Revisión!$A$2:$L$703,11,FALSE)</f>
        <v>#N/A</v>
      </c>
      <c r="N1409" s="30" t="str">
        <f>IF(E1409="Coinciden",D1409,IF(E1409="Revisar",VLOOKUP(A1409,Revisión!$A$2:$L$703,12,FALSE),""))</f>
        <v>Muscari neglectum</v>
      </c>
    </row>
    <row r="1410" spans="1:14" x14ac:dyDescent="0.3">
      <c r="A1410" t="s">
        <v>2905</v>
      </c>
      <c r="C1410" t="s">
        <v>2906</v>
      </c>
      <c r="D1410" t="s">
        <v>2906</v>
      </c>
      <c r="E1410" t="s">
        <v>8</v>
      </c>
      <c r="F1410" t="s">
        <v>49</v>
      </c>
      <c r="H1410" s="23" t="str">
        <f>VLOOKUP(A1410,Revisión!$A$2:$L$703,6,FALSE)</f>
        <v>Mutisia subulata</v>
      </c>
      <c r="I1410" s="4" t="str">
        <f>VLOOKUP(A1410,Revisión!$A$2:$L$703,7,FALSE)</f>
        <v>-</v>
      </c>
      <c r="J1410" s="4" t="str">
        <f>VLOOKUP(A1410,Revisión!$A$2:$L$703,8,FALSE)</f>
        <v>Mutisia subulata</v>
      </c>
      <c r="K1410" s="4" t="str">
        <f>VLOOKUP(A1410,Revisión!$A$2:$L$703,9,FALSE)</f>
        <v>Mutisia subulata</v>
      </c>
      <c r="L1410" s="4" t="str">
        <f>VLOOKUP(A1410,Revisión!$A$2:$L$703,10,FALSE)</f>
        <v>Mutisia subulata</v>
      </c>
      <c r="M1410" s="18">
        <f>VLOOKUP(A1410,Revisión!$A$2:$L$703,11,FALSE)</f>
        <v>4</v>
      </c>
      <c r="N1410" s="30" t="str">
        <f>IF(E1410="Coinciden",D1410,IF(E1410="Revisar",VLOOKUP(A1410,Revisión!$A$2:$L$703,12,FALSE),""))</f>
        <v>Mutisia subulata</v>
      </c>
    </row>
    <row r="1411" spans="1:14" x14ac:dyDescent="0.3">
      <c r="A1411" t="s">
        <v>2907</v>
      </c>
      <c r="C1411" t="s">
        <v>2908</v>
      </c>
      <c r="D1411" t="s">
        <v>2908</v>
      </c>
      <c r="E1411" t="s">
        <v>8</v>
      </c>
      <c r="F1411" t="s">
        <v>49</v>
      </c>
      <c r="H1411" s="23" t="str">
        <f>VLOOKUP(A1411,Revisión!$A$2:$L$703,6,FALSE)</f>
        <v>Mutisia sinuata</v>
      </c>
      <c r="I1411" s="4" t="str">
        <f>VLOOKUP(A1411,Revisión!$A$2:$L$703,7,FALSE)</f>
        <v>-</v>
      </c>
      <c r="J1411" s="4" t="str">
        <f>VLOOKUP(A1411,Revisión!$A$2:$L$703,8,FALSE)</f>
        <v>Mutisia sinuata</v>
      </c>
      <c r="K1411" s="4" t="str">
        <f>VLOOKUP(A1411,Revisión!$A$2:$L$703,9,FALSE)</f>
        <v>Mutisia sinuata</v>
      </c>
      <c r="L1411" s="4" t="str">
        <f>VLOOKUP(A1411,Revisión!$A$2:$L$703,10,FALSE)</f>
        <v>Mutisia sinuata</v>
      </c>
      <c r="M1411" s="18">
        <f>VLOOKUP(A1411,Revisión!$A$2:$L$703,11,FALSE)</f>
        <v>4</v>
      </c>
      <c r="N1411" s="30" t="str">
        <f>IF(E1411="Coinciden",D1411,IF(E1411="Revisar",VLOOKUP(A1411,Revisión!$A$2:$L$703,12,FALSE),""))</f>
        <v>Mutisia sinuata</v>
      </c>
    </row>
    <row r="1412" spans="1:14" x14ac:dyDescent="0.3">
      <c r="A1412" t="s">
        <v>2909</v>
      </c>
      <c r="C1412" t="s">
        <v>2910</v>
      </c>
      <c r="D1412" t="s">
        <v>2910</v>
      </c>
      <c r="E1412" t="s">
        <v>8</v>
      </c>
      <c r="F1412" t="s">
        <v>49</v>
      </c>
      <c r="H1412" s="23" t="str">
        <f>VLOOKUP(A1412,Revisión!$A$2:$L$703,6,FALSE)</f>
        <v>Mutisia acerosa</v>
      </c>
      <c r="I1412" s="4" t="str">
        <f>VLOOKUP(A1412,Revisión!$A$2:$L$703,7,FALSE)</f>
        <v>-</v>
      </c>
      <c r="J1412" s="4" t="str">
        <f>VLOOKUP(A1412,Revisión!$A$2:$L$703,8,FALSE)</f>
        <v>Mutisia acerosa</v>
      </c>
      <c r="K1412" s="4" t="str">
        <f>VLOOKUP(A1412,Revisión!$A$2:$L$703,9,FALSE)</f>
        <v>Mutisia acerosa</v>
      </c>
      <c r="L1412" s="4" t="str">
        <f>VLOOKUP(A1412,Revisión!$A$2:$L$703,10,FALSE)</f>
        <v>Mutisia acerosa</v>
      </c>
      <c r="M1412" s="18">
        <f>VLOOKUP(A1412,Revisión!$A$2:$L$703,11,FALSE)</f>
        <v>4</v>
      </c>
      <c r="N1412" s="30" t="str">
        <f>IF(E1412="Coinciden",D1412,IF(E1412="Revisar",VLOOKUP(A1412,Revisión!$A$2:$L$703,12,FALSE),""))</f>
        <v>Mutisia acerosa</v>
      </c>
    </row>
    <row r="1413" spans="1:14" x14ac:dyDescent="0.3">
      <c r="A1413" t="s">
        <v>2911</v>
      </c>
      <c r="B1413" t="s">
        <v>2912</v>
      </c>
      <c r="C1413" t="s">
        <v>2912</v>
      </c>
      <c r="D1413" t="s">
        <v>2912</v>
      </c>
      <c r="E1413" t="s">
        <v>18</v>
      </c>
      <c r="F1413" t="s">
        <v>19</v>
      </c>
      <c r="H1413" s="23" t="e">
        <f>VLOOKUP(A1413,Revisión!$A$2:$L$703,6,FALSE)</f>
        <v>#N/A</v>
      </c>
      <c r="I1413" s="4" t="e">
        <f>VLOOKUP(A1413,Revisión!$A$2:$L$703,7,FALSE)</f>
        <v>#N/A</v>
      </c>
      <c r="J1413" s="4" t="e">
        <f>VLOOKUP(A1413,Revisión!$A$2:$L$703,8,FALSE)</f>
        <v>#N/A</v>
      </c>
      <c r="K1413" s="4" t="e">
        <f>VLOOKUP(A1413,Revisión!$A$2:$L$703,9,FALSE)</f>
        <v>#N/A</v>
      </c>
      <c r="L1413" s="4" t="e">
        <f>VLOOKUP(A1413,Revisión!$A$2:$L$703,10,FALSE)</f>
        <v>#N/A</v>
      </c>
      <c r="M1413" s="18" t="e">
        <f>VLOOKUP(A1413,Revisión!$A$2:$L$703,11,FALSE)</f>
        <v>#N/A</v>
      </c>
      <c r="N1413" s="30" t="str">
        <f>IF(E1413="Coinciden",D1413,IF(E1413="Revisar",VLOOKUP(A1413,Revisión!$A$2:$L$703,12,FALSE),""))</f>
        <v>Mutisia decurrens</v>
      </c>
    </row>
    <row r="1414" spans="1:14" x14ac:dyDescent="0.3">
      <c r="A1414" t="s">
        <v>2913</v>
      </c>
      <c r="B1414" t="s">
        <v>2914</v>
      </c>
      <c r="C1414" t="s">
        <v>2914</v>
      </c>
      <c r="D1414" t="s">
        <v>2914</v>
      </c>
      <c r="E1414" t="s">
        <v>18</v>
      </c>
      <c r="F1414" t="s">
        <v>19</v>
      </c>
      <c r="H1414" s="23" t="e">
        <f>VLOOKUP(A1414,Revisión!$A$2:$L$703,6,FALSE)</f>
        <v>#N/A</v>
      </c>
      <c r="I1414" s="4" t="e">
        <f>VLOOKUP(A1414,Revisión!$A$2:$L$703,7,FALSE)</f>
        <v>#N/A</v>
      </c>
      <c r="J1414" s="4" t="e">
        <f>VLOOKUP(A1414,Revisión!$A$2:$L$703,8,FALSE)</f>
        <v>#N/A</v>
      </c>
      <c r="K1414" s="4" t="e">
        <f>VLOOKUP(A1414,Revisión!$A$2:$L$703,9,FALSE)</f>
        <v>#N/A</v>
      </c>
      <c r="L1414" s="4" t="e">
        <f>VLOOKUP(A1414,Revisión!$A$2:$L$703,10,FALSE)</f>
        <v>#N/A</v>
      </c>
      <c r="M1414" s="18" t="e">
        <f>VLOOKUP(A1414,Revisión!$A$2:$L$703,11,FALSE)</f>
        <v>#N/A</v>
      </c>
      <c r="N1414" s="30" t="str">
        <f>IF(E1414="Coinciden",D1414,IF(E1414="Revisar",VLOOKUP(A1414,Revisión!$A$2:$L$703,12,FALSE),""))</f>
        <v>Ixora parviflora var. parviflora</v>
      </c>
    </row>
    <row r="1415" spans="1:14" x14ac:dyDescent="0.3">
      <c r="A1415" t="s">
        <v>2915</v>
      </c>
      <c r="B1415" t="s">
        <v>2916</v>
      </c>
      <c r="C1415" t="s">
        <v>2916</v>
      </c>
      <c r="D1415" t="s">
        <v>2916</v>
      </c>
      <c r="E1415" t="s">
        <v>18</v>
      </c>
      <c r="F1415" t="s">
        <v>19</v>
      </c>
      <c r="H1415" s="23" t="e">
        <f>VLOOKUP(A1415,Revisión!$A$2:$L$703,6,FALSE)</f>
        <v>#N/A</v>
      </c>
      <c r="I1415" s="4" t="e">
        <f>VLOOKUP(A1415,Revisión!$A$2:$L$703,7,FALSE)</f>
        <v>#N/A</v>
      </c>
      <c r="J1415" s="4" t="e">
        <f>VLOOKUP(A1415,Revisión!$A$2:$L$703,8,FALSE)</f>
        <v>#N/A</v>
      </c>
      <c r="K1415" s="4" t="e">
        <f>VLOOKUP(A1415,Revisión!$A$2:$L$703,9,FALSE)</f>
        <v>#N/A</v>
      </c>
      <c r="L1415" s="4" t="e">
        <f>VLOOKUP(A1415,Revisión!$A$2:$L$703,10,FALSE)</f>
        <v>#N/A</v>
      </c>
      <c r="M1415" s="18" t="e">
        <f>VLOOKUP(A1415,Revisión!$A$2:$L$703,11,FALSE)</f>
        <v>#N/A</v>
      </c>
      <c r="N1415" s="30" t="str">
        <f>IF(E1415="Coinciden",D1415,IF(E1415="Revisar",VLOOKUP(A1415,Revisión!$A$2:$L$703,12,FALSE),""))</f>
        <v>Ixora parviflora var. ovata</v>
      </c>
    </row>
    <row r="1416" spans="1:14" x14ac:dyDescent="0.3">
      <c r="A1416" t="s">
        <v>2917</v>
      </c>
      <c r="B1416" t="s">
        <v>2918</v>
      </c>
      <c r="C1416" t="s">
        <v>2919</v>
      </c>
      <c r="D1416" t="s">
        <v>2919</v>
      </c>
      <c r="E1416" t="s">
        <v>8</v>
      </c>
      <c r="F1416" t="s">
        <v>23</v>
      </c>
      <c r="H1416" s="23" t="str">
        <f>VLOOKUP(A1416,Revisión!$A$2:$L$703,6,FALSE)</f>
        <v>Myosotis verna</v>
      </c>
      <c r="I1416" s="4" t="str">
        <f>VLOOKUP(A1416,Revisión!$A$2:$L$703,7,FALSE)</f>
        <v>-</v>
      </c>
      <c r="J1416" s="4" t="str">
        <f>VLOOKUP(A1416,Revisión!$A$2:$L$703,8,FALSE)</f>
        <v>Myosotis verna</v>
      </c>
      <c r="K1416" s="4" t="str">
        <f>VLOOKUP(A1416,Revisión!$A$2:$L$703,9,FALSE)</f>
        <v>Myosotis verna</v>
      </c>
      <c r="L1416" s="4" t="str">
        <f>VLOOKUP(A1416,Revisión!$A$2:$L$703,10,FALSE)</f>
        <v>Myosotis verna</v>
      </c>
      <c r="M1416" s="18">
        <f>VLOOKUP(A1416,Revisión!$A$2:$L$703,11,FALSE)</f>
        <v>4</v>
      </c>
      <c r="N1416" s="30" t="str">
        <f>IF(E1416="Coinciden",D1416,IF(E1416="Revisar",VLOOKUP(A1416,Revisión!$A$2:$L$703,12,FALSE),""))</f>
        <v>Myosotis verna</v>
      </c>
    </row>
    <row r="1417" spans="1:14" x14ac:dyDescent="0.3">
      <c r="A1417" t="s">
        <v>2920</v>
      </c>
      <c r="C1417" t="s">
        <v>2921</v>
      </c>
      <c r="D1417" t="s">
        <v>2922</v>
      </c>
      <c r="E1417" t="s">
        <v>8</v>
      </c>
      <c r="F1417" t="s">
        <v>9</v>
      </c>
      <c r="H1417" s="23" t="str">
        <f>VLOOKUP(A1417,Revisión!$A$2:$L$703,6,FALSE)</f>
        <v>Myosotis scorpioides</v>
      </c>
      <c r="I1417" s="4" t="str">
        <f>VLOOKUP(A1417,Revisión!$A$2:$L$703,7,FALSE)</f>
        <v>-</v>
      </c>
      <c r="J1417" s="4" t="str">
        <f>VLOOKUP(A1417,Revisión!$A$2:$L$703,8,FALSE)</f>
        <v>Myosotis scorpioides subsp. scorpioides</v>
      </c>
      <c r="K1417" s="4" t="str">
        <f>VLOOKUP(A1417,Revisión!$A$2:$L$703,9,FALSE)</f>
        <v>Myosotis scorpioides</v>
      </c>
      <c r="L1417" s="4" t="str">
        <f>VLOOKUP(A1417,Revisión!$A$2:$L$703,10,FALSE)</f>
        <v>Myosotis scorpioides</v>
      </c>
      <c r="M1417" s="18">
        <f>VLOOKUP(A1417,Revisión!$A$2:$L$703,11,FALSE)</f>
        <v>5</v>
      </c>
      <c r="N1417" s="30" t="str">
        <f>IF(E1417="Coinciden",D1417,IF(E1417="Revisar",VLOOKUP(A1417,Revisión!$A$2:$L$703,12,FALSE),""))</f>
        <v>Myosotis scorpioides</v>
      </c>
    </row>
    <row r="1418" spans="1:14" x14ac:dyDescent="0.3">
      <c r="A1418" t="s">
        <v>2923</v>
      </c>
      <c r="B1418" t="s">
        <v>2924</v>
      </c>
      <c r="C1418" t="s">
        <v>2925</v>
      </c>
      <c r="D1418" t="s">
        <v>2925</v>
      </c>
      <c r="E1418" t="s">
        <v>8</v>
      </c>
      <c r="F1418" t="s">
        <v>23</v>
      </c>
      <c r="H1418" s="23" t="str">
        <f>VLOOKUP(A1418,Revisión!$A$2:$L$703,6,FALSE)</f>
        <v>Myosurus minimus</v>
      </c>
      <c r="I1418" s="4" t="str">
        <f>VLOOKUP(A1418,Revisión!$A$2:$L$703,7,FALSE)</f>
        <v>-</v>
      </c>
      <c r="J1418" s="4" t="str">
        <f>VLOOKUP(A1418,Revisión!$A$2:$L$703,8,FALSE)</f>
        <v>Ranunculus minimus</v>
      </c>
      <c r="K1418" s="4" t="str">
        <f>VLOOKUP(A1418,Revisión!$A$2:$L$703,9,FALSE)</f>
        <v>Myosurus minimus</v>
      </c>
      <c r="L1418" s="4" t="str">
        <f>VLOOKUP(A1418,Revisión!$A$2:$L$703,10,FALSE)</f>
        <v>Myosurus minimus</v>
      </c>
      <c r="M1418" s="18">
        <f>VLOOKUP(A1418,Revisión!$A$2:$L$703,11,FALSE)</f>
        <v>4</v>
      </c>
      <c r="N1418" s="30" t="str">
        <f>IF(E1418="Coinciden",D1418,IF(E1418="Revisar",VLOOKUP(A1418,Revisión!$A$2:$L$703,12,FALSE),""))</f>
        <v>Myosurus minimus</v>
      </c>
    </row>
    <row r="1419" spans="1:14" x14ac:dyDescent="0.3">
      <c r="A1419" t="s">
        <v>2926</v>
      </c>
      <c r="B1419" t="s">
        <v>2927</v>
      </c>
      <c r="C1419" t="s">
        <v>2927</v>
      </c>
      <c r="D1419" t="s">
        <v>2927</v>
      </c>
      <c r="E1419" t="s">
        <v>18</v>
      </c>
      <c r="F1419" t="s">
        <v>19</v>
      </c>
      <c r="H1419" s="23" t="e">
        <f>VLOOKUP(A1419,Revisión!$A$2:$L$703,6,FALSE)</f>
        <v>#N/A</v>
      </c>
      <c r="I1419" s="4" t="e">
        <f>VLOOKUP(A1419,Revisión!$A$2:$L$703,7,FALSE)</f>
        <v>#N/A</v>
      </c>
      <c r="J1419" s="4" t="e">
        <f>VLOOKUP(A1419,Revisión!$A$2:$L$703,8,FALSE)</f>
        <v>#N/A</v>
      </c>
      <c r="K1419" s="4" t="e">
        <f>VLOOKUP(A1419,Revisión!$A$2:$L$703,9,FALSE)</f>
        <v>#N/A</v>
      </c>
      <c r="L1419" s="4" t="e">
        <f>VLOOKUP(A1419,Revisión!$A$2:$L$703,10,FALSE)</f>
        <v>#N/A</v>
      </c>
      <c r="M1419" s="18" t="e">
        <f>VLOOKUP(A1419,Revisión!$A$2:$L$703,11,FALSE)</f>
        <v>#N/A</v>
      </c>
      <c r="N1419" s="30" t="str">
        <f>IF(E1419="Coinciden",D1419,IF(E1419="Revisar",VLOOKUP(A1419,Revisión!$A$2:$L$703,12,FALSE),""))</f>
        <v>Myrceugenia ovata var. ovata</v>
      </c>
    </row>
    <row r="1420" spans="1:14" x14ac:dyDescent="0.3">
      <c r="A1420" t="s">
        <v>2928</v>
      </c>
      <c r="B1420" t="s">
        <v>2929</v>
      </c>
      <c r="C1420" t="s">
        <v>2929</v>
      </c>
      <c r="D1420" t="s">
        <v>2929</v>
      </c>
      <c r="E1420" t="s">
        <v>18</v>
      </c>
      <c r="F1420" t="s">
        <v>19</v>
      </c>
      <c r="H1420" s="23" t="e">
        <f>VLOOKUP(A1420,Revisión!$A$2:$L$703,6,FALSE)</f>
        <v>#N/A</v>
      </c>
      <c r="I1420" s="4" t="e">
        <f>VLOOKUP(A1420,Revisión!$A$2:$L$703,7,FALSE)</f>
        <v>#N/A</v>
      </c>
      <c r="J1420" s="4" t="e">
        <f>VLOOKUP(A1420,Revisión!$A$2:$L$703,8,FALSE)</f>
        <v>#N/A</v>
      </c>
      <c r="K1420" s="4" t="e">
        <f>VLOOKUP(A1420,Revisión!$A$2:$L$703,9,FALSE)</f>
        <v>#N/A</v>
      </c>
      <c r="L1420" s="4" t="e">
        <f>VLOOKUP(A1420,Revisión!$A$2:$L$703,10,FALSE)</f>
        <v>#N/A</v>
      </c>
      <c r="M1420" s="18" t="e">
        <f>VLOOKUP(A1420,Revisión!$A$2:$L$703,11,FALSE)</f>
        <v>#N/A</v>
      </c>
      <c r="N1420" s="30" t="str">
        <f>IF(E1420="Coinciden",D1420,IF(E1420="Revisar",VLOOKUP(A1420,Revisión!$A$2:$L$703,12,FALSE),""))</f>
        <v>Myrceugenia parvifolia</v>
      </c>
    </row>
    <row r="1421" spans="1:14" x14ac:dyDescent="0.3">
      <c r="A1421" t="s">
        <v>2930</v>
      </c>
      <c r="B1421" t="s">
        <v>2931</v>
      </c>
      <c r="C1421" t="s">
        <v>2931</v>
      </c>
      <c r="D1421" t="s">
        <v>2931</v>
      </c>
      <c r="E1421" t="s">
        <v>18</v>
      </c>
      <c r="F1421" t="s">
        <v>19</v>
      </c>
      <c r="H1421" s="23" t="e">
        <f>VLOOKUP(A1421,Revisión!$A$2:$L$703,6,FALSE)</f>
        <v>#N/A</v>
      </c>
      <c r="I1421" s="4" t="e">
        <f>VLOOKUP(A1421,Revisión!$A$2:$L$703,7,FALSE)</f>
        <v>#N/A</v>
      </c>
      <c r="J1421" s="4" t="e">
        <f>VLOOKUP(A1421,Revisión!$A$2:$L$703,8,FALSE)</f>
        <v>#N/A</v>
      </c>
      <c r="K1421" s="4" t="e">
        <f>VLOOKUP(A1421,Revisión!$A$2:$L$703,9,FALSE)</f>
        <v>#N/A</v>
      </c>
      <c r="L1421" s="4" t="e">
        <f>VLOOKUP(A1421,Revisión!$A$2:$L$703,10,FALSE)</f>
        <v>#N/A</v>
      </c>
      <c r="M1421" s="18" t="e">
        <f>VLOOKUP(A1421,Revisión!$A$2:$L$703,11,FALSE)</f>
        <v>#N/A</v>
      </c>
      <c r="N1421" s="30" t="str">
        <f>IF(E1421="Coinciden",D1421,IF(E1421="Revisar",VLOOKUP(A1421,Revisión!$A$2:$L$703,12,FALSE),""))</f>
        <v>Myrceugenia planipes</v>
      </c>
    </row>
    <row r="1422" spans="1:14" x14ac:dyDescent="0.3">
      <c r="A1422" t="s">
        <v>2932</v>
      </c>
      <c r="C1422" t="s">
        <v>2933</v>
      </c>
      <c r="D1422" t="s">
        <v>2933</v>
      </c>
      <c r="E1422" t="s">
        <v>8</v>
      </c>
      <c r="F1422" t="s">
        <v>49</v>
      </c>
      <c r="H1422" s="23" t="str">
        <f>VLOOKUP(A1422,Revisión!$A$2:$L$703,6,FALSE)</f>
        <v>Myrsine seguinii</v>
      </c>
      <c r="I1422" s="4" t="str">
        <f>VLOOKUP(A1422,Revisión!$A$2:$L$703,7,FALSE)</f>
        <v>-</v>
      </c>
      <c r="J1422" s="4" t="str">
        <f>VLOOKUP(A1422,Revisión!$A$2:$L$703,8,FALSE)</f>
        <v>Myrsine seguinii</v>
      </c>
      <c r="K1422" s="4" t="str">
        <f>VLOOKUP(A1422,Revisión!$A$2:$L$703,9,FALSE)</f>
        <v>Myrsine seguinii</v>
      </c>
      <c r="L1422" s="4" t="str">
        <f>VLOOKUP(A1422,Revisión!$A$2:$L$703,10,FALSE)</f>
        <v>Myrsine seguinii</v>
      </c>
      <c r="M1422" s="18">
        <f>VLOOKUP(A1422,Revisión!$A$2:$L$703,11,FALSE)</f>
        <v>4</v>
      </c>
      <c r="N1422" s="30" t="str">
        <f>IF(E1422="Coinciden",D1422,IF(E1422="Revisar",VLOOKUP(A1422,Revisión!$A$2:$L$703,12,FALSE),""))</f>
        <v>Myrsine seguinii</v>
      </c>
    </row>
    <row r="1423" spans="1:14" x14ac:dyDescent="0.3">
      <c r="A1423" t="s">
        <v>2934</v>
      </c>
      <c r="B1423" t="s">
        <v>2935</v>
      </c>
      <c r="C1423" t="s">
        <v>2935</v>
      </c>
      <c r="D1423" t="s">
        <v>2935</v>
      </c>
      <c r="E1423" t="s">
        <v>18</v>
      </c>
      <c r="F1423" t="s">
        <v>19</v>
      </c>
      <c r="H1423" s="23" t="e">
        <f>VLOOKUP(A1423,Revisión!$A$2:$L$703,6,FALSE)</f>
        <v>#N/A</v>
      </c>
      <c r="I1423" s="4" t="e">
        <f>VLOOKUP(A1423,Revisión!$A$2:$L$703,7,FALSE)</f>
        <v>#N/A</v>
      </c>
      <c r="J1423" s="4" t="e">
        <f>VLOOKUP(A1423,Revisión!$A$2:$L$703,8,FALSE)</f>
        <v>#N/A</v>
      </c>
      <c r="K1423" s="4" t="e">
        <f>VLOOKUP(A1423,Revisión!$A$2:$L$703,9,FALSE)</f>
        <v>#N/A</v>
      </c>
      <c r="L1423" s="4" t="e">
        <f>VLOOKUP(A1423,Revisión!$A$2:$L$703,10,FALSE)</f>
        <v>#N/A</v>
      </c>
      <c r="M1423" s="18" t="e">
        <f>VLOOKUP(A1423,Revisión!$A$2:$L$703,11,FALSE)</f>
        <v>#N/A</v>
      </c>
      <c r="N1423" s="30" t="str">
        <f>IF(E1423="Coinciden",D1423,IF(E1423="Revisar",VLOOKUP(A1423,Revisión!$A$2:$L$703,12,FALSE),""))</f>
        <v>Myrteola nummularia</v>
      </c>
    </row>
    <row r="1424" spans="1:14" x14ac:dyDescent="0.3">
      <c r="A1424" t="s">
        <v>2936</v>
      </c>
      <c r="B1424" t="s">
        <v>2937</v>
      </c>
      <c r="D1424" t="s">
        <v>2937</v>
      </c>
      <c r="E1424" t="s">
        <v>8</v>
      </c>
      <c r="F1424" t="s">
        <v>34</v>
      </c>
      <c r="H1424" s="23" t="str">
        <f>VLOOKUP(A1424,Revisión!$A$2:$L$703,6,FALSE)</f>
        <v>Myrtus communis</v>
      </c>
      <c r="I1424" s="4" t="str">
        <f>VLOOKUP(A1424,Revisión!$A$2:$L$703,7,FALSE)</f>
        <v>-</v>
      </c>
      <c r="J1424" s="4" t="str">
        <f>VLOOKUP(A1424,Revisión!$A$2:$L$703,8,FALSE)</f>
        <v>Myrtus communis</v>
      </c>
      <c r="K1424" s="4" t="str">
        <f>VLOOKUP(A1424,Revisión!$A$2:$L$703,9,FALSE)</f>
        <v>Myrtus communis</v>
      </c>
      <c r="L1424" s="4" t="str">
        <f>VLOOKUP(A1424,Revisión!$A$2:$L$703,10,FALSE)</f>
        <v>Myrtus communis</v>
      </c>
      <c r="M1424" s="18">
        <f>VLOOKUP(A1424,Revisión!$A$2:$L$703,11,FALSE)</f>
        <v>5</v>
      </c>
      <c r="N1424" s="30" t="str">
        <f>IF(E1424="Coinciden",D1424,IF(E1424="Revisar",VLOOKUP(A1424,Revisión!$A$2:$L$703,12,FALSE),""))</f>
        <v>Myrtus communis</v>
      </c>
    </row>
    <row r="1425" spans="1:14" x14ac:dyDescent="0.3">
      <c r="A1425" t="s">
        <v>2938</v>
      </c>
      <c r="B1425" t="s">
        <v>2939</v>
      </c>
      <c r="C1425" t="s">
        <v>2939</v>
      </c>
      <c r="D1425" t="s">
        <v>2939</v>
      </c>
      <c r="E1425" t="s">
        <v>18</v>
      </c>
      <c r="F1425" t="s">
        <v>19</v>
      </c>
      <c r="H1425" s="23" t="e">
        <f>VLOOKUP(A1425,Revisión!$A$2:$L$703,6,FALSE)</f>
        <v>#N/A</v>
      </c>
      <c r="I1425" s="4" t="e">
        <f>VLOOKUP(A1425,Revisión!$A$2:$L$703,7,FALSE)</f>
        <v>#N/A</v>
      </c>
      <c r="J1425" s="4" t="e">
        <f>VLOOKUP(A1425,Revisión!$A$2:$L$703,8,FALSE)</f>
        <v>#N/A</v>
      </c>
      <c r="K1425" s="4" t="e">
        <f>VLOOKUP(A1425,Revisión!$A$2:$L$703,9,FALSE)</f>
        <v>#N/A</v>
      </c>
      <c r="L1425" s="4" t="e">
        <f>VLOOKUP(A1425,Revisión!$A$2:$L$703,10,FALSE)</f>
        <v>#N/A</v>
      </c>
      <c r="M1425" s="18" t="e">
        <f>VLOOKUP(A1425,Revisión!$A$2:$L$703,11,FALSE)</f>
        <v>#N/A</v>
      </c>
      <c r="N1425" s="30" t="str">
        <f>IF(E1425="Coinciden",D1425,IF(E1425="Revisar",VLOOKUP(A1425,Revisión!$A$2:$L$703,12,FALSE),""))</f>
        <v>Nandina domestica</v>
      </c>
    </row>
    <row r="1426" spans="1:14" x14ac:dyDescent="0.3">
      <c r="A1426" t="s">
        <v>2940</v>
      </c>
      <c r="B1426" t="s">
        <v>2941</v>
      </c>
      <c r="C1426" t="s">
        <v>2941</v>
      </c>
      <c r="D1426" t="s">
        <v>2941</v>
      </c>
      <c r="E1426" t="s">
        <v>18</v>
      </c>
      <c r="F1426" t="s">
        <v>19</v>
      </c>
      <c r="H1426" s="23" t="e">
        <f>VLOOKUP(A1426,Revisión!$A$2:$L$703,6,FALSE)</f>
        <v>#N/A</v>
      </c>
      <c r="I1426" s="4" t="e">
        <f>VLOOKUP(A1426,Revisión!$A$2:$L$703,7,FALSE)</f>
        <v>#N/A</v>
      </c>
      <c r="J1426" s="4" t="e">
        <f>VLOOKUP(A1426,Revisión!$A$2:$L$703,8,FALSE)</f>
        <v>#N/A</v>
      </c>
      <c r="K1426" s="4" t="e">
        <f>VLOOKUP(A1426,Revisión!$A$2:$L$703,9,FALSE)</f>
        <v>#N/A</v>
      </c>
      <c r="L1426" s="4" t="e">
        <f>VLOOKUP(A1426,Revisión!$A$2:$L$703,10,FALSE)</f>
        <v>#N/A</v>
      </c>
      <c r="M1426" s="18" t="e">
        <f>VLOOKUP(A1426,Revisión!$A$2:$L$703,11,FALSE)</f>
        <v>#N/A</v>
      </c>
      <c r="N1426" s="30" t="str">
        <f>IF(E1426="Coinciden",D1426,IF(E1426="Revisar",VLOOKUP(A1426,Revisión!$A$2:$L$703,12,FALSE),""))</f>
        <v>Nardophyllum lanatum</v>
      </c>
    </row>
    <row r="1427" spans="1:14" x14ac:dyDescent="0.3">
      <c r="A1427" t="s">
        <v>2942</v>
      </c>
      <c r="B1427" t="s">
        <v>2943</v>
      </c>
      <c r="D1427" t="s">
        <v>2943</v>
      </c>
      <c r="E1427" t="s">
        <v>8</v>
      </c>
      <c r="F1427" t="s">
        <v>34</v>
      </c>
      <c r="H1427" s="23" t="str">
        <f>VLOOKUP(A1427,Revisión!$A$2:$L$703,6,FALSE)</f>
        <v>Nassauvia lagascae</v>
      </c>
      <c r="I1427" s="4" t="str">
        <f>VLOOKUP(A1427,Revisión!$A$2:$L$703,7,FALSE)</f>
        <v>-</v>
      </c>
      <c r="J1427" s="4" t="str">
        <f>VLOOKUP(A1427,Revisión!$A$2:$L$703,8,FALSE)</f>
        <v>Nassauvia lagascae</v>
      </c>
      <c r="K1427" s="4" t="str">
        <f>VLOOKUP(A1427,Revisión!$A$2:$L$703,9,FALSE)</f>
        <v>Nassauvia lagascae</v>
      </c>
      <c r="L1427" s="4" t="str">
        <f>VLOOKUP(A1427,Revisión!$A$2:$L$703,10,FALSE)</f>
        <v>Nassauvia lagascae</v>
      </c>
      <c r="M1427" s="18">
        <f>VLOOKUP(A1427,Revisión!$A$2:$L$703,11,FALSE)</f>
        <v>4</v>
      </c>
      <c r="N1427" s="30" t="str">
        <f>IF(E1427="Coinciden",D1427,IF(E1427="Revisar",VLOOKUP(A1427,Revisión!$A$2:$L$703,12,FALSE),""))</f>
        <v>Nassauvia lagascae</v>
      </c>
    </row>
    <row r="1428" spans="1:14" x14ac:dyDescent="0.3">
      <c r="A1428" t="s">
        <v>2944</v>
      </c>
      <c r="B1428" t="s">
        <v>2945</v>
      </c>
      <c r="C1428" t="s">
        <v>2945</v>
      </c>
      <c r="D1428" t="s">
        <v>2945</v>
      </c>
      <c r="E1428" t="s">
        <v>18</v>
      </c>
      <c r="F1428" t="s">
        <v>19</v>
      </c>
      <c r="H1428" s="23" t="e">
        <f>VLOOKUP(A1428,Revisión!$A$2:$L$703,6,FALSE)</f>
        <v>#N/A</v>
      </c>
      <c r="I1428" s="4" t="e">
        <f>VLOOKUP(A1428,Revisión!$A$2:$L$703,7,FALSE)</f>
        <v>#N/A</v>
      </c>
      <c r="J1428" s="4" t="e">
        <f>VLOOKUP(A1428,Revisión!$A$2:$L$703,8,FALSE)</f>
        <v>#N/A</v>
      </c>
      <c r="K1428" s="4" t="e">
        <f>VLOOKUP(A1428,Revisión!$A$2:$L$703,9,FALSE)</f>
        <v>#N/A</v>
      </c>
      <c r="L1428" s="4" t="e">
        <f>VLOOKUP(A1428,Revisión!$A$2:$L$703,10,FALSE)</f>
        <v>#N/A</v>
      </c>
      <c r="M1428" s="18" t="e">
        <f>VLOOKUP(A1428,Revisión!$A$2:$L$703,11,FALSE)</f>
        <v>#N/A</v>
      </c>
      <c r="N1428" s="30" t="str">
        <f>IF(E1428="Coinciden",D1428,IF(E1428="Revisar",VLOOKUP(A1428,Revisión!$A$2:$L$703,12,FALSE),""))</f>
        <v>Nassauvia pinnigera</v>
      </c>
    </row>
    <row r="1429" spans="1:14" x14ac:dyDescent="0.3">
      <c r="A1429" t="s">
        <v>2946</v>
      </c>
      <c r="B1429" t="s">
        <v>2947</v>
      </c>
      <c r="C1429" t="s">
        <v>2947</v>
      </c>
      <c r="D1429" t="s">
        <v>2947</v>
      </c>
      <c r="E1429" t="s">
        <v>18</v>
      </c>
      <c r="F1429" t="s">
        <v>19</v>
      </c>
      <c r="H1429" s="23" t="e">
        <f>VLOOKUP(A1429,Revisión!$A$2:$L$703,6,FALSE)</f>
        <v>#N/A</v>
      </c>
      <c r="I1429" s="4" t="e">
        <f>VLOOKUP(A1429,Revisión!$A$2:$L$703,7,FALSE)</f>
        <v>#N/A</v>
      </c>
      <c r="J1429" s="4" t="e">
        <f>VLOOKUP(A1429,Revisión!$A$2:$L$703,8,FALSE)</f>
        <v>#N/A</v>
      </c>
      <c r="K1429" s="4" t="e">
        <f>VLOOKUP(A1429,Revisión!$A$2:$L$703,9,FALSE)</f>
        <v>#N/A</v>
      </c>
      <c r="L1429" s="4" t="e">
        <f>VLOOKUP(A1429,Revisión!$A$2:$L$703,10,FALSE)</f>
        <v>#N/A</v>
      </c>
      <c r="M1429" s="18" t="e">
        <f>VLOOKUP(A1429,Revisión!$A$2:$L$703,11,FALSE)</f>
        <v>#N/A</v>
      </c>
      <c r="N1429" s="30" t="str">
        <f>IF(E1429="Coinciden",D1429,IF(E1429="Revisar",VLOOKUP(A1429,Revisión!$A$2:$L$703,12,FALSE),""))</f>
        <v>Nassauvia pyramidalis</v>
      </c>
    </row>
    <row r="1430" spans="1:14" x14ac:dyDescent="0.3">
      <c r="A1430" t="s">
        <v>2948</v>
      </c>
      <c r="D1430" t="s">
        <v>2949</v>
      </c>
      <c r="E1430" t="s">
        <v>8</v>
      </c>
      <c r="F1430" t="s">
        <v>9</v>
      </c>
      <c r="H1430" s="23" t="str">
        <f>VLOOKUP(A1430,Revisión!$A$2:$L$703,6,FALSE)</f>
        <v>Nassauvia looseri</v>
      </c>
      <c r="I1430" s="4" t="str">
        <f>VLOOKUP(A1430,Revisión!$A$2:$L$703,7,FALSE)</f>
        <v>-</v>
      </c>
      <c r="J1430" s="4" t="str">
        <f>VLOOKUP(A1430,Revisión!$A$2:$L$703,8,FALSE)</f>
        <v>Nassauvia looseri</v>
      </c>
      <c r="K1430" s="4" t="str">
        <f>VLOOKUP(A1430,Revisión!$A$2:$L$703,9,FALSE)</f>
        <v>Nassauvia looseri</v>
      </c>
      <c r="L1430" s="4" t="str">
        <f>VLOOKUP(A1430,Revisión!$A$2:$L$703,10,FALSE)</f>
        <v>Nassauvia looseri</v>
      </c>
      <c r="M1430" s="18">
        <f>VLOOKUP(A1430,Revisión!$A$2:$L$703,11,FALSE)</f>
        <v>4</v>
      </c>
      <c r="N1430" s="30" t="str">
        <f>IF(E1430="Coinciden",D1430,IF(E1430="Revisar",VLOOKUP(A1430,Revisión!$A$2:$L$703,12,FALSE),""))</f>
        <v>Nassauvia looseri</v>
      </c>
    </row>
    <row r="1431" spans="1:14" x14ac:dyDescent="0.3">
      <c r="A1431" t="s">
        <v>2950</v>
      </c>
      <c r="B1431" t="s">
        <v>2951</v>
      </c>
      <c r="C1431" t="s">
        <v>2951</v>
      </c>
      <c r="D1431" t="s">
        <v>2951</v>
      </c>
      <c r="E1431" t="s">
        <v>18</v>
      </c>
      <c r="F1431" t="s">
        <v>19</v>
      </c>
      <c r="H1431" s="23" t="e">
        <f>VLOOKUP(A1431,Revisión!$A$2:$L$703,6,FALSE)</f>
        <v>#N/A</v>
      </c>
      <c r="I1431" s="4" t="e">
        <f>VLOOKUP(A1431,Revisión!$A$2:$L$703,7,FALSE)</f>
        <v>#N/A</v>
      </c>
      <c r="J1431" s="4" t="e">
        <f>VLOOKUP(A1431,Revisión!$A$2:$L$703,8,FALSE)</f>
        <v>#N/A</v>
      </c>
      <c r="K1431" s="4" t="e">
        <f>VLOOKUP(A1431,Revisión!$A$2:$L$703,9,FALSE)</f>
        <v>#N/A</v>
      </c>
      <c r="L1431" s="4" t="e">
        <f>VLOOKUP(A1431,Revisión!$A$2:$L$703,10,FALSE)</f>
        <v>#N/A</v>
      </c>
      <c r="M1431" s="18" t="e">
        <f>VLOOKUP(A1431,Revisión!$A$2:$L$703,11,FALSE)</f>
        <v>#N/A</v>
      </c>
      <c r="N1431" s="30" t="str">
        <f>IF(E1431="Coinciden",D1431,IF(E1431="Revisar",VLOOKUP(A1431,Revisión!$A$2:$L$703,12,FALSE),""))</f>
        <v>Nassauvia axillaris</v>
      </c>
    </row>
    <row r="1432" spans="1:14" x14ac:dyDescent="0.3">
      <c r="A1432" t="s">
        <v>2952</v>
      </c>
      <c r="B1432" t="s">
        <v>2953</v>
      </c>
      <c r="C1432" t="s">
        <v>2953</v>
      </c>
      <c r="D1432" t="s">
        <v>2953</v>
      </c>
      <c r="E1432" t="s">
        <v>18</v>
      </c>
      <c r="F1432" t="s">
        <v>19</v>
      </c>
      <c r="H1432" s="23" t="e">
        <f>VLOOKUP(A1432,Revisión!$A$2:$L$703,6,FALSE)</f>
        <v>#N/A</v>
      </c>
      <c r="I1432" s="4" t="e">
        <f>VLOOKUP(A1432,Revisión!$A$2:$L$703,7,FALSE)</f>
        <v>#N/A</v>
      </c>
      <c r="J1432" s="4" t="e">
        <f>VLOOKUP(A1432,Revisión!$A$2:$L$703,8,FALSE)</f>
        <v>#N/A</v>
      </c>
      <c r="K1432" s="4" t="e">
        <f>VLOOKUP(A1432,Revisión!$A$2:$L$703,9,FALSE)</f>
        <v>#N/A</v>
      </c>
      <c r="L1432" s="4" t="e">
        <f>VLOOKUP(A1432,Revisión!$A$2:$L$703,10,FALSE)</f>
        <v>#N/A</v>
      </c>
      <c r="M1432" s="18" t="e">
        <f>VLOOKUP(A1432,Revisión!$A$2:$L$703,11,FALSE)</f>
        <v>#N/A</v>
      </c>
      <c r="N1432" s="30" t="str">
        <f>IF(E1432="Coinciden",D1432,IF(E1432="Revisar",VLOOKUP(A1432,Revisión!$A$2:$L$703,12,FALSE),""))</f>
        <v>Gamocarpha ventosa</v>
      </c>
    </row>
    <row r="1433" spans="1:14" x14ac:dyDescent="0.3">
      <c r="A1433" t="s">
        <v>2954</v>
      </c>
      <c r="B1433" t="s">
        <v>2955</v>
      </c>
      <c r="C1433" t="s">
        <v>2955</v>
      </c>
      <c r="D1433" t="s">
        <v>2955</v>
      </c>
      <c r="E1433" t="s">
        <v>18</v>
      </c>
      <c r="F1433" t="s">
        <v>19</v>
      </c>
      <c r="H1433" s="23" t="e">
        <f>VLOOKUP(A1433,Revisión!$A$2:$L$703,6,FALSE)</f>
        <v>#N/A</v>
      </c>
      <c r="I1433" s="4" t="e">
        <f>VLOOKUP(A1433,Revisión!$A$2:$L$703,7,FALSE)</f>
        <v>#N/A</v>
      </c>
      <c r="J1433" s="4" t="e">
        <f>VLOOKUP(A1433,Revisión!$A$2:$L$703,8,FALSE)</f>
        <v>#N/A</v>
      </c>
      <c r="K1433" s="4" t="e">
        <f>VLOOKUP(A1433,Revisión!$A$2:$L$703,9,FALSE)</f>
        <v>#N/A</v>
      </c>
      <c r="L1433" s="4" t="e">
        <f>VLOOKUP(A1433,Revisión!$A$2:$L$703,10,FALSE)</f>
        <v>#N/A</v>
      </c>
      <c r="M1433" s="18" t="e">
        <f>VLOOKUP(A1433,Revisión!$A$2:$L$703,11,FALSE)</f>
        <v>#N/A</v>
      </c>
      <c r="N1433" s="30" t="str">
        <f>IF(E1433="Coinciden",D1433,IF(E1433="Revisar",VLOOKUP(A1433,Revisión!$A$2:$L$703,12,FALSE),""))</f>
        <v>Gamocarpha scapigera</v>
      </c>
    </row>
    <row r="1434" spans="1:14" x14ac:dyDescent="0.3">
      <c r="A1434" t="s">
        <v>2956</v>
      </c>
      <c r="D1434" t="s">
        <v>2957</v>
      </c>
      <c r="E1434" t="s">
        <v>8</v>
      </c>
      <c r="F1434" t="s">
        <v>9</v>
      </c>
      <c r="H1434" s="23" t="str">
        <f>VLOOKUP(A1434,Revisión!$A$2:$L$703,6,FALSE)</f>
        <v>Damburneya coriacea</v>
      </c>
      <c r="I1434" s="4" t="str">
        <f>VLOOKUP(A1434,Revisión!$A$2:$L$703,7,FALSE)</f>
        <v>-</v>
      </c>
      <c r="J1434" s="4" t="str">
        <f>VLOOKUP(A1434,Revisión!$A$2:$L$703,8,FALSE)</f>
        <v>Damburneya coriacea</v>
      </c>
      <c r="K1434" s="4" t="str">
        <f>VLOOKUP(A1434,Revisión!$A$2:$L$703,9,FALSE)</f>
        <v>Damburneya coriacea</v>
      </c>
      <c r="L1434" s="4" t="str">
        <f>VLOOKUP(A1434,Revisión!$A$2:$L$703,10,FALSE)</f>
        <v>Damburneya coriacea</v>
      </c>
      <c r="M1434" s="18">
        <f>VLOOKUP(A1434,Revisión!$A$2:$L$703,11,FALSE)</f>
        <v>5</v>
      </c>
      <c r="N1434" s="30" t="str">
        <f>IF(E1434="Coinciden",D1434,IF(E1434="Revisar",VLOOKUP(A1434,Revisión!$A$2:$L$703,12,FALSE),""))</f>
        <v>Damburneya coriacea</v>
      </c>
    </row>
    <row r="1435" spans="1:14" x14ac:dyDescent="0.3">
      <c r="A1435" t="s">
        <v>2958</v>
      </c>
      <c r="B1435" t="s">
        <v>2959</v>
      </c>
      <c r="C1435" t="s">
        <v>2959</v>
      </c>
      <c r="D1435" t="s">
        <v>2959</v>
      </c>
      <c r="E1435" t="s">
        <v>18</v>
      </c>
      <c r="F1435" t="s">
        <v>19</v>
      </c>
      <c r="H1435" s="23" t="e">
        <f>VLOOKUP(A1435,Revisión!$A$2:$L$703,6,FALSE)</f>
        <v>#N/A</v>
      </c>
      <c r="I1435" s="4" t="e">
        <f>VLOOKUP(A1435,Revisión!$A$2:$L$703,7,FALSE)</f>
        <v>#N/A</v>
      </c>
      <c r="J1435" s="4" t="e">
        <f>VLOOKUP(A1435,Revisión!$A$2:$L$703,8,FALSE)</f>
        <v>#N/A</v>
      </c>
      <c r="K1435" s="4" t="e">
        <f>VLOOKUP(A1435,Revisión!$A$2:$L$703,9,FALSE)</f>
        <v>#N/A</v>
      </c>
      <c r="L1435" s="4" t="e">
        <f>VLOOKUP(A1435,Revisión!$A$2:$L$703,10,FALSE)</f>
        <v>#N/A</v>
      </c>
      <c r="M1435" s="18" t="e">
        <f>VLOOKUP(A1435,Revisión!$A$2:$L$703,11,FALSE)</f>
        <v>#N/A</v>
      </c>
      <c r="N1435" s="30" t="str">
        <f>IF(E1435="Coinciden",D1435,IF(E1435="Revisar",VLOOKUP(A1435,Revisión!$A$2:$L$703,12,FALSE),""))</f>
        <v>Nelumbo lutea</v>
      </c>
    </row>
    <row r="1436" spans="1:14" x14ac:dyDescent="0.3">
      <c r="A1436" t="s">
        <v>2960</v>
      </c>
      <c r="B1436" t="s">
        <v>2961</v>
      </c>
      <c r="C1436" t="s">
        <v>2961</v>
      </c>
      <c r="D1436" t="s">
        <v>2961</v>
      </c>
      <c r="E1436" t="s">
        <v>18</v>
      </c>
      <c r="F1436" t="s">
        <v>19</v>
      </c>
      <c r="H1436" s="23" t="e">
        <f>VLOOKUP(A1436,Revisión!$A$2:$L$703,6,FALSE)</f>
        <v>#N/A</v>
      </c>
      <c r="I1436" s="4" t="e">
        <f>VLOOKUP(A1436,Revisión!$A$2:$L$703,7,FALSE)</f>
        <v>#N/A</v>
      </c>
      <c r="J1436" s="4" t="e">
        <f>VLOOKUP(A1436,Revisión!$A$2:$L$703,8,FALSE)</f>
        <v>#N/A</v>
      </c>
      <c r="K1436" s="4" t="e">
        <f>VLOOKUP(A1436,Revisión!$A$2:$L$703,9,FALSE)</f>
        <v>#N/A</v>
      </c>
      <c r="L1436" s="4" t="e">
        <f>VLOOKUP(A1436,Revisión!$A$2:$L$703,10,FALSE)</f>
        <v>#N/A</v>
      </c>
      <c r="M1436" s="18" t="e">
        <f>VLOOKUP(A1436,Revisión!$A$2:$L$703,11,FALSE)</f>
        <v>#N/A</v>
      </c>
      <c r="N1436" s="30" t="str">
        <f>IF(E1436="Coinciden",D1436,IF(E1436="Revisar",VLOOKUP(A1436,Revisión!$A$2:$L$703,12,FALSE),""))</f>
        <v>Ilex mucronata</v>
      </c>
    </row>
    <row r="1437" spans="1:14" x14ac:dyDescent="0.3">
      <c r="A1437" t="s">
        <v>2962</v>
      </c>
      <c r="B1437" t="s">
        <v>2963</v>
      </c>
      <c r="C1437" t="s">
        <v>2963</v>
      </c>
      <c r="D1437" t="s">
        <v>2964</v>
      </c>
      <c r="E1437" t="s">
        <v>8</v>
      </c>
      <c r="F1437" t="s">
        <v>15</v>
      </c>
      <c r="H1437" s="23" t="str">
        <f>VLOOKUP(A1437,Revisión!$A$2:$L$703,6,FALSE)</f>
        <v>Montia australasica</v>
      </c>
      <c r="I1437" s="4" t="str">
        <f>VLOOKUP(A1437,Revisión!$A$2:$L$703,7,FALSE)</f>
        <v>-</v>
      </c>
      <c r="J1437" s="4" t="str">
        <f>VLOOKUP(A1437,Revisión!$A$2:$L$703,8,FALSE)</f>
        <v>Montia australasica</v>
      </c>
      <c r="K1437" s="4" t="str">
        <f>VLOOKUP(A1437,Revisión!$A$2:$L$703,9,FALSE)</f>
        <v>Montia australasica</v>
      </c>
      <c r="L1437" s="4" t="str">
        <f>VLOOKUP(A1437,Revisión!$A$2:$L$703,10,FALSE)</f>
        <v>Montia australasica</v>
      </c>
      <c r="M1437" s="18">
        <f>VLOOKUP(A1437,Revisión!$A$2:$L$703,11,FALSE)</f>
        <v>4</v>
      </c>
      <c r="N1437" s="30" t="str">
        <f>IF(E1437="Coinciden",D1437,IF(E1437="Revisar",VLOOKUP(A1437,Revisión!$A$2:$L$703,12,FALSE),""))</f>
        <v>Montia australasica</v>
      </c>
    </row>
    <row r="1438" spans="1:14" x14ac:dyDescent="0.3">
      <c r="A1438" t="s">
        <v>2965</v>
      </c>
      <c r="C1438" t="s">
        <v>2966</v>
      </c>
      <c r="D1438" t="s">
        <v>2966</v>
      </c>
      <c r="E1438" t="s">
        <v>8</v>
      </c>
      <c r="F1438" t="s">
        <v>49</v>
      </c>
      <c r="H1438" s="23" t="str">
        <f>VLOOKUP(A1438,Revisión!$A$2:$L$703,6,FALSE)</f>
        <v>Neoregelia magdalenae</v>
      </c>
      <c r="I1438" s="4" t="str">
        <f>VLOOKUP(A1438,Revisión!$A$2:$L$703,7,FALSE)</f>
        <v>-</v>
      </c>
      <c r="J1438" s="4" t="str">
        <f>VLOOKUP(A1438,Revisión!$A$2:$L$703,8,FALSE)</f>
        <v>Neoregelia magdalenae</v>
      </c>
      <c r="K1438" s="4" t="str">
        <f>VLOOKUP(A1438,Revisión!$A$2:$L$703,9,FALSE)</f>
        <v>Neoregelia magdalenae</v>
      </c>
      <c r="L1438" s="4" t="str">
        <f>VLOOKUP(A1438,Revisión!$A$2:$L$703,10,FALSE)</f>
        <v>Neoregelia magdalenae</v>
      </c>
      <c r="M1438" s="18">
        <f>VLOOKUP(A1438,Revisión!$A$2:$L$703,11,FALSE)</f>
        <v>4</v>
      </c>
      <c r="N1438" s="30" t="str">
        <f>IF(E1438="Coinciden",D1438,IF(E1438="Revisar",VLOOKUP(A1438,Revisión!$A$2:$L$703,12,FALSE),""))</f>
        <v>Neoregelia magdalenae</v>
      </c>
    </row>
    <row r="1439" spans="1:14" x14ac:dyDescent="0.3">
      <c r="A1439" t="s">
        <v>2967</v>
      </c>
      <c r="E1439" t="s">
        <v>8</v>
      </c>
      <c r="F1439" t="s">
        <v>11</v>
      </c>
      <c r="H1439" s="23" t="e">
        <f>VLOOKUP(A1439,Revisión!$A$2:$L$703,6,FALSE)</f>
        <v>#N/A</v>
      </c>
      <c r="I1439" s="4" t="e">
        <f>VLOOKUP(A1439,Revisión!$A$2:$L$703,7,FALSE)</f>
        <v>#N/A</v>
      </c>
      <c r="J1439" s="4" t="e">
        <f>VLOOKUP(A1439,Revisión!$A$2:$L$703,8,FALSE)</f>
        <v>#N/A</v>
      </c>
      <c r="K1439" s="4" t="e">
        <f>VLOOKUP(A1439,Revisión!$A$2:$L$703,9,FALSE)</f>
        <v>#N/A</v>
      </c>
      <c r="L1439" s="4" t="e">
        <f>VLOOKUP(A1439,Revisión!$A$2:$L$703,10,FALSE)</f>
        <v>#N/A</v>
      </c>
      <c r="M1439" s="18" t="e">
        <f>VLOOKUP(A1439,Revisión!$A$2:$L$703,11,FALSE)</f>
        <v>#N/A</v>
      </c>
      <c r="N1439" s="30" t="e">
        <f>IF(E1439="Coinciden",D1439,IF(E1439="Revisar",VLOOKUP(A1439,Revisión!$A$2:$L$703,12,FALSE),""))</f>
        <v>#N/A</v>
      </c>
    </row>
    <row r="1440" spans="1:14" x14ac:dyDescent="0.3">
      <c r="A1440" t="s">
        <v>2968</v>
      </c>
      <c r="B1440" t="s">
        <v>2969</v>
      </c>
      <c r="C1440" t="s">
        <v>2969</v>
      </c>
      <c r="D1440" t="s">
        <v>2969</v>
      </c>
      <c r="E1440" t="s">
        <v>18</v>
      </c>
      <c r="F1440" t="s">
        <v>19</v>
      </c>
      <c r="H1440" s="23" t="e">
        <f>VLOOKUP(A1440,Revisión!$A$2:$L$703,6,FALSE)</f>
        <v>#N/A</v>
      </c>
      <c r="I1440" s="4" t="e">
        <f>VLOOKUP(A1440,Revisión!$A$2:$L$703,7,FALSE)</f>
        <v>#N/A</v>
      </c>
      <c r="J1440" s="4" t="e">
        <f>VLOOKUP(A1440,Revisión!$A$2:$L$703,8,FALSE)</f>
        <v>#N/A</v>
      </c>
      <c r="K1440" s="4" t="e">
        <f>VLOOKUP(A1440,Revisión!$A$2:$L$703,9,FALSE)</f>
        <v>#N/A</v>
      </c>
      <c r="L1440" s="4" t="e">
        <f>VLOOKUP(A1440,Revisión!$A$2:$L$703,10,FALSE)</f>
        <v>#N/A</v>
      </c>
      <c r="M1440" s="18" t="e">
        <f>VLOOKUP(A1440,Revisión!$A$2:$L$703,11,FALSE)</f>
        <v>#N/A</v>
      </c>
      <c r="N1440" s="30" t="str">
        <f>IF(E1440="Coinciden",D1440,IF(E1440="Revisar",VLOOKUP(A1440,Revisión!$A$2:$L$703,12,FALSE),""))</f>
        <v>Nepenthes pervillei</v>
      </c>
    </row>
    <row r="1441" spans="1:14" x14ac:dyDescent="0.3">
      <c r="A1441" t="s">
        <v>2970</v>
      </c>
      <c r="B1441" t="s">
        <v>2971</v>
      </c>
      <c r="C1441" t="s">
        <v>2971</v>
      </c>
      <c r="D1441" t="s">
        <v>2971</v>
      </c>
      <c r="E1441" t="s">
        <v>18</v>
      </c>
      <c r="F1441" t="s">
        <v>19</v>
      </c>
      <c r="H1441" s="23" t="e">
        <f>VLOOKUP(A1441,Revisión!$A$2:$L$703,6,FALSE)</f>
        <v>#N/A</v>
      </c>
      <c r="I1441" s="4" t="e">
        <f>VLOOKUP(A1441,Revisión!$A$2:$L$703,7,FALSE)</f>
        <v>#N/A</v>
      </c>
      <c r="J1441" s="4" t="e">
        <f>VLOOKUP(A1441,Revisión!$A$2:$L$703,8,FALSE)</f>
        <v>#N/A</v>
      </c>
      <c r="K1441" s="4" t="e">
        <f>VLOOKUP(A1441,Revisión!$A$2:$L$703,9,FALSE)</f>
        <v>#N/A</v>
      </c>
      <c r="L1441" s="4" t="e">
        <f>VLOOKUP(A1441,Revisión!$A$2:$L$703,10,FALSE)</f>
        <v>#N/A</v>
      </c>
      <c r="M1441" s="18" t="e">
        <f>VLOOKUP(A1441,Revisión!$A$2:$L$703,11,FALSE)</f>
        <v>#N/A</v>
      </c>
      <c r="N1441" s="30" t="str">
        <f>IF(E1441="Coinciden",D1441,IF(E1441="Revisar",VLOOKUP(A1441,Revisión!$A$2:$L$703,12,FALSE),""))</f>
        <v>Nepeta teydea</v>
      </c>
    </row>
    <row r="1442" spans="1:14" x14ac:dyDescent="0.3">
      <c r="A1442" t="s">
        <v>2972</v>
      </c>
      <c r="B1442" t="s">
        <v>2973</v>
      </c>
      <c r="C1442" t="s">
        <v>2014</v>
      </c>
      <c r="D1442" t="s">
        <v>2014</v>
      </c>
      <c r="E1442" t="s">
        <v>8</v>
      </c>
      <c r="F1442" t="s">
        <v>23</v>
      </c>
      <c r="H1442" s="23" t="str">
        <f>VLOOKUP(A1442,Revisión!$A$2:$L$703,6,FALSE)</f>
        <v>Glechoma hederacea</v>
      </c>
      <c r="I1442" s="4" t="str">
        <f>VLOOKUP(A1442,Revisión!$A$2:$L$703,7,FALSE)</f>
        <v>-</v>
      </c>
      <c r="J1442" s="4" t="str">
        <f>VLOOKUP(A1442,Revisión!$A$2:$L$703,8,FALSE)</f>
        <v>Glechoma hederacea</v>
      </c>
      <c r="K1442" s="4" t="str">
        <f>VLOOKUP(A1442,Revisión!$A$2:$L$703,9,FALSE)</f>
        <v>Glechoma hederacea</v>
      </c>
      <c r="L1442" s="4" t="str">
        <f>VLOOKUP(A1442,Revisión!$A$2:$L$703,10,FALSE)</f>
        <v>Glechoma hederacea</v>
      </c>
      <c r="M1442" s="18">
        <f>VLOOKUP(A1442,Revisión!$A$2:$L$703,11,FALSE)</f>
        <v>4</v>
      </c>
      <c r="N1442" s="30" t="str">
        <f>IF(E1442="Coinciden",D1442,IF(E1442="Revisar",VLOOKUP(A1442,Revisión!$A$2:$L$703,12,FALSE),""))</f>
        <v>Glechoma hederacea</v>
      </c>
    </row>
    <row r="1443" spans="1:14" x14ac:dyDescent="0.3">
      <c r="A1443" t="s">
        <v>2974</v>
      </c>
      <c r="B1443" t="s">
        <v>2975</v>
      </c>
      <c r="C1443" t="s">
        <v>2975</v>
      </c>
      <c r="D1443" t="s">
        <v>2975</v>
      </c>
      <c r="E1443" t="s">
        <v>18</v>
      </c>
      <c r="F1443" t="s">
        <v>19</v>
      </c>
      <c r="H1443" s="23" t="e">
        <f>VLOOKUP(A1443,Revisión!$A$2:$L$703,6,FALSE)</f>
        <v>#N/A</v>
      </c>
      <c r="I1443" s="4" t="e">
        <f>VLOOKUP(A1443,Revisión!$A$2:$L$703,7,FALSE)</f>
        <v>#N/A</v>
      </c>
      <c r="J1443" s="4" t="e">
        <f>VLOOKUP(A1443,Revisión!$A$2:$L$703,8,FALSE)</f>
        <v>#N/A</v>
      </c>
      <c r="K1443" s="4" t="e">
        <f>VLOOKUP(A1443,Revisión!$A$2:$L$703,9,FALSE)</f>
        <v>#N/A</v>
      </c>
      <c r="L1443" s="4" t="e">
        <f>VLOOKUP(A1443,Revisión!$A$2:$L$703,10,FALSE)</f>
        <v>#N/A</v>
      </c>
      <c r="M1443" s="18" t="e">
        <f>VLOOKUP(A1443,Revisión!$A$2:$L$703,11,FALSE)</f>
        <v>#N/A</v>
      </c>
      <c r="N1443" s="30" t="str">
        <f>IF(E1443="Coinciden",D1443,IF(E1443="Revisar",VLOOKUP(A1443,Revisión!$A$2:$L$703,12,FALSE),""))</f>
        <v>Nepeta cataria</v>
      </c>
    </row>
    <row r="1444" spans="1:14" x14ac:dyDescent="0.3">
      <c r="A1444" t="s">
        <v>2976</v>
      </c>
      <c r="B1444" t="s">
        <v>2977</v>
      </c>
      <c r="C1444" t="s">
        <v>2977</v>
      </c>
      <c r="D1444" t="s">
        <v>2977</v>
      </c>
      <c r="E1444" t="s">
        <v>18</v>
      </c>
      <c r="F1444" t="s">
        <v>19</v>
      </c>
      <c r="H1444" s="23" t="e">
        <f>VLOOKUP(A1444,Revisión!$A$2:$L$703,6,FALSE)</f>
        <v>#N/A</v>
      </c>
      <c r="I1444" s="4" t="e">
        <f>VLOOKUP(A1444,Revisión!$A$2:$L$703,7,FALSE)</f>
        <v>#N/A</v>
      </c>
      <c r="J1444" s="4" t="e">
        <f>VLOOKUP(A1444,Revisión!$A$2:$L$703,8,FALSE)</f>
        <v>#N/A</v>
      </c>
      <c r="K1444" s="4" t="e">
        <f>VLOOKUP(A1444,Revisión!$A$2:$L$703,9,FALSE)</f>
        <v>#N/A</v>
      </c>
      <c r="L1444" s="4" t="e">
        <f>VLOOKUP(A1444,Revisión!$A$2:$L$703,10,FALSE)</f>
        <v>#N/A</v>
      </c>
      <c r="M1444" s="18" t="e">
        <f>VLOOKUP(A1444,Revisión!$A$2:$L$703,11,FALSE)</f>
        <v>#N/A</v>
      </c>
      <c r="N1444" s="30" t="str">
        <f>IF(E1444="Coinciden",D1444,IF(E1444="Revisar",VLOOKUP(A1444,Revisión!$A$2:$L$703,12,FALSE),""))</f>
        <v>Nephrosperma vanhoutteanum</v>
      </c>
    </row>
    <row r="1445" spans="1:14" x14ac:dyDescent="0.3">
      <c r="A1445" t="s">
        <v>2978</v>
      </c>
      <c r="B1445" t="s">
        <v>2979</v>
      </c>
      <c r="C1445" t="s">
        <v>2979</v>
      </c>
      <c r="D1445" t="s">
        <v>2979</v>
      </c>
      <c r="E1445" t="s">
        <v>18</v>
      </c>
      <c r="F1445" t="s">
        <v>19</v>
      </c>
      <c r="H1445" s="23" t="e">
        <f>VLOOKUP(A1445,Revisión!$A$2:$L$703,6,FALSE)</f>
        <v>#N/A</v>
      </c>
      <c r="I1445" s="4" t="e">
        <f>VLOOKUP(A1445,Revisión!$A$2:$L$703,7,FALSE)</f>
        <v>#N/A</v>
      </c>
      <c r="J1445" s="4" t="e">
        <f>VLOOKUP(A1445,Revisión!$A$2:$L$703,8,FALSE)</f>
        <v>#N/A</v>
      </c>
      <c r="K1445" s="4" t="e">
        <f>VLOOKUP(A1445,Revisión!$A$2:$L$703,9,FALSE)</f>
        <v>#N/A</v>
      </c>
      <c r="L1445" s="4" t="e">
        <f>VLOOKUP(A1445,Revisión!$A$2:$L$703,10,FALSE)</f>
        <v>#N/A</v>
      </c>
      <c r="M1445" s="18" t="e">
        <f>VLOOKUP(A1445,Revisión!$A$2:$L$703,11,FALSE)</f>
        <v>#N/A</v>
      </c>
      <c r="N1445" s="30" t="str">
        <f>IF(E1445="Coinciden",D1445,IF(E1445="Revisar",VLOOKUP(A1445,Revisión!$A$2:$L$703,12,FALSE),""))</f>
        <v>Nidularium procerum</v>
      </c>
    </row>
    <row r="1446" spans="1:14" x14ac:dyDescent="0.3">
      <c r="A1446" t="s">
        <v>2980</v>
      </c>
      <c r="B1446" t="s">
        <v>2981</v>
      </c>
      <c r="C1446" t="s">
        <v>2981</v>
      </c>
      <c r="D1446" t="s">
        <v>2981</v>
      </c>
      <c r="E1446" t="s">
        <v>18</v>
      </c>
      <c r="F1446" t="s">
        <v>19</v>
      </c>
      <c r="H1446" s="23" t="e">
        <f>VLOOKUP(A1446,Revisión!$A$2:$L$703,6,FALSE)</f>
        <v>#N/A</v>
      </c>
      <c r="I1446" s="4" t="e">
        <f>VLOOKUP(A1446,Revisión!$A$2:$L$703,7,FALSE)</f>
        <v>#N/A</v>
      </c>
      <c r="J1446" s="4" t="e">
        <f>VLOOKUP(A1446,Revisión!$A$2:$L$703,8,FALSE)</f>
        <v>#N/A</v>
      </c>
      <c r="K1446" s="4" t="e">
        <f>VLOOKUP(A1446,Revisión!$A$2:$L$703,9,FALSE)</f>
        <v>#N/A</v>
      </c>
      <c r="L1446" s="4" t="e">
        <f>VLOOKUP(A1446,Revisión!$A$2:$L$703,10,FALSE)</f>
        <v>#N/A</v>
      </c>
      <c r="M1446" s="18" t="e">
        <f>VLOOKUP(A1446,Revisión!$A$2:$L$703,11,FALSE)</f>
        <v>#N/A</v>
      </c>
      <c r="N1446" s="30" t="str">
        <f>IF(E1446="Coinciden",D1446,IF(E1446="Revisar",VLOOKUP(A1446,Revisión!$A$2:$L$703,12,FALSE),""))</f>
        <v>Nidularium campo-alegrensis</v>
      </c>
    </row>
    <row r="1447" spans="1:14" x14ac:dyDescent="0.3">
      <c r="A1447" t="s">
        <v>2982</v>
      </c>
      <c r="B1447" t="s">
        <v>2983</v>
      </c>
      <c r="C1447" t="s">
        <v>2983</v>
      </c>
      <c r="D1447" t="s">
        <v>2983</v>
      </c>
      <c r="E1447" t="s">
        <v>18</v>
      </c>
      <c r="F1447" t="s">
        <v>19</v>
      </c>
      <c r="H1447" s="23" t="e">
        <f>VLOOKUP(A1447,Revisión!$A$2:$L$703,6,FALSE)</f>
        <v>#N/A</v>
      </c>
      <c r="I1447" s="4" t="e">
        <f>VLOOKUP(A1447,Revisión!$A$2:$L$703,7,FALSE)</f>
        <v>#N/A</v>
      </c>
      <c r="J1447" s="4" t="e">
        <f>VLOOKUP(A1447,Revisión!$A$2:$L$703,8,FALSE)</f>
        <v>#N/A</v>
      </c>
      <c r="K1447" s="4" t="e">
        <f>VLOOKUP(A1447,Revisión!$A$2:$L$703,9,FALSE)</f>
        <v>#N/A</v>
      </c>
      <c r="L1447" s="4" t="e">
        <f>VLOOKUP(A1447,Revisión!$A$2:$L$703,10,FALSE)</f>
        <v>#N/A</v>
      </c>
      <c r="M1447" s="18" t="e">
        <f>VLOOKUP(A1447,Revisión!$A$2:$L$703,11,FALSE)</f>
        <v>#N/A</v>
      </c>
      <c r="N1447" s="30" t="str">
        <f>IF(E1447="Coinciden",D1447,IF(E1447="Revisar",VLOOKUP(A1447,Revisión!$A$2:$L$703,12,FALSE),""))</f>
        <v>Nidularium cariacicaense</v>
      </c>
    </row>
    <row r="1448" spans="1:14" x14ac:dyDescent="0.3">
      <c r="A1448" t="s">
        <v>2984</v>
      </c>
      <c r="B1448" t="s">
        <v>2985</v>
      </c>
      <c r="D1448" t="s">
        <v>2985</v>
      </c>
      <c r="E1448" t="s">
        <v>8</v>
      </c>
      <c r="F1448" t="s">
        <v>34</v>
      </c>
      <c r="H1448" s="23" t="str">
        <f>VLOOKUP(A1448,Revisión!$A$2:$L$703,6,FALSE)</f>
        <v>Nigella arvensis</v>
      </c>
      <c r="I1448" s="4" t="str">
        <f>VLOOKUP(A1448,Revisión!$A$2:$L$703,7,FALSE)</f>
        <v>-</v>
      </c>
      <c r="J1448" s="4" t="str">
        <f>VLOOKUP(A1448,Revisión!$A$2:$L$703,8,FALSE)</f>
        <v>Nigella arvensis</v>
      </c>
      <c r="K1448" s="4" t="str">
        <f>VLOOKUP(A1448,Revisión!$A$2:$L$703,9,FALSE)</f>
        <v>Nigella arvensis</v>
      </c>
      <c r="L1448" s="4" t="str">
        <f>VLOOKUP(A1448,Revisión!$A$2:$L$703,10,FALSE)</f>
        <v>Nigella arvensis</v>
      </c>
      <c r="M1448" s="18">
        <f>VLOOKUP(A1448,Revisión!$A$2:$L$703,11,FALSE)</f>
        <v>5</v>
      </c>
      <c r="N1448" s="30" t="str">
        <f>IF(E1448="Coinciden",D1448,IF(E1448="Revisar",VLOOKUP(A1448,Revisión!$A$2:$L$703,12,FALSE),""))</f>
        <v>Nigella arvensis</v>
      </c>
    </row>
    <row r="1449" spans="1:14" x14ac:dyDescent="0.3">
      <c r="A1449" t="s">
        <v>2986</v>
      </c>
      <c r="C1449" t="s">
        <v>2987</v>
      </c>
      <c r="D1449" t="s">
        <v>2987</v>
      </c>
      <c r="E1449" t="s">
        <v>8</v>
      </c>
      <c r="F1449" t="s">
        <v>49</v>
      </c>
      <c r="H1449" s="23" t="str">
        <f>VLOOKUP(A1449,Revisión!$A$2:$L$703,6,FALSE)</f>
        <v>Cneorum pulverulentum</v>
      </c>
      <c r="I1449" s="4" t="str">
        <f>VLOOKUP(A1449,Revisión!$A$2:$L$703,7,FALSE)</f>
        <v>-</v>
      </c>
      <c r="J1449" s="4" t="str">
        <f>VLOOKUP(A1449,Revisión!$A$2:$L$703,8,FALSE)</f>
        <v>Cneorum pulverulentum</v>
      </c>
      <c r="K1449" s="4" t="str">
        <f>VLOOKUP(A1449,Revisión!$A$2:$L$703,9,FALSE)</f>
        <v>Cneorum pulverulentum</v>
      </c>
      <c r="L1449" s="4" t="str">
        <f>VLOOKUP(A1449,Revisión!$A$2:$L$703,10,FALSE)</f>
        <v>Cneorum pulverulentum</v>
      </c>
      <c r="M1449" s="18">
        <f>VLOOKUP(A1449,Revisión!$A$2:$L$703,11,FALSE)</f>
        <v>4</v>
      </c>
      <c r="N1449" s="30" t="str">
        <f>IF(E1449="Coinciden",D1449,IF(E1449="Revisar",VLOOKUP(A1449,Revisión!$A$2:$L$703,12,FALSE),""))</f>
        <v>Cneorum pulverulentum</v>
      </c>
    </row>
    <row r="1450" spans="1:14" x14ac:dyDescent="0.3">
      <c r="A1450" t="s">
        <v>2988</v>
      </c>
      <c r="B1450" t="s">
        <v>2989</v>
      </c>
      <c r="C1450" t="s">
        <v>2989</v>
      </c>
      <c r="D1450" t="s">
        <v>2989</v>
      </c>
      <c r="E1450" t="s">
        <v>18</v>
      </c>
      <c r="F1450" t="s">
        <v>19</v>
      </c>
      <c r="H1450" s="23" t="e">
        <f>VLOOKUP(A1450,Revisión!$A$2:$L$703,6,FALSE)</f>
        <v>#N/A</v>
      </c>
      <c r="I1450" s="4" t="e">
        <f>VLOOKUP(A1450,Revisión!$A$2:$L$703,7,FALSE)</f>
        <v>#N/A</v>
      </c>
      <c r="J1450" s="4" t="e">
        <f>VLOOKUP(A1450,Revisión!$A$2:$L$703,8,FALSE)</f>
        <v>#N/A</v>
      </c>
      <c r="K1450" s="4" t="e">
        <f>VLOOKUP(A1450,Revisión!$A$2:$L$703,9,FALSE)</f>
        <v>#N/A</v>
      </c>
      <c r="L1450" s="4" t="e">
        <f>VLOOKUP(A1450,Revisión!$A$2:$L$703,10,FALSE)</f>
        <v>#N/A</v>
      </c>
      <c r="M1450" s="18" t="e">
        <f>VLOOKUP(A1450,Revisión!$A$2:$L$703,11,FALSE)</f>
        <v>#N/A</v>
      </c>
      <c r="N1450" s="30" t="str">
        <f>IF(E1450="Coinciden",D1450,IF(E1450="Revisar",VLOOKUP(A1450,Revisión!$A$2:$L$703,12,FALSE),""))</f>
        <v>Nolana galapagensis</v>
      </c>
    </row>
    <row r="1451" spans="1:14" x14ac:dyDescent="0.3">
      <c r="A1451" t="s">
        <v>2990</v>
      </c>
      <c r="B1451" t="s">
        <v>2991</v>
      </c>
      <c r="C1451" t="s">
        <v>2991</v>
      </c>
      <c r="D1451" t="s">
        <v>2991</v>
      </c>
      <c r="E1451" t="s">
        <v>18</v>
      </c>
      <c r="F1451" t="s">
        <v>19</v>
      </c>
      <c r="H1451" s="23" t="e">
        <f>VLOOKUP(A1451,Revisión!$A$2:$L$703,6,FALSE)</f>
        <v>#N/A</v>
      </c>
      <c r="I1451" s="4" t="e">
        <f>VLOOKUP(A1451,Revisión!$A$2:$L$703,7,FALSE)</f>
        <v>#N/A</v>
      </c>
      <c r="J1451" s="4" t="e">
        <f>VLOOKUP(A1451,Revisión!$A$2:$L$703,8,FALSE)</f>
        <v>#N/A</v>
      </c>
      <c r="K1451" s="4" t="e">
        <f>VLOOKUP(A1451,Revisión!$A$2:$L$703,9,FALSE)</f>
        <v>#N/A</v>
      </c>
      <c r="L1451" s="4" t="e">
        <f>VLOOKUP(A1451,Revisión!$A$2:$L$703,10,FALSE)</f>
        <v>#N/A</v>
      </c>
      <c r="M1451" s="18" t="e">
        <f>VLOOKUP(A1451,Revisión!$A$2:$L$703,11,FALSE)</f>
        <v>#N/A</v>
      </c>
      <c r="N1451" s="30" t="str">
        <f>IF(E1451="Coinciden",D1451,IF(E1451="Revisar",VLOOKUP(A1451,Revisión!$A$2:$L$703,12,FALSE),""))</f>
        <v>Northia seychellana</v>
      </c>
    </row>
    <row r="1452" spans="1:14" x14ac:dyDescent="0.3">
      <c r="A1452" t="s">
        <v>2992</v>
      </c>
      <c r="B1452" t="s">
        <v>2993</v>
      </c>
      <c r="C1452" t="s">
        <v>2993</v>
      </c>
      <c r="D1452" t="s">
        <v>2993</v>
      </c>
      <c r="E1452" t="s">
        <v>18</v>
      </c>
      <c r="F1452" t="s">
        <v>19</v>
      </c>
      <c r="H1452" s="23" t="e">
        <f>VLOOKUP(A1452,Revisión!$A$2:$L$703,6,FALSE)</f>
        <v>#N/A</v>
      </c>
      <c r="I1452" s="4" t="e">
        <f>VLOOKUP(A1452,Revisión!$A$2:$L$703,7,FALSE)</f>
        <v>#N/A</v>
      </c>
      <c r="J1452" s="4" t="e">
        <f>VLOOKUP(A1452,Revisión!$A$2:$L$703,8,FALSE)</f>
        <v>#N/A</v>
      </c>
      <c r="K1452" s="4" t="e">
        <f>VLOOKUP(A1452,Revisión!$A$2:$L$703,9,FALSE)</f>
        <v>#N/A</v>
      </c>
      <c r="L1452" s="4" t="e">
        <f>VLOOKUP(A1452,Revisión!$A$2:$L$703,10,FALSE)</f>
        <v>#N/A</v>
      </c>
      <c r="M1452" s="18" t="e">
        <f>VLOOKUP(A1452,Revisión!$A$2:$L$703,11,FALSE)</f>
        <v>#N/A</v>
      </c>
      <c r="N1452" s="30" t="str">
        <f>IF(E1452="Coinciden",D1452,IF(E1452="Revisar",VLOOKUP(A1452,Revisión!$A$2:$L$703,12,FALSE),""))</f>
        <v>Latace andina</v>
      </c>
    </row>
    <row r="1453" spans="1:14" x14ac:dyDescent="0.3">
      <c r="A1453" t="s">
        <v>2994</v>
      </c>
      <c r="B1453" t="s">
        <v>2995</v>
      </c>
      <c r="C1453" t="s">
        <v>2995</v>
      </c>
      <c r="D1453" t="s">
        <v>2995</v>
      </c>
      <c r="E1453" t="s">
        <v>18</v>
      </c>
      <c r="F1453" t="s">
        <v>19</v>
      </c>
      <c r="H1453" s="23" t="e">
        <f>VLOOKUP(A1453,Revisión!$A$2:$L$703,6,FALSE)</f>
        <v>#N/A</v>
      </c>
      <c r="I1453" s="4" t="e">
        <f>VLOOKUP(A1453,Revisión!$A$2:$L$703,7,FALSE)</f>
        <v>#N/A</v>
      </c>
      <c r="J1453" s="4" t="e">
        <f>VLOOKUP(A1453,Revisión!$A$2:$L$703,8,FALSE)</f>
        <v>#N/A</v>
      </c>
      <c r="K1453" s="4" t="e">
        <f>VLOOKUP(A1453,Revisión!$A$2:$L$703,9,FALSE)</f>
        <v>#N/A</v>
      </c>
      <c r="L1453" s="4" t="e">
        <f>VLOOKUP(A1453,Revisión!$A$2:$L$703,10,FALSE)</f>
        <v>#N/A</v>
      </c>
      <c r="M1453" s="18" t="e">
        <f>VLOOKUP(A1453,Revisión!$A$2:$L$703,11,FALSE)</f>
        <v>#N/A</v>
      </c>
      <c r="N1453" s="30" t="str">
        <f>IF(E1453="Coinciden",D1453,IF(E1453="Revisar",VLOOKUP(A1453,Revisión!$A$2:$L$703,12,FALSE),""))</f>
        <v>Nothoscordum bivalve</v>
      </c>
    </row>
    <row r="1454" spans="1:14" x14ac:dyDescent="0.3">
      <c r="A1454" t="s">
        <v>2996</v>
      </c>
      <c r="B1454" t="s">
        <v>2997</v>
      </c>
      <c r="C1454" t="s">
        <v>2997</v>
      </c>
      <c r="D1454" t="s">
        <v>2997</v>
      </c>
      <c r="E1454" t="s">
        <v>18</v>
      </c>
      <c r="F1454" t="s">
        <v>19</v>
      </c>
      <c r="H1454" s="23" t="e">
        <f>VLOOKUP(A1454,Revisión!$A$2:$L$703,6,FALSE)</f>
        <v>#N/A</v>
      </c>
      <c r="I1454" s="4" t="e">
        <f>VLOOKUP(A1454,Revisión!$A$2:$L$703,7,FALSE)</f>
        <v>#N/A</v>
      </c>
      <c r="J1454" s="4" t="e">
        <f>VLOOKUP(A1454,Revisión!$A$2:$L$703,8,FALSE)</f>
        <v>#N/A</v>
      </c>
      <c r="K1454" s="4" t="e">
        <f>VLOOKUP(A1454,Revisión!$A$2:$L$703,9,FALSE)</f>
        <v>#N/A</v>
      </c>
      <c r="L1454" s="4" t="e">
        <f>VLOOKUP(A1454,Revisión!$A$2:$L$703,10,FALSE)</f>
        <v>#N/A</v>
      </c>
      <c r="M1454" s="18" t="e">
        <f>VLOOKUP(A1454,Revisión!$A$2:$L$703,11,FALSE)</f>
        <v>#N/A</v>
      </c>
      <c r="N1454" s="30" t="str">
        <f>IF(E1454="Coinciden",D1454,IF(E1454="Revisar",VLOOKUP(A1454,Revisión!$A$2:$L$703,12,FALSE),""))</f>
        <v>Nothoscordum bonariense</v>
      </c>
    </row>
    <row r="1455" spans="1:14" x14ac:dyDescent="0.3">
      <c r="A1455" t="s">
        <v>2998</v>
      </c>
      <c r="B1455" t="s">
        <v>2999</v>
      </c>
      <c r="C1455" t="s">
        <v>2999</v>
      </c>
      <c r="D1455" t="s">
        <v>2999</v>
      </c>
      <c r="E1455" t="s">
        <v>18</v>
      </c>
      <c r="F1455" t="s">
        <v>19</v>
      </c>
      <c r="H1455" s="23" t="e">
        <f>VLOOKUP(A1455,Revisión!$A$2:$L$703,6,FALSE)</f>
        <v>#N/A</v>
      </c>
      <c r="I1455" s="4" t="e">
        <f>VLOOKUP(A1455,Revisión!$A$2:$L$703,7,FALSE)</f>
        <v>#N/A</v>
      </c>
      <c r="J1455" s="4" t="e">
        <f>VLOOKUP(A1455,Revisión!$A$2:$L$703,8,FALSE)</f>
        <v>#N/A</v>
      </c>
      <c r="K1455" s="4" t="e">
        <f>VLOOKUP(A1455,Revisión!$A$2:$L$703,9,FALSE)</f>
        <v>#N/A</v>
      </c>
      <c r="L1455" s="4" t="e">
        <f>VLOOKUP(A1455,Revisión!$A$2:$L$703,10,FALSE)</f>
        <v>#N/A</v>
      </c>
      <c r="M1455" s="18" t="e">
        <f>VLOOKUP(A1455,Revisión!$A$2:$L$703,11,FALSE)</f>
        <v>#N/A</v>
      </c>
      <c r="N1455" s="30" t="str">
        <f>IF(E1455="Coinciden",D1455,IF(E1455="Revisar",VLOOKUP(A1455,Revisión!$A$2:$L$703,12,FALSE),""))</f>
        <v>Notopora schomburgkii</v>
      </c>
    </row>
    <row r="1456" spans="1:14" x14ac:dyDescent="0.3">
      <c r="A1456" t="s">
        <v>3000</v>
      </c>
      <c r="B1456" t="s">
        <v>3001</v>
      </c>
      <c r="C1456" t="s">
        <v>3001</v>
      </c>
      <c r="D1456" t="s">
        <v>3001</v>
      </c>
      <c r="E1456" t="s">
        <v>18</v>
      </c>
      <c r="F1456" t="s">
        <v>19</v>
      </c>
      <c r="H1456" s="23" t="e">
        <f>VLOOKUP(A1456,Revisión!$A$2:$L$703,6,FALSE)</f>
        <v>#N/A</v>
      </c>
      <c r="I1456" s="4" t="e">
        <f>VLOOKUP(A1456,Revisión!$A$2:$L$703,7,FALSE)</f>
        <v>#N/A</v>
      </c>
      <c r="J1456" s="4" t="e">
        <f>VLOOKUP(A1456,Revisión!$A$2:$L$703,8,FALSE)</f>
        <v>#N/A</v>
      </c>
      <c r="K1456" s="4" t="e">
        <f>VLOOKUP(A1456,Revisión!$A$2:$L$703,9,FALSE)</f>
        <v>#N/A</v>
      </c>
      <c r="L1456" s="4" t="e">
        <f>VLOOKUP(A1456,Revisión!$A$2:$L$703,10,FALSE)</f>
        <v>#N/A</v>
      </c>
      <c r="M1456" s="18" t="e">
        <f>VLOOKUP(A1456,Revisión!$A$2:$L$703,11,FALSE)</f>
        <v>#N/A</v>
      </c>
      <c r="N1456" s="30" t="str">
        <f>IF(E1456="Coinciden",D1456,IF(E1456="Revisar",VLOOKUP(A1456,Revisión!$A$2:$L$703,12,FALSE),""))</f>
        <v>Nototriche compacta</v>
      </c>
    </row>
    <row r="1457" spans="1:14" x14ac:dyDescent="0.3">
      <c r="A1457" t="s">
        <v>3002</v>
      </c>
      <c r="B1457" t="s">
        <v>3003</v>
      </c>
      <c r="C1457" t="s">
        <v>3004</v>
      </c>
      <c r="D1457" t="s">
        <v>3004</v>
      </c>
      <c r="E1457" t="s">
        <v>8</v>
      </c>
      <c r="F1457" t="s">
        <v>23</v>
      </c>
      <c r="H1457" s="23" t="str">
        <f>VLOOKUP(A1457,Revisión!$A$2:$L$703,6,FALSE)</f>
        <v>Nuphar advena subsp. advena</v>
      </c>
      <c r="I1457" s="4" t="str">
        <f>VLOOKUP(A1457,Revisión!$A$2:$L$703,7,FALSE)</f>
        <v>-</v>
      </c>
      <c r="J1457" s="4" t="str">
        <f>VLOOKUP(A1457,Revisión!$A$2:$L$703,8,FALSE)</f>
        <v>Nuphar advena</v>
      </c>
      <c r="K1457" s="4" t="str">
        <f>VLOOKUP(A1457,Revisión!$A$2:$L$703,9,FALSE)</f>
        <v>Nuphar advena subsp. advena</v>
      </c>
      <c r="L1457" s="4" t="str">
        <f>VLOOKUP(A1457,Revisión!$A$2:$L$703,10,FALSE)</f>
        <v>Nuphar advena subsp. advena</v>
      </c>
      <c r="M1457" s="18">
        <f>VLOOKUP(A1457,Revisión!$A$2:$L$703,11,FALSE)</f>
        <v>3</v>
      </c>
      <c r="N1457" s="30" t="str">
        <f>IF(E1457="Coinciden",D1457,IF(E1457="Revisar",VLOOKUP(A1457,Revisión!$A$2:$L$703,12,FALSE),""))</f>
        <v>Nuphar advena subsp. advena</v>
      </c>
    </row>
    <row r="1458" spans="1:14" x14ac:dyDescent="0.3">
      <c r="A1458" t="s">
        <v>3005</v>
      </c>
      <c r="B1458" t="s">
        <v>3006</v>
      </c>
      <c r="E1458" t="s">
        <v>8</v>
      </c>
      <c r="F1458" t="s">
        <v>9</v>
      </c>
      <c r="H1458" s="23" t="str">
        <f>VLOOKUP(A1458,Revisión!$A$2:$L$703,6,FALSE)</f>
        <v>Nymphaea ×marliacea</v>
      </c>
      <c r="I1458" s="4" t="str">
        <f>VLOOKUP(A1458,Revisión!$A$2:$L$703,7,FALSE)</f>
        <v>-</v>
      </c>
      <c r="J1458" s="4" t="str">
        <f>VLOOKUP(A1458,Revisión!$A$2:$L$703,8,FALSE)</f>
        <v>Nymphaea x marliacea</v>
      </c>
      <c r="K1458" s="4" t="str">
        <f>VLOOKUP(A1458,Revisión!$A$2:$L$703,9,FALSE)</f>
        <v>-</v>
      </c>
      <c r="L1458" s="4" t="str">
        <f>VLOOKUP(A1458,Revisión!$A$2:$L$703,10,FALSE)</f>
        <v>Nymphaea x marliacea</v>
      </c>
      <c r="M1458" s="18">
        <f>VLOOKUP(A1458,Revisión!$A$2:$L$703,11,FALSE)</f>
        <v>3</v>
      </c>
      <c r="N1458" s="30" t="str">
        <f>IF(E1458="Coinciden",D1458,IF(E1458="Revisar",VLOOKUP(A1458,Revisión!$A$2:$L$703,12,FALSE),""))</f>
        <v>Nymphaea x marliacea</v>
      </c>
    </row>
    <row r="1459" spans="1:14" x14ac:dyDescent="0.3">
      <c r="A1459" t="s">
        <v>3007</v>
      </c>
      <c r="B1459" t="s">
        <v>3008</v>
      </c>
      <c r="C1459" t="s">
        <v>3008</v>
      </c>
      <c r="D1459" t="s">
        <v>3008</v>
      </c>
      <c r="E1459" t="s">
        <v>18</v>
      </c>
      <c r="F1459" t="s">
        <v>19</v>
      </c>
      <c r="H1459" s="23" t="e">
        <f>VLOOKUP(A1459,Revisión!$A$2:$L$703,6,FALSE)</f>
        <v>#N/A</v>
      </c>
      <c r="I1459" s="4" t="e">
        <f>VLOOKUP(A1459,Revisión!$A$2:$L$703,7,FALSE)</f>
        <v>#N/A</v>
      </c>
      <c r="J1459" s="4" t="e">
        <f>VLOOKUP(A1459,Revisión!$A$2:$L$703,8,FALSE)</f>
        <v>#N/A</v>
      </c>
      <c r="K1459" s="4" t="e">
        <f>VLOOKUP(A1459,Revisión!$A$2:$L$703,9,FALSE)</f>
        <v>#N/A</v>
      </c>
      <c r="L1459" s="4" t="e">
        <f>VLOOKUP(A1459,Revisión!$A$2:$L$703,10,FALSE)</f>
        <v>#N/A</v>
      </c>
      <c r="M1459" s="18" t="e">
        <f>VLOOKUP(A1459,Revisión!$A$2:$L$703,11,FALSE)</f>
        <v>#N/A</v>
      </c>
      <c r="N1459" s="30" t="str">
        <f>IF(E1459="Coinciden",D1459,IF(E1459="Revisar",VLOOKUP(A1459,Revisión!$A$2:$L$703,12,FALSE),""))</f>
        <v>Ochna kirkii</v>
      </c>
    </row>
    <row r="1460" spans="1:14" x14ac:dyDescent="0.3">
      <c r="A1460" t="s">
        <v>3009</v>
      </c>
      <c r="B1460" t="s">
        <v>3010</v>
      </c>
      <c r="C1460" t="s">
        <v>3010</v>
      </c>
      <c r="D1460" t="s">
        <v>3010</v>
      </c>
      <c r="E1460" t="s">
        <v>18</v>
      </c>
      <c r="F1460" t="s">
        <v>19</v>
      </c>
      <c r="H1460" s="23" t="e">
        <f>VLOOKUP(A1460,Revisión!$A$2:$L$703,6,FALSE)</f>
        <v>#N/A</v>
      </c>
      <c r="I1460" s="4" t="e">
        <f>VLOOKUP(A1460,Revisión!$A$2:$L$703,7,FALSE)</f>
        <v>#N/A</v>
      </c>
      <c r="J1460" s="4" t="e">
        <f>VLOOKUP(A1460,Revisión!$A$2:$L$703,8,FALSE)</f>
        <v>#N/A</v>
      </c>
      <c r="K1460" s="4" t="e">
        <f>VLOOKUP(A1460,Revisión!$A$2:$L$703,9,FALSE)</f>
        <v>#N/A</v>
      </c>
      <c r="L1460" s="4" t="e">
        <f>VLOOKUP(A1460,Revisión!$A$2:$L$703,10,FALSE)</f>
        <v>#N/A</v>
      </c>
      <c r="M1460" s="18" t="e">
        <f>VLOOKUP(A1460,Revisión!$A$2:$L$703,11,FALSE)</f>
        <v>#N/A</v>
      </c>
      <c r="N1460" s="30" t="str">
        <f>IF(E1460="Coinciden",D1460,IF(E1460="Revisar",VLOOKUP(A1460,Revisión!$A$2:$L$703,12,FALSE),""))</f>
        <v>Ochna mauritiana</v>
      </c>
    </row>
    <row r="1461" spans="1:14" x14ac:dyDescent="0.3">
      <c r="A1461" t="s">
        <v>3011</v>
      </c>
      <c r="B1461" t="s">
        <v>3012</v>
      </c>
      <c r="C1461" t="s">
        <v>3013</v>
      </c>
      <c r="D1461" t="s">
        <v>3013</v>
      </c>
      <c r="E1461" t="s">
        <v>8</v>
      </c>
      <c r="F1461" t="s">
        <v>23</v>
      </c>
      <c r="H1461" s="23" t="str">
        <f>VLOOKUP(A1461,Revisión!$A$2:$L$703,6,FALSE)</f>
        <v>Mespilodaphne cupularis</v>
      </c>
      <c r="I1461" s="4" t="str">
        <f>VLOOKUP(A1461,Revisión!$A$2:$L$703,7,FALSE)</f>
        <v>-</v>
      </c>
      <c r="J1461" s="4" t="str">
        <f>VLOOKUP(A1461,Revisión!$A$2:$L$703,8,FALSE)</f>
        <v>Ocotea laevigata</v>
      </c>
      <c r="K1461" s="4" t="str">
        <f>VLOOKUP(A1461,Revisión!$A$2:$L$703,9,FALSE)</f>
        <v>Mespilodaphne cupularis</v>
      </c>
      <c r="L1461" s="4" t="str">
        <f>VLOOKUP(A1461,Revisión!$A$2:$L$703,10,FALSE)</f>
        <v>Mespilodaphne cupularis</v>
      </c>
      <c r="M1461" s="18">
        <f>VLOOKUP(A1461,Revisión!$A$2:$L$703,11,FALSE)</f>
        <v>3</v>
      </c>
      <c r="N1461" s="30" t="str">
        <f>IF(E1461="Coinciden",D1461,IF(E1461="Revisar",VLOOKUP(A1461,Revisión!$A$2:$L$703,12,FALSE),""))</f>
        <v>Mespilodaphne cupularis</v>
      </c>
    </row>
    <row r="1462" spans="1:14" x14ac:dyDescent="0.3">
      <c r="A1462" t="s">
        <v>3014</v>
      </c>
      <c r="B1462" t="s">
        <v>3015</v>
      </c>
      <c r="C1462" t="s">
        <v>3015</v>
      </c>
      <c r="D1462" t="s">
        <v>3015</v>
      </c>
      <c r="E1462" t="s">
        <v>18</v>
      </c>
      <c r="F1462" t="s">
        <v>19</v>
      </c>
      <c r="H1462" s="23" t="e">
        <f>VLOOKUP(A1462,Revisión!$A$2:$L$703,6,FALSE)</f>
        <v>#N/A</v>
      </c>
      <c r="I1462" s="4" t="e">
        <f>VLOOKUP(A1462,Revisión!$A$2:$L$703,7,FALSE)</f>
        <v>#N/A</v>
      </c>
      <c r="J1462" s="4" t="e">
        <f>VLOOKUP(A1462,Revisión!$A$2:$L$703,8,FALSE)</f>
        <v>#N/A</v>
      </c>
      <c r="K1462" s="4" t="e">
        <f>VLOOKUP(A1462,Revisión!$A$2:$L$703,9,FALSE)</f>
        <v>#N/A</v>
      </c>
      <c r="L1462" s="4" t="e">
        <f>VLOOKUP(A1462,Revisión!$A$2:$L$703,10,FALSE)</f>
        <v>#N/A</v>
      </c>
      <c r="M1462" s="18" t="e">
        <f>VLOOKUP(A1462,Revisión!$A$2:$L$703,11,FALSE)</f>
        <v>#N/A</v>
      </c>
      <c r="N1462" s="30" t="str">
        <f>IF(E1462="Coinciden",D1462,IF(E1462="Revisar",VLOOKUP(A1462,Revisión!$A$2:$L$703,12,FALSE),""))</f>
        <v>Odontonema nitidum</v>
      </c>
    </row>
    <row r="1463" spans="1:14" x14ac:dyDescent="0.3">
      <c r="A1463" t="s">
        <v>3016</v>
      </c>
      <c r="B1463" t="s">
        <v>3017</v>
      </c>
      <c r="C1463" t="s">
        <v>3017</v>
      </c>
      <c r="D1463" t="s">
        <v>3017</v>
      </c>
      <c r="E1463" t="s">
        <v>18</v>
      </c>
      <c r="F1463" t="s">
        <v>19</v>
      </c>
      <c r="H1463" s="23" t="e">
        <f>VLOOKUP(A1463,Revisión!$A$2:$L$703,6,FALSE)</f>
        <v>#N/A</v>
      </c>
      <c r="I1463" s="4" t="e">
        <f>VLOOKUP(A1463,Revisión!$A$2:$L$703,7,FALSE)</f>
        <v>#N/A</v>
      </c>
      <c r="J1463" s="4" t="e">
        <f>VLOOKUP(A1463,Revisión!$A$2:$L$703,8,FALSE)</f>
        <v>#N/A</v>
      </c>
      <c r="K1463" s="4" t="e">
        <f>VLOOKUP(A1463,Revisión!$A$2:$L$703,9,FALSE)</f>
        <v>#N/A</v>
      </c>
      <c r="L1463" s="4" t="e">
        <f>VLOOKUP(A1463,Revisión!$A$2:$L$703,10,FALSE)</f>
        <v>#N/A</v>
      </c>
      <c r="M1463" s="18" t="e">
        <f>VLOOKUP(A1463,Revisión!$A$2:$L$703,11,FALSE)</f>
        <v>#N/A</v>
      </c>
      <c r="N1463" s="30" t="str">
        <f>IF(E1463="Coinciden",D1463,IF(E1463="Revisar",VLOOKUP(A1463,Revisión!$A$2:$L$703,12,FALSE),""))</f>
        <v>Oenanthe javanica</v>
      </c>
    </row>
    <row r="1464" spans="1:14" x14ac:dyDescent="0.3">
      <c r="A1464" t="s">
        <v>3018</v>
      </c>
      <c r="B1464" t="s">
        <v>3019</v>
      </c>
      <c r="C1464" t="s">
        <v>3019</v>
      </c>
      <c r="D1464" t="s">
        <v>3019</v>
      </c>
      <c r="E1464" t="s">
        <v>18</v>
      </c>
      <c r="F1464" t="s">
        <v>19</v>
      </c>
      <c r="H1464" s="23" t="e">
        <f>VLOOKUP(A1464,Revisión!$A$2:$L$703,6,FALSE)</f>
        <v>#N/A</v>
      </c>
      <c r="I1464" s="4" t="e">
        <f>VLOOKUP(A1464,Revisión!$A$2:$L$703,7,FALSE)</f>
        <v>#N/A</v>
      </c>
      <c r="J1464" s="4" t="e">
        <f>VLOOKUP(A1464,Revisión!$A$2:$L$703,8,FALSE)</f>
        <v>#N/A</v>
      </c>
      <c r="K1464" s="4" t="e">
        <f>VLOOKUP(A1464,Revisión!$A$2:$L$703,9,FALSE)</f>
        <v>#N/A</v>
      </c>
      <c r="L1464" s="4" t="e">
        <f>VLOOKUP(A1464,Revisión!$A$2:$L$703,10,FALSE)</f>
        <v>#N/A</v>
      </c>
      <c r="M1464" s="18" t="e">
        <f>VLOOKUP(A1464,Revisión!$A$2:$L$703,11,FALSE)</f>
        <v>#N/A</v>
      </c>
      <c r="N1464" s="30" t="str">
        <f>IF(E1464="Coinciden",D1464,IF(E1464="Revisar",VLOOKUP(A1464,Revisión!$A$2:$L$703,12,FALSE),""))</f>
        <v>Oenothera indecora</v>
      </c>
    </row>
    <row r="1465" spans="1:14" x14ac:dyDescent="0.3">
      <c r="A1465" t="s">
        <v>3020</v>
      </c>
      <c r="B1465" t="s">
        <v>3021</v>
      </c>
      <c r="C1465" t="s">
        <v>3021</v>
      </c>
      <c r="D1465" t="s">
        <v>3021</v>
      </c>
      <c r="E1465" t="s">
        <v>18</v>
      </c>
      <c r="F1465" t="s">
        <v>19</v>
      </c>
      <c r="H1465" s="23" t="e">
        <f>VLOOKUP(A1465,Revisión!$A$2:$L$703,6,FALSE)</f>
        <v>#N/A</v>
      </c>
      <c r="I1465" s="4" t="e">
        <f>VLOOKUP(A1465,Revisión!$A$2:$L$703,7,FALSE)</f>
        <v>#N/A</v>
      </c>
      <c r="J1465" s="4" t="e">
        <f>VLOOKUP(A1465,Revisión!$A$2:$L$703,8,FALSE)</f>
        <v>#N/A</v>
      </c>
      <c r="K1465" s="4" t="e">
        <f>VLOOKUP(A1465,Revisión!$A$2:$L$703,9,FALSE)</f>
        <v>#N/A</v>
      </c>
      <c r="L1465" s="4" t="e">
        <f>VLOOKUP(A1465,Revisión!$A$2:$L$703,10,FALSE)</f>
        <v>#N/A</v>
      </c>
      <c r="M1465" s="18" t="e">
        <f>VLOOKUP(A1465,Revisión!$A$2:$L$703,11,FALSE)</f>
        <v>#N/A</v>
      </c>
      <c r="N1465" s="30" t="str">
        <f>IF(E1465="Coinciden",D1465,IF(E1465="Revisar",VLOOKUP(A1465,Revisión!$A$2:$L$703,12,FALSE),""))</f>
        <v>Oenothera fruticosa</v>
      </c>
    </row>
    <row r="1466" spans="1:14" x14ac:dyDescent="0.3">
      <c r="A1466" t="s">
        <v>3022</v>
      </c>
      <c r="B1466" t="s">
        <v>3023</v>
      </c>
      <c r="C1466" t="s">
        <v>3023</v>
      </c>
      <c r="D1466" t="s">
        <v>3023</v>
      </c>
      <c r="E1466" t="s">
        <v>18</v>
      </c>
      <c r="F1466" t="s">
        <v>19</v>
      </c>
      <c r="H1466" s="23" t="e">
        <f>VLOOKUP(A1466,Revisión!$A$2:$L$703,6,FALSE)</f>
        <v>#N/A</v>
      </c>
      <c r="I1466" s="4" t="e">
        <f>VLOOKUP(A1466,Revisión!$A$2:$L$703,7,FALSE)</f>
        <v>#N/A</v>
      </c>
      <c r="J1466" s="4" t="e">
        <f>VLOOKUP(A1466,Revisión!$A$2:$L$703,8,FALSE)</f>
        <v>#N/A</v>
      </c>
      <c r="K1466" s="4" t="e">
        <f>VLOOKUP(A1466,Revisión!$A$2:$L$703,9,FALSE)</f>
        <v>#N/A</v>
      </c>
      <c r="L1466" s="4" t="e">
        <f>VLOOKUP(A1466,Revisión!$A$2:$L$703,10,FALSE)</f>
        <v>#N/A</v>
      </c>
      <c r="M1466" s="18" t="e">
        <f>VLOOKUP(A1466,Revisión!$A$2:$L$703,11,FALSE)</f>
        <v>#N/A</v>
      </c>
      <c r="N1466" s="30" t="str">
        <f>IF(E1466="Coinciden",D1466,IF(E1466="Revisar",VLOOKUP(A1466,Revisión!$A$2:$L$703,12,FALSE),""))</f>
        <v>Oenothera mendocinensis</v>
      </c>
    </row>
    <row r="1467" spans="1:14" x14ac:dyDescent="0.3">
      <c r="A1467" t="s">
        <v>3024</v>
      </c>
      <c r="B1467" t="s">
        <v>3025</v>
      </c>
      <c r="C1467" t="s">
        <v>3025</v>
      </c>
      <c r="D1467" t="s">
        <v>3025</v>
      </c>
      <c r="E1467" t="s">
        <v>18</v>
      </c>
      <c r="F1467" t="s">
        <v>19</v>
      </c>
      <c r="H1467" s="23" t="e">
        <f>VLOOKUP(A1467,Revisión!$A$2:$L$703,6,FALSE)</f>
        <v>#N/A</v>
      </c>
      <c r="I1467" s="4" t="e">
        <f>VLOOKUP(A1467,Revisión!$A$2:$L$703,7,FALSE)</f>
        <v>#N/A</v>
      </c>
      <c r="J1467" s="4" t="e">
        <f>VLOOKUP(A1467,Revisión!$A$2:$L$703,8,FALSE)</f>
        <v>#N/A</v>
      </c>
      <c r="K1467" s="4" t="e">
        <f>VLOOKUP(A1467,Revisión!$A$2:$L$703,9,FALSE)</f>
        <v>#N/A</v>
      </c>
      <c r="L1467" s="4" t="e">
        <f>VLOOKUP(A1467,Revisión!$A$2:$L$703,10,FALSE)</f>
        <v>#N/A</v>
      </c>
      <c r="M1467" s="18" t="e">
        <f>VLOOKUP(A1467,Revisión!$A$2:$L$703,11,FALSE)</f>
        <v>#N/A</v>
      </c>
      <c r="N1467" s="30" t="str">
        <f>IF(E1467="Coinciden",D1467,IF(E1467="Revisar",VLOOKUP(A1467,Revisión!$A$2:$L$703,12,FALSE),""))</f>
        <v>Oenothera acaulis</v>
      </c>
    </row>
    <row r="1468" spans="1:14" x14ac:dyDescent="0.3">
      <c r="A1468" t="s">
        <v>3026</v>
      </c>
      <c r="B1468" t="s">
        <v>3027</v>
      </c>
      <c r="C1468" t="s">
        <v>3027</v>
      </c>
      <c r="D1468" t="s">
        <v>3027</v>
      </c>
      <c r="E1468" t="s">
        <v>18</v>
      </c>
      <c r="F1468" t="s">
        <v>19</v>
      </c>
      <c r="H1468" s="23" t="e">
        <f>VLOOKUP(A1468,Revisión!$A$2:$L$703,6,FALSE)</f>
        <v>#N/A</v>
      </c>
      <c r="I1468" s="4" t="e">
        <f>VLOOKUP(A1468,Revisión!$A$2:$L$703,7,FALSE)</f>
        <v>#N/A</v>
      </c>
      <c r="J1468" s="4" t="e">
        <f>VLOOKUP(A1468,Revisión!$A$2:$L$703,8,FALSE)</f>
        <v>#N/A</v>
      </c>
      <c r="K1468" s="4" t="e">
        <f>VLOOKUP(A1468,Revisión!$A$2:$L$703,9,FALSE)</f>
        <v>#N/A</v>
      </c>
      <c r="L1468" s="4" t="e">
        <f>VLOOKUP(A1468,Revisión!$A$2:$L$703,10,FALSE)</f>
        <v>#N/A</v>
      </c>
      <c r="M1468" s="18" t="e">
        <f>VLOOKUP(A1468,Revisión!$A$2:$L$703,11,FALSE)</f>
        <v>#N/A</v>
      </c>
      <c r="N1468" s="30" t="str">
        <f>IF(E1468="Coinciden",D1468,IF(E1468="Revisar",VLOOKUP(A1468,Revisión!$A$2:$L$703,12,FALSE),""))</f>
        <v>Oenothera biennis</v>
      </c>
    </row>
    <row r="1469" spans="1:14" x14ac:dyDescent="0.3">
      <c r="A1469" t="s">
        <v>3028</v>
      </c>
      <c r="B1469" t="s">
        <v>3029</v>
      </c>
      <c r="C1469" t="s">
        <v>3029</v>
      </c>
      <c r="D1469" t="s">
        <v>3029</v>
      </c>
      <c r="E1469" t="s">
        <v>18</v>
      </c>
      <c r="F1469" t="s">
        <v>19</v>
      </c>
      <c r="H1469" s="23" t="e">
        <f>VLOOKUP(A1469,Revisión!$A$2:$L$703,6,FALSE)</f>
        <v>#N/A</v>
      </c>
      <c r="I1469" s="4" t="e">
        <f>VLOOKUP(A1469,Revisión!$A$2:$L$703,7,FALSE)</f>
        <v>#N/A</v>
      </c>
      <c r="J1469" s="4" t="e">
        <f>VLOOKUP(A1469,Revisión!$A$2:$L$703,8,FALSE)</f>
        <v>#N/A</v>
      </c>
      <c r="K1469" s="4" t="e">
        <f>VLOOKUP(A1469,Revisión!$A$2:$L$703,9,FALSE)</f>
        <v>#N/A</v>
      </c>
      <c r="L1469" s="4" t="e">
        <f>VLOOKUP(A1469,Revisión!$A$2:$L$703,10,FALSE)</f>
        <v>#N/A</v>
      </c>
      <c r="M1469" s="18" t="e">
        <f>VLOOKUP(A1469,Revisión!$A$2:$L$703,11,FALSE)</f>
        <v>#N/A</v>
      </c>
      <c r="N1469" s="30" t="str">
        <f>IF(E1469="Coinciden",D1469,IF(E1469="Revisar",VLOOKUP(A1469,Revisión!$A$2:$L$703,12,FALSE),""))</f>
        <v>Olea lancea</v>
      </c>
    </row>
    <row r="1470" spans="1:14" x14ac:dyDescent="0.3">
      <c r="A1470" t="s">
        <v>3030</v>
      </c>
      <c r="B1470" t="s">
        <v>3031</v>
      </c>
      <c r="C1470" t="s">
        <v>3031</v>
      </c>
      <c r="D1470" t="s">
        <v>3031</v>
      </c>
      <c r="E1470" t="s">
        <v>18</v>
      </c>
      <c r="F1470" t="s">
        <v>19</v>
      </c>
      <c r="H1470" s="23" t="e">
        <f>VLOOKUP(A1470,Revisión!$A$2:$L$703,6,FALSE)</f>
        <v>#N/A</v>
      </c>
      <c r="I1470" s="4" t="e">
        <f>VLOOKUP(A1470,Revisión!$A$2:$L$703,7,FALSE)</f>
        <v>#N/A</v>
      </c>
      <c r="J1470" s="4" t="e">
        <f>VLOOKUP(A1470,Revisión!$A$2:$L$703,8,FALSE)</f>
        <v>#N/A</v>
      </c>
      <c r="K1470" s="4" t="e">
        <f>VLOOKUP(A1470,Revisión!$A$2:$L$703,9,FALSE)</f>
        <v>#N/A</v>
      </c>
      <c r="L1470" s="4" t="e">
        <f>VLOOKUP(A1470,Revisión!$A$2:$L$703,10,FALSE)</f>
        <v>#N/A</v>
      </c>
      <c r="M1470" s="18" t="e">
        <f>VLOOKUP(A1470,Revisión!$A$2:$L$703,11,FALSE)</f>
        <v>#N/A</v>
      </c>
      <c r="N1470" s="30" t="str">
        <f>IF(E1470="Coinciden",D1470,IF(E1470="Revisar",VLOOKUP(A1470,Revisión!$A$2:$L$703,12,FALSE),""))</f>
        <v>Olearia virgata</v>
      </c>
    </row>
    <row r="1471" spans="1:14" x14ac:dyDescent="0.3">
      <c r="A1471" t="s">
        <v>3032</v>
      </c>
      <c r="B1471" t="s">
        <v>3033</v>
      </c>
      <c r="C1471" t="s">
        <v>3033</v>
      </c>
      <c r="D1471" t="s">
        <v>3033</v>
      </c>
      <c r="E1471" t="s">
        <v>18</v>
      </c>
      <c r="F1471" t="s">
        <v>19</v>
      </c>
      <c r="H1471" s="23" t="e">
        <f>VLOOKUP(A1471,Revisión!$A$2:$L$703,6,FALSE)</f>
        <v>#N/A</v>
      </c>
      <c r="I1471" s="4" t="e">
        <f>VLOOKUP(A1471,Revisión!$A$2:$L$703,7,FALSE)</f>
        <v>#N/A</v>
      </c>
      <c r="J1471" s="4" t="e">
        <f>VLOOKUP(A1471,Revisión!$A$2:$L$703,8,FALSE)</f>
        <v>#N/A</v>
      </c>
      <c r="K1471" s="4" t="e">
        <f>VLOOKUP(A1471,Revisión!$A$2:$L$703,9,FALSE)</f>
        <v>#N/A</v>
      </c>
      <c r="L1471" s="4" t="e">
        <f>VLOOKUP(A1471,Revisión!$A$2:$L$703,10,FALSE)</f>
        <v>#N/A</v>
      </c>
      <c r="M1471" s="18" t="e">
        <f>VLOOKUP(A1471,Revisión!$A$2:$L$703,11,FALSE)</f>
        <v>#N/A</v>
      </c>
      <c r="N1471" s="30" t="str">
        <f>IF(E1471="Coinciden",D1471,IF(E1471="Revisar",VLOOKUP(A1471,Revisión!$A$2:$L$703,12,FALSE),""))</f>
        <v>Olearia phlogopappa</v>
      </c>
    </row>
    <row r="1472" spans="1:14" x14ac:dyDescent="0.3">
      <c r="A1472" t="s">
        <v>3034</v>
      </c>
      <c r="B1472" t="s">
        <v>3035</v>
      </c>
      <c r="C1472" t="s">
        <v>3035</v>
      </c>
      <c r="D1472" t="s">
        <v>3035</v>
      </c>
      <c r="E1472" t="s">
        <v>18</v>
      </c>
      <c r="F1472" t="s">
        <v>19</v>
      </c>
      <c r="H1472" s="23" t="e">
        <f>VLOOKUP(A1472,Revisión!$A$2:$L$703,6,FALSE)</f>
        <v>#N/A</v>
      </c>
      <c r="I1472" s="4" t="e">
        <f>VLOOKUP(A1472,Revisión!$A$2:$L$703,7,FALSE)</f>
        <v>#N/A</v>
      </c>
      <c r="J1472" s="4" t="e">
        <f>VLOOKUP(A1472,Revisión!$A$2:$L$703,8,FALSE)</f>
        <v>#N/A</v>
      </c>
      <c r="K1472" s="4" t="e">
        <f>VLOOKUP(A1472,Revisión!$A$2:$L$703,9,FALSE)</f>
        <v>#N/A</v>
      </c>
      <c r="L1472" s="4" t="e">
        <f>VLOOKUP(A1472,Revisión!$A$2:$L$703,10,FALSE)</f>
        <v>#N/A</v>
      </c>
      <c r="M1472" s="18" t="e">
        <f>VLOOKUP(A1472,Revisión!$A$2:$L$703,11,FALSE)</f>
        <v>#N/A</v>
      </c>
      <c r="N1472" s="30" t="str">
        <f>IF(E1472="Coinciden",D1472,IF(E1472="Revisar",VLOOKUP(A1472,Revisión!$A$2:$L$703,12,FALSE),""))</f>
        <v>Nihon japonicum</v>
      </c>
    </row>
    <row r="1473" spans="1:14" x14ac:dyDescent="0.3">
      <c r="A1473" t="s">
        <v>3036</v>
      </c>
      <c r="B1473" t="s">
        <v>3027</v>
      </c>
      <c r="C1473" t="s">
        <v>3027</v>
      </c>
      <c r="D1473" t="s">
        <v>3027</v>
      </c>
      <c r="E1473" t="s">
        <v>18</v>
      </c>
      <c r="F1473" t="s">
        <v>19</v>
      </c>
      <c r="H1473" s="23" t="e">
        <f>VLOOKUP(A1473,Revisión!$A$2:$L$703,6,FALSE)</f>
        <v>#N/A</v>
      </c>
      <c r="I1473" s="4" t="e">
        <f>VLOOKUP(A1473,Revisión!$A$2:$L$703,7,FALSE)</f>
        <v>#N/A</v>
      </c>
      <c r="J1473" s="4" t="e">
        <f>VLOOKUP(A1473,Revisión!$A$2:$L$703,8,FALSE)</f>
        <v>#N/A</v>
      </c>
      <c r="K1473" s="4" t="e">
        <f>VLOOKUP(A1473,Revisión!$A$2:$L$703,9,FALSE)</f>
        <v>#N/A</v>
      </c>
      <c r="L1473" s="4" t="e">
        <f>VLOOKUP(A1473,Revisión!$A$2:$L$703,10,FALSE)</f>
        <v>#N/A</v>
      </c>
      <c r="M1473" s="18" t="e">
        <f>VLOOKUP(A1473,Revisión!$A$2:$L$703,11,FALSE)</f>
        <v>#N/A</v>
      </c>
      <c r="N1473" s="30" t="str">
        <f>IF(E1473="Coinciden",D1473,IF(E1473="Revisar",VLOOKUP(A1473,Revisión!$A$2:$L$703,12,FALSE),""))</f>
        <v>Oenothera biennis</v>
      </c>
    </row>
    <row r="1474" spans="1:14" x14ac:dyDescent="0.3">
      <c r="A1474" t="s">
        <v>3037</v>
      </c>
      <c r="D1474" t="s">
        <v>3038</v>
      </c>
      <c r="E1474" t="s">
        <v>8</v>
      </c>
      <c r="F1474" t="s">
        <v>9</v>
      </c>
      <c r="H1474" s="23" t="str">
        <f>VLOOKUP(A1474,Revisión!$A$2:$L$703,6,FALSE)</f>
        <v>Ononis ornithopodioides</v>
      </c>
      <c r="I1474" s="4" t="str">
        <f>VLOOKUP(A1474,Revisión!$A$2:$L$703,7,FALSE)</f>
        <v>-</v>
      </c>
      <c r="J1474" s="4" t="str">
        <f>VLOOKUP(A1474,Revisión!$A$2:$L$703,8,FALSE)</f>
        <v>Ononis ornithopodioides</v>
      </c>
      <c r="K1474" s="4" t="str">
        <f>VLOOKUP(A1474,Revisión!$A$2:$L$703,9,FALSE)</f>
        <v>Ononis ornithopodioides</v>
      </c>
      <c r="L1474" s="4" t="str">
        <f>VLOOKUP(A1474,Revisión!$A$2:$L$703,10,FALSE)</f>
        <v>Ononis ornithopodioides</v>
      </c>
      <c r="M1474" s="18">
        <f>VLOOKUP(A1474,Revisión!$A$2:$L$703,11,FALSE)</f>
        <v>5</v>
      </c>
      <c r="N1474" s="30" t="str">
        <f>IF(E1474="Coinciden",D1474,IF(E1474="Revisar",VLOOKUP(A1474,Revisión!$A$2:$L$703,12,FALSE),""))</f>
        <v>Ononis ornithopodioides</v>
      </c>
    </row>
    <row r="1475" spans="1:14" x14ac:dyDescent="0.3">
      <c r="A1475" t="s">
        <v>3039</v>
      </c>
      <c r="B1475" t="s">
        <v>3040</v>
      </c>
      <c r="C1475" t="s">
        <v>3040</v>
      </c>
      <c r="D1475" t="s">
        <v>3040</v>
      </c>
      <c r="E1475" t="s">
        <v>18</v>
      </c>
      <c r="F1475" t="s">
        <v>19</v>
      </c>
      <c r="H1475" s="23" t="e">
        <f>VLOOKUP(A1475,Revisión!$A$2:$L$703,6,FALSE)</f>
        <v>#N/A</v>
      </c>
      <c r="I1475" s="4" t="e">
        <f>VLOOKUP(A1475,Revisión!$A$2:$L$703,7,FALSE)</f>
        <v>#N/A</v>
      </c>
      <c r="J1475" s="4" t="e">
        <f>VLOOKUP(A1475,Revisión!$A$2:$L$703,8,FALSE)</f>
        <v>#N/A</v>
      </c>
      <c r="K1475" s="4" t="e">
        <f>VLOOKUP(A1475,Revisión!$A$2:$L$703,9,FALSE)</f>
        <v>#N/A</v>
      </c>
      <c r="L1475" s="4" t="e">
        <f>VLOOKUP(A1475,Revisión!$A$2:$L$703,10,FALSE)</f>
        <v>#N/A</v>
      </c>
      <c r="M1475" s="18" t="e">
        <f>VLOOKUP(A1475,Revisión!$A$2:$L$703,11,FALSE)</f>
        <v>#N/A</v>
      </c>
      <c r="N1475" s="30" t="str">
        <f>IF(E1475="Coinciden",D1475,IF(E1475="Revisar",VLOOKUP(A1475,Revisión!$A$2:$L$703,12,FALSE),""))</f>
        <v>Ophrys lutea</v>
      </c>
    </row>
    <row r="1476" spans="1:14" x14ac:dyDescent="0.3">
      <c r="A1476" t="s">
        <v>3041</v>
      </c>
      <c r="B1476" t="s">
        <v>3042</v>
      </c>
      <c r="C1476" t="s">
        <v>3042</v>
      </c>
      <c r="D1476" t="s">
        <v>3042</v>
      </c>
      <c r="E1476" t="s">
        <v>18</v>
      </c>
      <c r="F1476" t="s">
        <v>19</v>
      </c>
      <c r="H1476" s="23" t="e">
        <f>VLOOKUP(A1476,Revisión!$A$2:$L$703,6,FALSE)</f>
        <v>#N/A</v>
      </c>
      <c r="I1476" s="4" t="e">
        <f>VLOOKUP(A1476,Revisión!$A$2:$L$703,7,FALSE)</f>
        <v>#N/A</v>
      </c>
      <c r="J1476" s="4" t="e">
        <f>VLOOKUP(A1476,Revisión!$A$2:$L$703,8,FALSE)</f>
        <v>#N/A</v>
      </c>
      <c r="K1476" s="4" t="e">
        <f>VLOOKUP(A1476,Revisión!$A$2:$L$703,9,FALSE)</f>
        <v>#N/A</v>
      </c>
      <c r="L1476" s="4" t="e">
        <f>VLOOKUP(A1476,Revisión!$A$2:$L$703,10,FALSE)</f>
        <v>#N/A</v>
      </c>
      <c r="M1476" s="18" t="e">
        <f>VLOOKUP(A1476,Revisión!$A$2:$L$703,11,FALSE)</f>
        <v>#N/A</v>
      </c>
      <c r="N1476" s="30" t="str">
        <f>IF(E1476="Coinciden",D1476,IF(E1476="Revisar",VLOOKUP(A1476,Revisión!$A$2:$L$703,12,FALSE),""))</f>
        <v>Ophrys sphegodes</v>
      </c>
    </row>
    <row r="1477" spans="1:14" x14ac:dyDescent="0.3">
      <c r="A1477" t="s">
        <v>3043</v>
      </c>
      <c r="B1477" t="s">
        <v>3044</v>
      </c>
      <c r="C1477" t="s">
        <v>3044</v>
      </c>
      <c r="D1477" t="s">
        <v>3044</v>
      </c>
      <c r="E1477" t="s">
        <v>18</v>
      </c>
      <c r="F1477" t="s">
        <v>19</v>
      </c>
      <c r="H1477" s="23" t="e">
        <f>VLOOKUP(A1477,Revisión!$A$2:$L$703,6,FALSE)</f>
        <v>#N/A</v>
      </c>
      <c r="I1477" s="4" t="e">
        <f>VLOOKUP(A1477,Revisión!$A$2:$L$703,7,FALSE)</f>
        <v>#N/A</v>
      </c>
      <c r="J1477" s="4" t="e">
        <f>VLOOKUP(A1477,Revisión!$A$2:$L$703,8,FALSE)</f>
        <v>#N/A</v>
      </c>
      <c r="K1477" s="4" t="e">
        <f>VLOOKUP(A1477,Revisión!$A$2:$L$703,9,FALSE)</f>
        <v>#N/A</v>
      </c>
      <c r="L1477" s="4" t="e">
        <f>VLOOKUP(A1477,Revisión!$A$2:$L$703,10,FALSE)</f>
        <v>#N/A</v>
      </c>
      <c r="M1477" s="18" t="e">
        <f>VLOOKUP(A1477,Revisión!$A$2:$L$703,11,FALSE)</f>
        <v>#N/A</v>
      </c>
      <c r="N1477" s="30" t="str">
        <f>IF(E1477="Coinciden",D1477,IF(E1477="Revisar",VLOOKUP(A1477,Revisión!$A$2:$L$703,12,FALSE),""))</f>
        <v>Ophrys tenthredinifera</v>
      </c>
    </row>
    <row r="1478" spans="1:14" x14ac:dyDescent="0.3">
      <c r="A1478" t="s">
        <v>3045</v>
      </c>
      <c r="B1478" t="s">
        <v>3046</v>
      </c>
      <c r="C1478" t="s">
        <v>3046</v>
      </c>
      <c r="D1478" t="s">
        <v>3046</v>
      </c>
      <c r="E1478" t="s">
        <v>18</v>
      </c>
      <c r="F1478" t="s">
        <v>19</v>
      </c>
      <c r="H1478" s="23" t="e">
        <f>VLOOKUP(A1478,Revisión!$A$2:$L$703,6,FALSE)</f>
        <v>#N/A</v>
      </c>
      <c r="I1478" s="4" t="e">
        <f>VLOOKUP(A1478,Revisión!$A$2:$L$703,7,FALSE)</f>
        <v>#N/A</v>
      </c>
      <c r="J1478" s="4" t="e">
        <f>VLOOKUP(A1478,Revisión!$A$2:$L$703,8,FALSE)</f>
        <v>#N/A</v>
      </c>
      <c r="K1478" s="4" t="e">
        <f>VLOOKUP(A1478,Revisión!$A$2:$L$703,9,FALSE)</f>
        <v>#N/A</v>
      </c>
      <c r="L1478" s="4" t="e">
        <f>VLOOKUP(A1478,Revisión!$A$2:$L$703,10,FALSE)</f>
        <v>#N/A</v>
      </c>
      <c r="M1478" s="18" t="e">
        <f>VLOOKUP(A1478,Revisión!$A$2:$L$703,11,FALSE)</f>
        <v>#N/A</v>
      </c>
      <c r="N1478" s="30" t="str">
        <f>IF(E1478="Coinciden",D1478,IF(E1478="Revisar",VLOOKUP(A1478,Revisión!$A$2:$L$703,12,FALSE),""))</f>
        <v>Physocarpus opulifolius</v>
      </c>
    </row>
    <row r="1479" spans="1:14" x14ac:dyDescent="0.3">
      <c r="A1479" t="s">
        <v>3047</v>
      </c>
      <c r="B1479" t="s">
        <v>3048</v>
      </c>
      <c r="C1479" t="s">
        <v>3049</v>
      </c>
      <c r="D1479" t="s">
        <v>3050</v>
      </c>
      <c r="E1479" t="s">
        <v>8</v>
      </c>
      <c r="F1479" t="s">
        <v>295</v>
      </c>
      <c r="H1479" s="23" t="str">
        <f>VLOOKUP(A1479,Revisión!$A$2:$L$703,6,FALSE)</f>
        <v>Opuntia galapageia</v>
      </c>
      <c r="I1479" s="4" t="str">
        <f>VLOOKUP(A1479,Revisión!$A$2:$L$703,7,FALSE)</f>
        <v>-</v>
      </c>
      <c r="J1479" s="4" t="str">
        <f>VLOOKUP(A1479,Revisión!$A$2:$L$703,8,FALSE)</f>
        <v>Opuntia galapageia var. galapageia</v>
      </c>
      <c r="K1479" s="4" t="str">
        <f>VLOOKUP(A1479,Revisión!$A$2:$L$703,9,FALSE)</f>
        <v>Opuntia galapageia</v>
      </c>
      <c r="L1479" s="4" t="str">
        <f>VLOOKUP(A1479,Revisión!$A$2:$L$703,10,FALSE)</f>
        <v>Opuntia galapageia</v>
      </c>
      <c r="M1479" s="18">
        <f>VLOOKUP(A1479,Revisión!$A$2:$L$703,11,FALSE)</f>
        <v>4</v>
      </c>
      <c r="N1479" s="30" t="str">
        <f>IF(E1479="Coinciden",D1479,IF(E1479="Revisar",VLOOKUP(A1479,Revisión!$A$2:$L$703,12,FALSE),""))</f>
        <v>Opuntia galapageia</v>
      </c>
    </row>
    <row r="1480" spans="1:14" x14ac:dyDescent="0.3">
      <c r="A1480" t="s">
        <v>3051</v>
      </c>
      <c r="B1480" t="s">
        <v>3052</v>
      </c>
      <c r="C1480" t="s">
        <v>3052</v>
      </c>
      <c r="D1480" t="s">
        <v>3053</v>
      </c>
      <c r="E1480" t="s">
        <v>8</v>
      </c>
      <c r="F1480" t="s">
        <v>15</v>
      </c>
      <c r="H1480" s="23" t="str">
        <f>VLOOKUP(A1480,Revisión!$A$2:$L$703,6,FALSE)</f>
        <v>Opuntia galapageia var. gigantea</v>
      </c>
      <c r="I1480" s="4" t="str">
        <f>VLOOKUP(A1480,Revisión!$A$2:$L$703,7,FALSE)</f>
        <v>-</v>
      </c>
      <c r="J1480" s="4" t="str">
        <f>VLOOKUP(A1480,Revisión!$A$2:$L$703,8,FALSE)</f>
        <v>Opuntia galapageia var. gigantea</v>
      </c>
      <c r="K1480" s="4" t="str">
        <f>VLOOKUP(A1480,Revisión!$A$2:$L$703,9,FALSE)</f>
        <v>Opuntia galapageia var. gigantea</v>
      </c>
      <c r="L1480" s="4" t="str">
        <f>VLOOKUP(A1480,Revisión!$A$2:$L$703,10,FALSE)</f>
        <v>Opuntia galapageia var. gigantea</v>
      </c>
      <c r="M1480" s="18">
        <f>VLOOKUP(A1480,Revisión!$A$2:$L$703,11,FALSE)</f>
        <v>4</v>
      </c>
      <c r="N1480" s="30" t="str">
        <f>IF(E1480="Coinciden",D1480,IF(E1480="Revisar",VLOOKUP(A1480,Revisión!$A$2:$L$703,12,FALSE),""))</f>
        <v>Opuntia galapageia var. gigantea</v>
      </c>
    </row>
    <row r="1481" spans="1:14" x14ac:dyDescent="0.3">
      <c r="A1481" t="s">
        <v>3054</v>
      </c>
      <c r="E1481" t="s">
        <v>8</v>
      </c>
      <c r="F1481" t="s">
        <v>11</v>
      </c>
      <c r="H1481" s="23" t="e">
        <f>VLOOKUP(A1481,Revisión!$A$2:$L$703,6,FALSE)</f>
        <v>#N/A</v>
      </c>
      <c r="I1481" s="4" t="e">
        <f>VLOOKUP(A1481,Revisión!$A$2:$L$703,7,FALSE)</f>
        <v>#N/A</v>
      </c>
      <c r="J1481" s="4" t="e">
        <f>VLOOKUP(A1481,Revisión!$A$2:$L$703,8,FALSE)</f>
        <v>#N/A</v>
      </c>
      <c r="K1481" s="4" t="e">
        <f>VLOOKUP(A1481,Revisión!$A$2:$L$703,9,FALSE)</f>
        <v>#N/A</v>
      </c>
      <c r="L1481" s="4" t="e">
        <f>VLOOKUP(A1481,Revisión!$A$2:$L$703,10,FALSE)</f>
        <v>#N/A</v>
      </c>
      <c r="M1481" s="18" t="e">
        <f>VLOOKUP(A1481,Revisión!$A$2:$L$703,11,FALSE)</f>
        <v>#N/A</v>
      </c>
      <c r="N1481" s="30" t="e">
        <f>IF(E1481="Coinciden",D1481,IF(E1481="Revisar",VLOOKUP(A1481,Revisión!$A$2:$L$703,12,FALSE),""))</f>
        <v>#N/A</v>
      </c>
    </row>
    <row r="1482" spans="1:14" x14ac:dyDescent="0.3">
      <c r="A1482" t="s">
        <v>3055</v>
      </c>
      <c r="B1482" t="s">
        <v>3056</v>
      </c>
      <c r="C1482" t="s">
        <v>3056</v>
      </c>
      <c r="D1482" t="s">
        <v>3057</v>
      </c>
      <c r="E1482" t="s">
        <v>8</v>
      </c>
      <c r="F1482" t="s">
        <v>15</v>
      </c>
      <c r="H1482" s="23" t="str">
        <f>VLOOKUP(A1482,Revisión!$A$2:$L$703,6,FALSE)</f>
        <v>Opuntia galapageia var. helleri</v>
      </c>
      <c r="I1482" s="4" t="str">
        <f>VLOOKUP(A1482,Revisión!$A$2:$L$703,7,FALSE)</f>
        <v>-</v>
      </c>
      <c r="J1482" s="4" t="str">
        <f>VLOOKUP(A1482,Revisión!$A$2:$L$703,8,FALSE)</f>
        <v>Opuntia galapageia var. helleri</v>
      </c>
      <c r="K1482" s="4" t="str">
        <f>VLOOKUP(A1482,Revisión!$A$2:$L$703,9,FALSE)</f>
        <v>Opuntia galapageia var. helleri</v>
      </c>
      <c r="L1482" s="4" t="str">
        <f>VLOOKUP(A1482,Revisión!$A$2:$L$703,10,FALSE)</f>
        <v>Opuntia galapageia var. helleri</v>
      </c>
      <c r="M1482" s="18">
        <f>VLOOKUP(A1482,Revisión!$A$2:$L$703,11,FALSE)</f>
        <v>5</v>
      </c>
      <c r="N1482" s="30" t="str">
        <f>IF(E1482="Coinciden",D1482,IF(E1482="Revisar",VLOOKUP(A1482,Revisión!$A$2:$L$703,12,FALSE),""))</f>
        <v>Opuntia galapageia var. helleri</v>
      </c>
    </row>
    <row r="1483" spans="1:14" x14ac:dyDescent="0.3">
      <c r="A1483" t="s">
        <v>3058</v>
      </c>
      <c r="B1483" t="s">
        <v>3059</v>
      </c>
      <c r="C1483" t="s">
        <v>3059</v>
      </c>
      <c r="D1483" t="s">
        <v>3059</v>
      </c>
      <c r="E1483" t="s">
        <v>18</v>
      </c>
      <c r="F1483" t="s">
        <v>19</v>
      </c>
      <c r="H1483" s="23" t="e">
        <f>VLOOKUP(A1483,Revisión!$A$2:$L$703,6,FALSE)</f>
        <v>#N/A</v>
      </c>
      <c r="I1483" s="4" t="e">
        <f>VLOOKUP(A1483,Revisión!$A$2:$L$703,7,FALSE)</f>
        <v>#N/A</v>
      </c>
      <c r="J1483" s="4" t="e">
        <f>VLOOKUP(A1483,Revisión!$A$2:$L$703,8,FALSE)</f>
        <v>#N/A</v>
      </c>
      <c r="K1483" s="4" t="e">
        <f>VLOOKUP(A1483,Revisión!$A$2:$L$703,9,FALSE)</f>
        <v>#N/A</v>
      </c>
      <c r="L1483" s="4" t="e">
        <f>VLOOKUP(A1483,Revisión!$A$2:$L$703,10,FALSE)</f>
        <v>#N/A</v>
      </c>
      <c r="M1483" s="18" t="e">
        <f>VLOOKUP(A1483,Revisión!$A$2:$L$703,11,FALSE)</f>
        <v>#N/A</v>
      </c>
      <c r="N1483" s="30" t="str">
        <f>IF(E1483="Coinciden",D1483,IF(E1483="Revisar",VLOOKUP(A1483,Revisión!$A$2:$L$703,12,FALSE),""))</f>
        <v>Airampoa corrugata</v>
      </c>
    </row>
    <row r="1484" spans="1:14" x14ac:dyDescent="0.3">
      <c r="A1484" t="s">
        <v>3060</v>
      </c>
      <c r="E1484" t="s">
        <v>8</v>
      </c>
      <c r="F1484" t="s">
        <v>11</v>
      </c>
      <c r="H1484" s="23" t="e">
        <f>VLOOKUP(A1484,Revisión!$A$2:$L$703,6,FALSE)</f>
        <v>#N/A</v>
      </c>
      <c r="I1484" s="4" t="e">
        <f>VLOOKUP(A1484,Revisión!$A$2:$L$703,7,FALSE)</f>
        <v>#N/A</v>
      </c>
      <c r="J1484" s="4" t="e">
        <f>VLOOKUP(A1484,Revisión!$A$2:$L$703,8,FALSE)</f>
        <v>#N/A</v>
      </c>
      <c r="K1484" s="4" t="e">
        <f>VLOOKUP(A1484,Revisión!$A$2:$L$703,9,FALSE)</f>
        <v>#N/A</v>
      </c>
      <c r="L1484" s="4" t="e">
        <f>VLOOKUP(A1484,Revisión!$A$2:$L$703,10,FALSE)</f>
        <v>#N/A</v>
      </c>
      <c r="M1484" s="18" t="e">
        <f>VLOOKUP(A1484,Revisión!$A$2:$L$703,11,FALSE)</f>
        <v>#N/A</v>
      </c>
      <c r="N1484" s="30" t="e">
        <f>IF(E1484="Coinciden",D1484,IF(E1484="Revisar",VLOOKUP(A1484,Revisión!$A$2:$L$703,12,FALSE),""))</f>
        <v>#N/A</v>
      </c>
    </row>
    <row r="1485" spans="1:14" x14ac:dyDescent="0.3">
      <c r="A1485" t="s">
        <v>3061</v>
      </c>
      <c r="B1485" t="s">
        <v>3062</v>
      </c>
      <c r="C1485" t="s">
        <v>3062</v>
      </c>
      <c r="D1485" t="s">
        <v>3053</v>
      </c>
      <c r="E1485" t="s">
        <v>8</v>
      </c>
      <c r="F1485" t="s">
        <v>15</v>
      </c>
      <c r="H1485" s="23" t="str">
        <f>VLOOKUP(A1485,Revisión!$A$2:$L$703,6,FALSE)</f>
        <v>Opuntia galapageia var. myriacantha</v>
      </c>
      <c r="I1485" s="4" t="str">
        <f>VLOOKUP(A1485,Revisión!$A$2:$L$703,7,FALSE)</f>
        <v>-</v>
      </c>
      <c r="J1485" s="4" t="str">
        <f>VLOOKUP(A1485,Revisión!$A$2:$L$703,8,FALSE)</f>
        <v>Opuntia galapageia var. myriacantha</v>
      </c>
      <c r="K1485" s="4" t="str">
        <f>VLOOKUP(A1485,Revisión!$A$2:$L$703,9,FALSE)</f>
        <v>Opuntia galapageia var. myriacantha</v>
      </c>
      <c r="L1485" s="4" t="str">
        <f>VLOOKUP(A1485,Revisión!$A$2:$L$703,10,FALSE)</f>
        <v>Opuntia galapageia var. myriacantha</v>
      </c>
      <c r="M1485" s="18">
        <f>VLOOKUP(A1485,Revisión!$A$2:$L$703,11,FALSE)</f>
        <v>5</v>
      </c>
      <c r="N1485" s="30" t="str">
        <f>IF(E1485="Coinciden",D1485,IF(E1485="Revisar",VLOOKUP(A1485,Revisión!$A$2:$L$703,12,FALSE),""))</f>
        <v>Opuntia galapageia var. myriacantha</v>
      </c>
    </row>
    <row r="1486" spans="1:14" x14ac:dyDescent="0.3">
      <c r="A1486" t="s">
        <v>3063</v>
      </c>
      <c r="B1486" t="s">
        <v>3064</v>
      </c>
      <c r="C1486" t="s">
        <v>3064</v>
      </c>
      <c r="D1486" t="s">
        <v>3064</v>
      </c>
      <c r="E1486" t="s">
        <v>18</v>
      </c>
      <c r="F1486" t="s">
        <v>19</v>
      </c>
      <c r="H1486" s="23" t="e">
        <f>VLOOKUP(A1486,Revisión!$A$2:$L$703,6,FALSE)</f>
        <v>#N/A</v>
      </c>
      <c r="I1486" s="4" t="e">
        <f>VLOOKUP(A1486,Revisión!$A$2:$L$703,7,FALSE)</f>
        <v>#N/A</v>
      </c>
      <c r="J1486" s="4" t="e">
        <f>VLOOKUP(A1486,Revisión!$A$2:$L$703,8,FALSE)</f>
        <v>#N/A</v>
      </c>
      <c r="K1486" s="4" t="e">
        <f>VLOOKUP(A1486,Revisión!$A$2:$L$703,9,FALSE)</f>
        <v>#N/A</v>
      </c>
      <c r="L1486" s="4" t="e">
        <f>VLOOKUP(A1486,Revisión!$A$2:$L$703,10,FALSE)</f>
        <v>#N/A</v>
      </c>
      <c r="M1486" s="18" t="e">
        <f>VLOOKUP(A1486,Revisión!$A$2:$L$703,11,FALSE)</f>
        <v>#N/A</v>
      </c>
      <c r="N1486" s="30" t="str">
        <f>IF(E1486="Coinciden",D1486,IF(E1486="Revisar",VLOOKUP(A1486,Revisión!$A$2:$L$703,12,FALSE),""))</f>
        <v>Opuntia stricta</v>
      </c>
    </row>
    <row r="1487" spans="1:14" x14ac:dyDescent="0.3">
      <c r="A1487" t="s">
        <v>3065</v>
      </c>
      <c r="E1487" t="s">
        <v>8</v>
      </c>
      <c r="F1487" t="s">
        <v>11</v>
      </c>
      <c r="H1487" s="23" t="e">
        <f>VLOOKUP(A1487,Revisión!$A$2:$L$703,6,FALSE)</f>
        <v>#N/A</v>
      </c>
      <c r="I1487" s="4" t="e">
        <f>VLOOKUP(A1487,Revisión!$A$2:$L$703,7,FALSE)</f>
        <v>#N/A</v>
      </c>
      <c r="J1487" s="4" t="e">
        <f>VLOOKUP(A1487,Revisión!$A$2:$L$703,8,FALSE)</f>
        <v>#N/A</v>
      </c>
      <c r="K1487" s="4" t="e">
        <f>VLOOKUP(A1487,Revisión!$A$2:$L$703,9,FALSE)</f>
        <v>#N/A</v>
      </c>
      <c r="L1487" s="4" t="e">
        <f>VLOOKUP(A1487,Revisión!$A$2:$L$703,10,FALSE)</f>
        <v>#N/A</v>
      </c>
      <c r="M1487" s="18" t="e">
        <f>VLOOKUP(A1487,Revisión!$A$2:$L$703,11,FALSE)</f>
        <v>#N/A</v>
      </c>
      <c r="N1487" s="30" t="e">
        <f>IF(E1487="Coinciden",D1487,IF(E1487="Revisar",VLOOKUP(A1487,Revisión!$A$2:$L$703,12,FALSE),""))</f>
        <v>#N/A</v>
      </c>
    </row>
    <row r="1488" spans="1:14" x14ac:dyDescent="0.3">
      <c r="A1488" t="s">
        <v>3066</v>
      </c>
      <c r="B1488" t="s">
        <v>3067</v>
      </c>
      <c r="C1488" t="s">
        <v>3067</v>
      </c>
      <c r="D1488" t="s">
        <v>3067</v>
      </c>
      <c r="E1488" t="s">
        <v>18</v>
      </c>
      <c r="F1488" t="s">
        <v>19</v>
      </c>
      <c r="H1488" s="23" t="e">
        <f>VLOOKUP(A1488,Revisión!$A$2:$L$703,6,FALSE)</f>
        <v>#N/A</v>
      </c>
      <c r="I1488" s="4" t="e">
        <f>VLOOKUP(A1488,Revisión!$A$2:$L$703,7,FALSE)</f>
        <v>#N/A</v>
      </c>
      <c r="J1488" s="4" t="e">
        <f>VLOOKUP(A1488,Revisión!$A$2:$L$703,8,FALSE)</f>
        <v>#N/A</v>
      </c>
      <c r="K1488" s="4" t="e">
        <f>VLOOKUP(A1488,Revisión!$A$2:$L$703,9,FALSE)</f>
        <v>#N/A</v>
      </c>
      <c r="L1488" s="4" t="e">
        <f>VLOOKUP(A1488,Revisión!$A$2:$L$703,10,FALSE)</f>
        <v>#N/A</v>
      </c>
      <c r="M1488" s="18" t="e">
        <f>VLOOKUP(A1488,Revisión!$A$2:$L$703,11,FALSE)</f>
        <v>#N/A</v>
      </c>
      <c r="N1488" s="30" t="str">
        <f>IF(E1488="Coinciden",D1488,IF(E1488="Revisar",VLOOKUP(A1488,Revisión!$A$2:$L$703,12,FALSE),""))</f>
        <v>Galearis spectabilis</v>
      </c>
    </row>
    <row r="1489" spans="1:14" x14ac:dyDescent="0.3">
      <c r="A1489" t="s">
        <v>3068</v>
      </c>
      <c r="B1489" t="s">
        <v>3069</v>
      </c>
      <c r="C1489" t="s">
        <v>3070</v>
      </c>
      <c r="D1489" t="s">
        <v>3070</v>
      </c>
      <c r="E1489" t="s">
        <v>8</v>
      </c>
      <c r="F1489" t="s">
        <v>23</v>
      </c>
      <c r="H1489" s="23" t="str">
        <f>VLOOKUP(A1489,Revisión!$A$2:$L$703,6,FALSE)</f>
        <v>Anacamptis morio</v>
      </c>
      <c r="I1489" s="4" t="str">
        <f>VLOOKUP(A1489,Revisión!$A$2:$L$703,7,FALSE)</f>
        <v>-</v>
      </c>
      <c r="J1489" s="4" t="str">
        <f>VLOOKUP(A1489,Revisión!$A$2:$L$703,8,FALSE)</f>
        <v>Anacamptis morio</v>
      </c>
      <c r="K1489" s="4" t="str">
        <f>VLOOKUP(A1489,Revisión!$A$2:$L$703,9,FALSE)</f>
        <v>Anacamptis morio</v>
      </c>
      <c r="L1489" s="4" t="str">
        <f>VLOOKUP(A1489,Revisión!$A$2:$L$703,10,FALSE)</f>
        <v>Anacamptis morio</v>
      </c>
      <c r="M1489" s="18">
        <f>VLOOKUP(A1489,Revisión!$A$2:$L$703,11,FALSE)</f>
        <v>5</v>
      </c>
      <c r="N1489" s="30" t="str">
        <f>IF(E1489="Coinciden",D1489,IF(E1489="Revisar",VLOOKUP(A1489,Revisión!$A$2:$L$703,12,FALSE),""))</f>
        <v>Anacamptis morio</v>
      </c>
    </row>
    <row r="1490" spans="1:14" x14ac:dyDescent="0.3">
      <c r="A1490" t="s">
        <v>3071</v>
      </c>
      <c r="B1490" t="s">
        <v>3072</v>
      </c>
      <c r="C1490" t="s">
        <v>3072</v>
      </c>
      <c r="D1490" t="s">
        <v>3072</v>
      </c>
      <c r="E1490" t="s">
        <v>18</v>
      </c>
      <c r="F1490" t="s">
        <v>19</v>
      </c>
      <c r="H1490" s="23" t="e">
        <f>VLOOKUP(A1490,Revisión!$A$2:$L$703,6,FALSE)</f>
        <v>#N/A</v>
      </c>
      <c r="I1490" s="4" t="e">
        <f>VLOOKUP(A1490,Revisión!$A$2:$L$703,7,FALSE)</f>
        <v>#N/A</v>
      </c>
      <c r="J1490" s="4" t="e">
        <f>VLOOKUP(A1490,Revisión!$A$2:$L$703,8,FALSE)</f>
        <v>#N/A</v>
      </c>
      <c r="K1490" s="4" t="e">
        <f>VLOOKUP(A1490,Revisión!$A$2:$L$703,9,FALSE)</f>
        <v>#N/A</v>
      </c>
      <c r="L1490" s="4" t="e">
        <f>VLOOKUP(A1490,Revisión!$A$2:$L$703,10,FALSE)</f>
        <v>#N/A</v>
      </c>
      <c r="M1490" s="18" t="e">
        <f>VLOOKUP(A1490,Revisión!$A$2:$L$703,11,FALSE)</f>
        <v>#N/A</v>
      </c>
      <c r="N1490" s="30" t="str">
        <f>IF(E1490="Coinciden",D1490,IF(E1490="Revisar",VLOOKUP(A1490,Revisión!$A$2:$L$703,12,FALSE),""))</f>
        <v>Oreochrysum parryi</v>
      </c>
    </row>
    <row r="1491" spans="1:14" x14ac:dyDescent="0.3">
      <c r="A1491" t="s">
        <v>3073</v>
      </c>
      <c r="B1491" t="s">
        <v>3074</v>
      </c>
      <c r="C1491" t="s">
        <v>3074</v>
      </c>
      <c r="D1491" t="s">
        <v>3074</v>
      </c>
      <c r="E1491" t="s">
        <v>18</v>
      </c>
      <c r="F1491" t="s">
        <v>19</v>
      </c>
      <c r="H1491" s="23" t="e">
        <f>VLOOKUP(A1491,Revisión!$A$2:$L$703,6,FALSE)</f>
        <v>#N/A</v>
      </c>
      <c r="I1491" s="4" t="e">
        <f>VLOOKUP(A1491,Revisión!$A$2:$L$703,7,FALSE)</f>
        <v>#N/A</v>
      </c>
      <c r="J1491" s="4" t="e">
        <f>VLOOKUP(A1491,Revisión!$A$2:$L$703,8,FALSE)</f>
        <v>#N/A</v>
      </c>
      <c r="K1491" s="4" t="e">
        <f>VLOOKUP(A1491,Revisión!$A$2:$L$703,9,FALSE)</f>
        <v>#N/A</v>
      </c>
      <c r="L1491" s="4" t="e">
        <f>VLOOKUP(A1491,Revisión!$A$2:$L$703,10,FALSE)</f>
        <v>#N/A</v>
      </c>
      <c r="M1491" s="18" t="e">
        <f>VLOOKUP(A1491,Revisión!$A$2:$L$703,11,FALSE)</f>
        <v>#N/A</v>
      </c>
      <c r="N1491" s="30" t="str">
        <f>IF(E1491="Coinciden",D1491,IF(E1491="Revisar",VLOOKUP(A1491,Revisión!$A$2:$L$703,12,FALSE),""))</f>
        <v>Oreopolus glacialis</v>
      </c>
    </row>
    <row r="1492" spans="1:14" x14ac:dyDescent="0.3">
      <c r="A1492" t="s">
        <v>3075</v>
      </c>
      <c r="B1492" t="s">
        <v>3076</v>
      </c>
      <c r="C1492" t="s">
        <v>3076</v>
      </c>
      <c r="D1492" t="s">
        <v>3076</v>
      </c>
      <c r="E1492" t="s">
        <v>18</v>
      </c>
      <c r="F1492" t="s">
        <v>19</v>
      </c>
      <c r="H1492" s="23" t="e">
        <f>VLOOKUP(A1492,Revisión!$A$2:$L$703,6,FALSE)</f>
        <v>#N/A</v>
      </c>
      <c r="I1492" s="4" t="e">
        <f>VLOOKUP(A1492,Revisión!$A$2:$L$703,7,FALSE)</f>
        <v>#N/A</v>
      </c>
      <c r="J1492" s="4" t="e">
        <f>VLOOKUP(A1492,Revisión!$A$2:$L$703,8,FALSE)</f>
        <v>#N/A</v>
      </c>
      <c r="K1492" s="4" t="e">
        <f>VLOOKUP(A1492,Revisión!$A$2:$L$703,9,FALSE)</f>
        <v>#N/A</v>
      </c>
      <c r="L1492" s="4" t="e">
        <f>VLOOKUP(A1492,Revisión!$A$2:$L$703,10,FALSE)</f>
        <v>#N/A</v>
      </c>
      <c r="M1492" s="18" t="e">
        <f>VLOOKUP(A1492,Revisión!$A$2:$L$703,11,FALSE)</f>
        <v>#N/A</v>
      </c>
      <c r="N1492" s="30" t="str">
        <f>IF(E1492="Coinciden",D1492,IF(E1492="Revisar",VLOOKUP(A1492,Revisión!$A$2:$L$703,12,FALSE),""))</f>
        <v>Orites lancifolius</v>
      </c>
    </row>
    <row r="1493" spans="1:14" x14ac:dyDescent="0.3">
      <c r="A1493" t="s">
        <v>3077</v>
      </c>
      <c r="B1493" t="s">
        <v>3078</v>
      </c>
      <c r="C1493" t="s">
        <v>3078</v>
      </c>
      <c r="D1493" t="s">
        <v>3078</v>
      </c>
      <c r="E1493" t="s">
        <v>18</v>
      </c>
      <c r="F1493" t="s">
        <v>19</v>
      </c>
      <c r="H1493" s="23" t="e">
        <f>VLOOKUP(A1493,Revisión!$A$2:$L$703,6,FALSE)</f>
        <v>#N/A</v>
      </c>
      <c r="I1493" s="4" t="e">
        <f>VLOOKUP(A1493,Revisión!$A$2:$L$703,7,FALSE)</f>
        <v>#N/A</v>
      </c>
      <c r="J1493" s="4" t="e">
        <f>VLOOKUP(A1493,Revisión!$A$2:$L$703,8,FALSE)</f>
        <v>#N/A</v>
      </c>
      <c r="K1493" s="4" t="e">
        <f>VLOOKUP(A1493,Revisión!$A$2:$L$703,9,FALSE)</f>
        <v>#N/A</v>
      </c>
      <c r="L1493" s="4" t="e">
        <f>VLOOKUP(A1493,Revisión!$A$2:$L$703,10,FALSE)</f>
        <v>#N/A</v>
      </c>
      <c r="M1493" s="18" t="e">
        <f>VLOOKUP(A1493,Revisión!$A$2:$L$703,11,FALSE)</f>
        <v>#N/A</v>
      </c>
      <c r="N1493" s="30" t="str">
        <f>IF(E1493="Coinciden",D1493,IF(E1493="Revisar",VLOOKUP(A1493,Revisión!$A$2:$L$703,12,FALSE),""))</f>
        <v>Orixa japonica</v>
      </c>
    </row>
    <row r="1494" spans="1:14" x14ac:dyDescent="0.3">
      <c r="A1494" t="s">
        <v>3079</v>
      </c>
      <c r="C1494" t="s">
        <v>3080</v>
      </c>
      <c r="D1494" t="s">
        <v>3080</v>
      </c>
      <c r="E1494" t="s">
        <v>8</v>
      </c>
      <c r="F1494" t="s">
        <v>49</v>
      </c>
      <c r="H1494" s="23" t="str">
        <f>VLOOKUP(A1494,Revisión!$A$2:$L$703,6,FALSE)</f>
        <v>Ormocarpum cochinchinense</v>
      </c>
      <c r="I1494" s="4" t="str">
        <f>VLOOKUP(A1494,Revisión!$A$2:$L$703,7,FALSE)</f>
        <v>-</v>
      </c>
      <c r="J1494" s="4" t="str">
        <f>VLOOKUP(A1494,Revisión!$A$2:$L$703,8,FALSE)</f>
        <v>Ormocarpum cochinchinense</v>
      </c>
      <c r="K1494" s="4" t="str">
        <f>VLOOKUP(A1494,Revisión!$A$2:$L$703,9,FALSE)</f>
        <v>Ormocarpum cochinchinense</v>
      </c>
      <c r="L1494" s="4" t="str">
        <f>VLOOKUP(A1494,Revisión!$A$2:$L$703,10,FALSE)</f>
        <v>Ormocarpum cochinchinense</v>
      </c>
      <c r="M1494" s="18">
        <f>VLOOKUP(A1494,Revisión!$A$2:$L$703,11,FALSE)</f>
        <v>3</v>
      </c>
      <c r="N1494" s="30" t="str">
        <f>IF(E1494="Coinciden",D1494,IF(E1494="Revisar",VLOOKUP(A1494,Revisión!$A$2:$L$703,12,FALSE),""))</f>
        <v>Ormocarpum cochinchinense</v>
      </c>
    </row>
    <row r="1495" spans="1:14" x14ac:dyDescent="0.3">
      <c r="A1495" t="s">
        <v>3081</v>
      </c>
      <c r="B1495" t="s">
        <v>3082</v>
      </c>
      <c r="D1495" t="s">
        <v>3082</v>
      </c>
      <c r="E1495" t="s">
        <v>8</v>
      </c>
      <c r="F1495" t="s">
        <v>34</v>
      </c>
      <c r="H1495" s="23" t="str">
        <f>VLOOKUP(A1495,Revisión!$A$2:$L$703,6,FALSE)</f>
        <v>Ornithogalum exscapum</v>
      </c>
      <c r="I1495" s="4" t="str">
        <f>VLOOKUP(A1495,Revisión!$A$2:$L$703,7,FALSE)</f>
        <v>-</v>
      </c>
      <c r="J1495" s="4" t="str">
        <f>VLOOKUP(A1495,Revisión!$A$2:$L$703,8,FALSE)</f>
        <v>Ornithogalum exscapum</v>
      </c>
      <c r="K1495" s="4" t="str">
        <f>VLOOKUP(A1495,Revisión!$A$2:$L$703,9,FALSE)</f>
        <v>Ornithogalum exscapum</v>
      </c>
      <c r="L1495" s="4" t="str">
        <f>VLOOKUP(A1495,Revisión!$A$2:$L$703,10,FALSE)</f>
        <v>Ornithogalum exscapum</v>
      </c>
      <c r="M1495" s="18">
        <f>VLOOKUP(A1495,Revisión!$A$2:$L$703,11,FALSE)</f>
        <v>4</v>
      </c>
      <c r="N1495" s="30" t="str">
        <f>IF(E1495="Coinciden",D1495,IF(E1495="Revisar",VLOOKUP(A1495,Revisión!$A$2:$L$703,12,FALSE),""))</f>
        <v>Ornithogalum exscapum</v>
      </c>
    </row>
    <row r="1496" spans="1:14" x14ac:dyDescent="0.3">
      <c r="A1496" t="s">
        <v>3083</v>
      </c>
      <c r="B1496" t="s">
        <v>3084</v>
      </c>
      <c r="C1496" t="s">
        <v>3085</v>
      </c>
      <c r="D1496" t="s">
        <v>3085</v>
      </c>
      <c r="E1496" t="s">
        <v>8</v>
      </c>
      <c r="F1496" t="s">
        <v>23</v>
      </c>
      <c r="H1496" s="23" t="str">
        <f>VLOOKUP(A1496,Revisión!$A$2:$L$703,6,FALSE)</f>
        <v>Aphyllon uniflorum</v>
      </c>
      <c r="I1496" s="4" t="str">
        <f>VLOOKUP(A1496,Revisión!$A$2:$L$703,7,FALSE)</f>
        <v>-</v>
      </c>
      <c r="J1496" s="4" t="str">
        <f>VLOOKUP(A1496,Revisión!$A$2:$L$703,8,FALSE)</f>
        <v>Orobanche uniflora</v>
      </c>
      <c r="K1496" s="4" t="str">
        <f>VLOOKUP(A1496,Revisión!$A$2:$L$703,9,FALSE)</f>
        <v>Aphyllon uniflorum</v>
      </c>
      <c r="L1496" s="4" t="str">
        <f>VLOOKUP(A1496,Revisión!$A$2:$L$703,10,FALSE)</f>
        <v>Aphyllon uniflorum</v>
      </c>
      <c r="M1496" s="18">
        <f>VLOOKUP(A1496,Revisión!$A$2:$L$703,11,FALSE)</f>
        <v>3</v>
      </c>
      <c r="N1496" s="30" t="str">
        <f>IF(E1496="Coinciden",D1496,IF(E1496="Revisar",VLOOKUP(A1496,Revisión!$A$2:$L$703,12,FALSE),""))</f>
        <v>Aphyllon uniflorum</v>
      </c>
    </row>
    <row r="1497" spans="1:14" x14ac:dyDescent="0.3">
      <c r="A1497" t="s">
        <v>3086</v>
      </c>
      <c r="C1497" t="s">
        <v>3087</v>
      </c>
      <c r="D1497" t="s">
        <v>3087</v>
      </c>
      <c r="E1497" t="s">
        <v>8</v>
      </c>
      <c r="F1497" t="s">
        <v>49</v>
      </c>
      <c r="H1497" s="23" t="str">
        <f>VLOOKUP(A1497,Revisión!$A$2:$L$703,6,FALSE)</f>
        <v>Osmorhiza longistylis</v>
      </c>
      <c r="I1497" s="4" t="str">
        <f>VLOOKUP(A1497,Revisión!$A$2:$L$703,7,FALSE)</f>
        <v>-</v>
      </c>
      <c r="J1497" s="4" t="str">
        <f>VLOOKUP(A1497,Revisión!$A$2:$L$703,8,FALSE)</f>
        <v>Osmorhiza longistylis</v>
      </c>
      <c r="K1497" s="4" t="str">
        <f>VLOOKUP(A1497,Revisión!$A$2:$L$703,9,FALSE)</f>
        <v>Osmorhiza longistylis</v>
      </c>
      <c r="L1497" s="4" t="str">
        <f>VLOOKUP(A1497,Revisión!$A$2:$L$703,10,FALSE)</f>
        <v>Osmorhiza longistylis</v>
      </c>
      <c r="M1497" s="18">
        <f>VLOOKUP(A1497,Revisión!$A$2:$L$703,11,FALSE)</f>
        <v>5</v>
      </c>
      <c r="N1497" s="30" t="str">
        <f>IF(E1497="Coinciden",D1497,IF(E1497="Revisar",VLOOKUP(A1497,Revisión!$A$2:$L$703,12,FALSE),""))</f>
        <v>Osmorhiza longistylis</v>
      </c>
    </row>
    <row r="1498" spans="1:14" x14ac:dyDescent="0.3">
      <c r="A1498" t="s">
        <v>3088</v>
      </c>
      <c r="C1498" t="s">
        <v>3089</v>
      </c>
      <c r="D1498" t="s">
        <v>3089</v>
      </c>
      <c r="E1498" t="s">
        <v>8</v>
      </c>
      <c r="F1498" t="s">
        <v>49</v>
      </c>
      <c r="H1498" s="23" t="str">
        <f>VLOOKUP(A1498,Revisión!$A$2:$L$703,6,FALSE)</f>
        <v>Ostericum sieboldii</v>
      </c>
      <c r="I1498" s="4" t="str">
        <f>VLOOKUP(A1498,Revisión!$A$2:$L$703,7,FALSE)</f>
        <v>-</v>
      </c>
      <c r="J1498" s="4" t="str">
        <f>VLOOKUP(A1498,Revisión!$A$2:$L$703,8,FALSE)</f>
        <v>Ostericum sieboldii</v>
      </c>
      <c r="K1498" s="4" t="str">
        <f>VLOOKUP(A1498,Revisión!$A$2:$L$703,9,FALSE)</f>
        <v>Ostericum sieboldii</v>
      </c>
      <c r="L1498" s="4" t="str">
        <f>VLOOKUP(A1498,Revisión!$A$2:$L$703,10,FALSE)</f>
        <v>Ostericum sieboldii</v>
      </c>
      <c r="M1498" s="18">
        <f>VLOOKUP(A1498,Revisión!$A$2:$L$703,11,FALSE)</f>
        <v>5</v>
      </c>
      <c r="N1498" s="30" t="str">
        <f>IF(E1498="Coinciden",D1498,IF(E1498="Revisar",VLOOKUP(A1498,Revisión!$A$2:$L$703,12,FALSE),""))</f>
        <v>Ostericum sieboldii</v>
      </c>
    </row>
    <row r="1499" spans="1:14" x14ac:dyDescent="0.3">
      <c r="A1499" t="s">
        <v>3090</v>
      </c>
      <c r="B1499" t="s">
        <v>3091</v>
      </c>
      <c r="C1499" t="s">
        <v>3092</v>
      </c>
      <c r="D1499" t="s">
        <v>3092</v>
      </c>
      <c r="E1499" t="s">
        <v>8</v>
      </c>
      <c r="F1499" t="s">
        <v>23</v>
      </c>
      <c r="H1499" s="23" t="str">
        <f>VLOOKUP(A1499,Revisión!$A$2:$L$703,6,FALSE)</f>
        <v>Osyris quadripartita</v>
      </c>
      <c r="I1499" s="4" t="str">
        <f>VLOOKUP(A1499,Revisión!$A$2:$L$703,7,FALSE)</f>
        <v>-</v>
      </c>
      <c r="J1499" s="4" t="str">
        <f>VLOOKUP(A1499,Revisión!$A$2:$L$703,8,FALSE)</f>
        <v>Osyris lanceolata</v>
      </c>
      <c r="K1499" s="4" t="str">
        <f>VLOOKUP(A1499,Revisión!$A$2:$L$703,9,FALSE)</f>
        <v>Osyris quadripartita</v>
      </c>
      <c r="L1499" s="4" t="str">
        <f>VLOOKUP(A1499,Revisión!$A$2:$L$703,10,FALSE)</f>
        <v>Osyris quadripartita</v>
      </c>
      <c r="M1499" s="18">
        <f>VLOOKUP(A1499,Revisión!$A$2:$L$703,11,FALSE)</f>
        <v>3</v>
      </c>
      <c r="N1499" s="30" t="str">
        <f>IF(E1499="Coinciden",D1499,IF(E1499="Revisar",VLOOKUP(A1499,Revisión!$A$2:$L$703,12,FALSE),""))</f>
        <v>Osyris quadripartita</v>
      </c>
    </row>
    <row r="1500" spans="1:14" x14ac:dyDescent="0.3">
      <c r="A1500" t="s">
        <v>3093</v>
      </c>
      <c r="B1500" t="s">
        <v>3094</v>
      </c>
      <c r="C1500" t="s">
        <v>3094</v>
      </c>
      <c r="D1500" t="s">
        <v>3094</v>
      </c>
      <c r="E1500" t="s">
        <v>18</v>
      </c>
      <c r="F1500" t="s">
        <v>19</v>
      </c>
      <c r="H1500" s="23" t="e">
        <f>VLOOKUP(A1500,Revisión!$A$2:$L$703,6,FALSE)</f>
        <v>#N/A</v>
      </c>
      <c r="I1500" s="4" t="e">
        <f>VLOOKUP(A1500,Revisión!$A$2:$L$703,7,FALSE)</f>
        <v>#N/A</v>
      </c>
      <c r="J1500" s="4" t="e">
        <f>VLOOKUP(A1500,Revisión!$A$2:$L$703,8,FALSE)</f>
        <v>#N/A</v>
      </c>
      <c r="K1500" s="4" t="e">
        <f>VLOOKUP(A1500,Revisión!$A$2:$L$703,9,FALSE)</f>
        <v>#N/A</v>
      </c>
      <c r="L1500" s="4" t="e">
        <f>VLOOKUP(A1500,Revisión!$A$2:$L$703,10,FALSE)</f>
        <v>#N/A</v>
      </c>
      <c r="M1500" s="18" t="e">
        <f>VLOOKUP(A1500,Revisión!$A$2:$L$703,11,FALSE)</f>
        <v>#N/A</v>
      </c>
      <c r="N1500" s="30" t="str">
        <f>IF(E1500="Coinciden",D1500,IF(E1500="Revisar",VLOOKUP(A1500,Revisión!$A$2:$L$703,12,FALSE),""))</f>
        <v>Osyris alba</v>
      </c>
    </row>
    <row r="1501" spans="1:14" x14ac:dyDescent="0.3">
      <c r="A1501" t="s">
        <v>3095</v>
      </c>
      <c r="B1501" t="s">
        <v>3096</v>
      </c>
      <c r="C1501" t="s">
        <v>3096</v>
      </c>
      <c r="D1501" t="s">
        <v>3096</v>
      </c>
      <c r="E1501" t="s">
        <v>18</v>
      </c>
      <c r="F1501" t="s">
        <v>19</v>
      </c>
      <c r="H1501" s="23" t="e">
        <f>VLOOKUP(A1501,Revisión!$A$2:$L$703,6,FALSE)</f>
        <v>#N/A</v>
      </c>
      <c r="I1501" s="4" t="e">
        <f>VLOOKUP(A1501,Revisión!$A$2:$L$703,7,FALSE)</f>
        <v>#N/A</v>
      </c>
      <c r="J1501" s="4" t="e">
        <f>VLOOKUP(A1501,Revisión!$A$2:$L$703,8,FALSE)</f>
        <v>#N/A</v>
      </c>
      <c r="K1501" s="4" t="e">
        <f>VLOOKUP(A1501,Revisión!$A$2:$L$703,9,FALSE)</f>
        <v>#N/A</v>
      </c>
      <c r="L1501" s="4" t="e">
        <f>VLOOKUP(A1501,Revisión!$A$2:$L$703,10,FALSE)</f>
        <v>#N/A</v>
      </c>
      <c r="M1501" s="18" t="e">
        <f>VLOOKUP(A1501,Revisión!$A$2:$L$703,11,FALSE)</f>
        <v>#N/A</v>
      </c>
      <c r="N1501" s="30" t="str">
        <f>IF(E1501="Coinciden",D1501,IF(E1501="Revisar",VLOOKUP(A1501,Revisión!$A$2:$L$703,12,FALSE),""))</f>
        <v>Ourisia caespitosa</v>
      </c>
    </row>
    <row r="1502" spans="1:14" x14ac:dyDescent="0.3">
      <c r="A1502" t="s">
        <v>3097</v>
      </c>
      <c r="B1502" t="s">
        <v>3098</v>
      </c>
      <c r="C1502" t="s">
        <v>3098</v>
      </c>
      <c r="D1502" t="s">
        <v>3098</v>
      </c>
      <c r="E1502" t="s">
        <v>18</v>
      </c>
      <c r="F1502" t="s">
        <v>19</v>
      </c>
      <c r="H1502" s="23" t="e">
        <f>VLOOKUP(A1502,Revisión!$A$2:$L$703,6,FALSE)</f>
        <v>#N/A</v>
      </c>
      <c r="I1502" s="4" t="e">
        <f>VLOOKUP(A1502,Revisión!$A$2:$L$703,7,FALSE)</f>
        <v>#N/A</v>
      </c>
      <c r="J1502" s="4" t="e">
        <f>VLOOKUP(A1502,Revisión!$A$2:$L$703,8,FALSE)</f>
        <v>#N/A</v>
      </c>
      <c r="K1502" s="4" t="e">
        <f>VLOOKUP(A1502,Revisión!$A$2:$L$703,9,FALSE)</f>
        <v>#N/A</v>
      </c>
      <c r="L1502" s="4" t="e">
        <f>VLOOKUP(A1502,Revisión!$A$2:$L$703,10,FALSE)</f>
        <v>#N/A</v>
      </c>
      <c r="M1502" s="18" t="e">
        <f>VLOOKUP(A1502,Revisión!$A$2:$L$703,11,FALSE)</f>
        <v>#N/A</v>
      </c>
      <c r="N1502" s="30" t="str">
        <f>IF(E1502="Coinciden",D1502,IF(E1502="Revisar",VLOOKUP(A1502,Revisión!$A$2:$L$703,12,FALSE),""))</f>
        <v>Ourisia macrocarpa</v>
      </c>
    </row>
    <row r="1503" spans="1:14" x14ac:dyDescent="0.3">
      <c r="A1503" t="s">
        <v>3099</v>
      </c>
      <c r="B1503" t="s">
        <v>3100</v>
      </c>
      <c r="C1503" t="s">
        <v>3101</v>
      </c>
      <c r="D1503" t="s">
        <v>3101</v>
      </c>
      <c r="E1503" t="s">
        <v>8</v>
      </c>
      <c r="F1503" t="s">
        <v>23</v>
      </c>
      <c r="H1503" s="23" t="str">
        <f>VLOOKUP(A1503,Revisión!$A$2:$L$703,6,FALSE)</f>
        <v>Ovidia pillo-pillo</v>
      </c>
      <c r="I1503" s="4" t="str">
        <f>VLOOKUP(A1503,Revisión!$A$2:$L$703,7,FALSE)</f>
        <v>-</v>
      </c>
      <c r="J1503" s="4" t="str">
        <f>VLOOKUP(A1503,Revisión!$A$2:$L$703,8,FALSE)</f>
        <v>Ovidia andina</v>
      </c>
      <c r="K1503" s="4" t="str">
        <f>VLOOKUP(A1503,Revisión!$A$2:$L$703,9,FALSE)</f>
        <v>Ovidia pillo-pillo</v>
      </c>
      <c r="L1503" s="4" t="str">
        <f>VLOOKUP(A1503,Revisión!$A$2:$L$703,10,FALSE)</f>
        <v>Ovidia pillo-pillo</v>
      </c>
      <c r="M1503" s="18">
        <f>VLOOKUP(A1503,Revisión!$A$2:$L$703,11,FALSE)</f>
        <v>3</v>
      </c>
      <c r="N1503" s="30" t="str">
        <f>IF(E1503="Coinciden",D1503,IF(E1503="Revisar",VLOOKUP(A1503,Revisión!$A$2:$L$703,12,FALSE),""))</f>
        <v>Ovidia pillo-pillo</v>
      </c>
    </row>
    <row r="1504" spans="1:14" x14ac:dyDescent="0.3">
      <c r="A1504" t="s">
        <v>3102</v>
      </c>
      <c r="B1504" t="s">
        <v>3103</v>
      </c>
      <c r="C1504" t="s">
        <v>3103</v>
      </c>
      <c r="D1504" t="s">
        <v>3103</v>
      </c>
      <c r="E1504" t="s">
        <v>18</v>
      </c>
      <c r="F1504" t="s">
        <v>19</v>
      </c>
      <c r="H1504" s="23" t="e">
        <f>VLOOKUP(A1504,Revisión!$A$2:$L$703,6,FALSE)</f>
        <v>#N/A</v>
      </c>
      <c r="I1504" s="4" t="e">
        <f>VLOOKUP(A1504,Revisión!$A$2:$L$703,7,FALSE)</f>
        <v>#N/A</v>
      </c>
      <c r="J1504" s="4" t="e">
        <f>VLOOKUP(A1504,Revisión!$A$2:$L$703,8,FALSE)</f>
        <v>#N/A</v>
      </c>
      <c r="K1504" s="4" t="e">
        <f>VLOOKUP(A1504,Revisión!$A$2:$L$703,9,FALSE)</f>
        <v>#N/A</v>
      </c>
      <c r="L1504" s="4" t="e">
        <f>VLOOKUP(A1504,Revisión!$A$2:$L$703,10,FALSE)</f>
        <v>#N/A</v>
      </c>
      <c r="M1504" s="18" t="e">
        <f>VLOOKUP(A1504,Revisión!$A$2:$L$703,11,FALSE)</f>
        <v>#N/A</v>
      </c>
      <c r="N1504" s="30" t="str">
        <f>IF(E1504="Coinciden",D1504,IF(E1504="Revisar",VLOOKUP(A1504,Revisión!$A$2:$L$703,12,FALSE),""))</f>
        <v>Oxalis corniculata</v>
      </c>
    </row>
    <row r="1505" spans="1:14" x14ac:dyDescent="0.3">
      <c r="A1505" t="s">
        <v>3104</v>
      </c>
      <c r="B1505" t="s">
        <v>3105</v>
      </c>
      <c r="C1505" t="s">
        <v>3105</v>
      </c>
      <c r="D1505" t="s">
        <v>3105</v>
      </c>
      <c r="E1505" t="s">
        <v>18</v>
      </c>
      <c r="F1505" t="s">
        <v>19</v>
      </c>
      <c r="H1505" s="23" t="e">
        <f>VLOOKUP(A1505,Revisión!$A$2:$L$703,6,FALSE)</f>
        <v>#N/A</v>
      </c>
      <c r="I1505" s="4" t="e">
        <f>VLOOKUP(A1505,Revisión!$A$2:$L$703,7,FALSE)</f>
        <v>#N/A</v>
      </c>
      <c r="J1505" s="4" t="e">
        <f>VLOOKUP(A1505,Revisión!$A$2:$L$703,8,FALSE)</f>
        <v>#N/A</v>
      </c>
      <c r="K1505" s="4" t="e">
        <f>VLOOKUP(A1505,Revisión!$A$2:$L$703,9,FALSE)</f>
        <v>#N/A</v>
      </c>
      <c r="L1505" s="4" t="e">
        <f>VLOOKUP(A1505,Revisión!$A$2:$L$703,10,FALSE)</f>
        <v>#N/A</v>
      </c>
      <c r="M1505" s="18" t="e">
        <f>VLOOKUP(A1505,Revisión!$A$2:$L$703,11,FALSE)</f>
        <v>#N/A</v>
      </c>
      <c r="N1505" s="30" t="str">
        <f>IF(E1505="Coinciden",D1505,IF(E1505="Revisar",VLOOKUP(A1505,Revisión!$A$2:$L$703,12,FALSE),""))</f>
        <v>Oxalis compacta</v>
      </c>
    </row>
    <row r="1506" spans="1:14" x14ac:dyDescent="0.3">
      <c r="A1506" t="s">
        <v>3106</v>
      </c>
      <c r="E1506" t="s">
        <v>8</v>
      </c>
      <c r="F1506" t="s">
        <v>11</v>
      </c>
      <c r="H1506" s="23" t="e">
        <f>VLOOKUP(A1506,Revisión!$A$2:$L$703,6,FALSE)</f>
        <v>#N/A</v>
      </c>
      <c r="I1506" s="4" t="e">
        <f>VLOOKUP(A1506,Revisión!$A$2:$L$703,7,FALSE)</f>
        <v>#N/A</v>
      </c>
      <c r="J1506" s="4" t="e">
        <f>VLOOKUP(A1506,Revisión!$A$2:$L$703,8,FALSE)</f>
        <v>#N/A</v>
      </c>
      <c r="K1506" s="4" t="e">
        <f>VLOOKUP(A1506,Revisión!$A$2:$L$703,9,FALSE)</f>
        <v>#N/A</v>
      </c>
      <c r="L1506" s="4" t="e">
        <f>VLOOKUP(A1506,Revisión!$A$2:$L$703,10,FALSE)</f>
        <v>#N/A</v>
      </c>
      <c r="M1506" s="18" t="e">
        <f>VLOOKUP(A1506,Revisión!$A$2:$L$703,11,FALSE)</f>
        <v>#N/A</v>
      </c>
      <c r="N1506" s="30" t="e">
        <f>IF(E1506="Coinciden",D1506,IF(E1506="Revisar",VLOOKUP(A1506,Revisión!$A$2:$L$703,12,FALSE),""))</f>
        <v>#N/A</v>
      </c>
    </row>
    <row r="1507" spans="1:14" x14ac:dyDescent="0.3">
      <c r="A1507" t="s">
        <v>3107</v>
      </c>
      <c r="B1507" t="s">
        <v>3108</v>
      </c>
      <c r="C1507" t="s">
        <v>3108</v>
      </c>
      <c r="D1507" t="s">
        <v>3108</v>
      </c>
      <c r="E1507" t="s">
        <v>18</v>
      </c>
      <c r="F1507" t="s">
        <v>19</v>
      </c>
      <c r="H1507" s="23" t="e">
        <f>VLOOKUP(A1507,Revisión!$A$2:$L$703,6,FALSE)</f>
        <v>#N/A</v>
      </c>
      <c r="I1507" s="4" t="e">
        <f>VLOOKUP(A1507,Revisión!$A$2:$L$703,7,FALSE)</f>
        <v>#N/A</v>
      </c>
      <c r="J1507" s="4" t="e">
        <f>VLOOKUP(A1507,Revisión!$A$2:$L$703,8,FALSE)</f>
        <v>#N/A</v>
      </c>
      <c r="K1507" s="4" t="e">
        <f>VLOOKUP(A1507,Revisión!$A$2:$L$703,9,FALSE)</f>
        <v>#N/A</v>
      </c>
      <c r="L1507" s="4" t="e">
        <f>VLOOKUP(A1507,Revisión!$A$2:$L$703,10,FALSE)</f>
        <v>#N/A</v>
      </c>
      <c r="M1507" s="18" t="e">
        <f>VLOOKUP(A1507,Revisión!$A$2:$L$703,11,FALSE)</f>
        <v>#N/A</v>
      </c>
      <c r="N1507" s="30" t="str">
        <f>IF(E1507="Coinciden",D1507,IF(E1507="Revisar",VLOOKUP(A1507,Revisión!$A$2:$L$703,12,FALSE),""))</f>
        <v>Oxalis violacea</v>
      </c>
    </row>
    <row r="1508" spans="1:14" x14ac:dyDescent="0.3">
      <c r="A1508" t="s">
        <v>3109</v>
      </c>
      <c r="B1508" t="s">
        <v>3110</v>
      </c>
      <c r="C1508" t="s">
        <v>3110</v>
      </c>
      <c r="D1508" t="s">
        <v>3110</v>
      </c>
      <c r="E1508" t="s">
        <v>18</v>
      </c>
      <c r="F1508" t="s">
        <v>19</v>
      </c>
      <c r="H1508" s="23" t="e">
        <f>VLOOKUP(A1508,Revisión!$A$2:$L$703,6,FALSE)</f>
        <v>#N/A</v>
      </c>
      <c r="I1508" s="4" t="e">
        <f>VLOOKUP(A1508,Revisión!$A$2:$L$703,7,FALSE)</f>
        <v>#N/A</v>
      </c>
      <c r="J1508" s="4" t="e">
        <f>VLOOKUP(A1508,Revisión!$A$2:$L$703,8,FALSE)</f>
        <v>#N/A</v>
      </c>
      <c r="K1508" s="4" t="e">
        <f>VLOOKUP(A1508,Revisión!$A$2:$L$703,9,FALSE)</f>
        <v>#N/A</v>
      </c>
      <c r="L1508" s="4" t="e">
        <f>VLOOKUP(A1508,Revisión!$A$2:$L$703,10,FALSE)</f>
        <v>#N/A</v>
      </c>
      <c r="M1508" s="18" t="e">
        <f>VLOOKUP(A1508,Revisión!$A$2:$L$703,11,FALSE)</f>
        <v>#N/A</v>
      </c>
      <c r="N1508" s="30" t="str">
        <f>IF(E1508="Coinciden",D1508,IF(E1508="Revisar",VLOOKUP(A1508,Revisión!$A$2:$L$703,12,FALSE),""))</f>
        <v>Oxalis articulata</v>
      </c>
    </row>
    <row r="1509" spans="1:14" x14ac:dyDescent="0.3">
      <c r="A1509" t="s">
        <v>3111</v>
      </c>
      <c r="B1509" t="s">
        <v>3112</v>
      </c>
      <c r="C1509" t="s">
        <v>3112</v>
      </c>
      <c r="D1509" t="s">
        <v>3112</v>
      </c>
      <c r="E1509" t="s">
        <v>18</v>
      </c>
      <c r="F1509" t="s">
        <v>19</v>
      </c>
      <c r="H1509" s="23" t="e">
        <f>VLOOKUP(A1509,Revisión!$A$2:$L$703,6,FALSE)</f>
        <v>#N/A</v>
      </c>
      <c r="I1509" s="4" t="e">
        <f>VLOOKUP(A1509,Revisión!$A$2:$L$703,7,FALSE)</f>
        <v>#N/A</v>
      </c>
      <c r="J1509" s="4" t="e">
        <f>VLOOKUP(A1509,Revisión!$A$2:$L$703,8,FALSE)</f>
        <v>#N/A</v>
      </c>
      <c r="K1509" s="4" t="e">
        <f>VLOOKUP(A1509,Revisión!$A$2:$L$703,9,FALSE)</f>
        <v>#N/A</v>
      </c>
      <c r="L1509" s="4" t="e">
        <f>VLOOKUP(A1509,Revisión!$A$2:$L$703,10,FALSE)</f>
        <v>#N/A</v>
      </c>
      <c r="M1509" s="18" t="e">
        <f>VLOOKUP(A1509,Revisión!$A$2:$L$703,11,FALSE)</f>
        <v>#N/A</v>
      </c>
      <c r="N1509" s="30" t="str">
        <f>IF(E1509="Coinciden",D1509,IF(E1509="Revisar",VLOOKUP(A1509,Revisión!$A$2:$L$703,12,FALSE),""))</f>
        <v>Oxalis montana</v>
      </c>
    </row>
    <row r="1510" spans="1:14" x14ac:dyDescent="0.3">
      <c r="A1510" t="s">
        <v>3113</v>
      </c>
      <c r="E1510" t="s">
        <v>8</v>
      </c>
      <c r="F1510" t="s">
        <v>11</v>
      </c>
      <c r="H1510" s="23" t="e">
        <f>VLOOKUP(A1510,Revisión!$A$2:$L$703,6,FALSE)</f>
        <v>#N/A</v>
      </c>
      <c r="I1510" s="4" t="e">
        <f>VLOOKUP(A1510,Revisión!$A$2:$L$703,7,FALSE)</f>
        <v>#N/A</v>
      </c>
      <c r="J1510" s="4" t="e">
        <f>VLOOKUP(A1510,Revisión!$A$2:$L$703,8,FALSE)</f>
        <v>#N/A</v>
      </c>
      <c r="K1510" s="4" t="e">
        <f>VLOOKUP(A1510,Revisión!$A$2:$L$703,9,FALSE)</f>
        <v>#N/A</v>
      </c>
      <c r="L1510" s="4" t="e">
        <f>VLOOKUP(A1510,Revisión!$A$2:$L$703,10,FALSE)</f>
        <v>#N/A</v>
      </c>
      <c r="M1510" s="18" t="e">
        <f>VLOOKUP(A1510,Revisión!$A$2:$L$703,11,FALSE)</f>
        <v>#N/A</v>
      </c>
      <c r="N1510" s="30" t="e">
        <f>IF(E1510="Coinciden",D1510,IF(E1510="Revisar",VLOOKUP(A1510,Revisión!$A$2:$L$703,12,FALSE),""))</f>
        <v>#N/A</v>
      </c>
    </row>
    <row r="1511" spans="1:14" x14ac:dyDescent="0.3">
      <c r="A1511" t="s">
        <v>3114</v>
      </c>
      <c r="B1511" t="s">
        <v>3115</v>
      </c>
      <c r="D1511" t="s">
        <v>3115</v>
      </c>
      <c r="E1511" t="s">
        <v>8</v>
      </c>
      <c r="F1511" t="s">
        <v>34</v>
      </c>
      <c r="H1511" s="23" t="str">
        <f>VLOOKUP(A1511,Revisión!$A$2:$L$703,6,FALSE)</f>
        <v>Oxalis barrelieri</v>
      </c>
      <c r="I1511" s="4" t="str">
        <f>VLOOKUP(A1511,Revisión!$A$2:$L$703,7,FALSE)</f>
        <v>-</v>
      </c>
      <c r="J1511" s="4" t="str">
        <f>VLOOKUP(A1511,Revisión!$A$2:$L$703,8,FALSE)</f>
        <v>Oxalis barrelieri</v>
      </c>
      <c r="K1511" s="4" t="str">
        <f>VLOOKUP(A1511,Revisión!$A$2:$L$703,9,FALSE)</f>
        <v>Oxalis barrelieri</v>
      </c>
      <c r="L1511" s="4" t="str">
        <f>VLOOKUP(A1511,Revisión!$A$2:$L$703,10,FALSE)</f>
        <v>Oxalis barrelieri</v>
      </c>
      <c r="M1511" s="18">
        <f>VLOOKUP(A1511,Revisión!$A$2:$L$703,11,FALSE)</f>
        <v>5</v>
      </c>
      <c r="N1511" s="30" t="str">
        <f>IF(E1511="Coinciden",D1511,IF(E1511="Revisar",VLOOKUP(A1511,Revisión!$A$2:$L$703,12,FALSE),""))</f>
        <v>Oxalis barrelieri</v>
      </c>
    </row>
    <row r="1512" spans="1:14" x14ac:dyDescent="0.3">
      <c r="A1512" t="s">
        <v>3116</v>
      </c>
      <c r="B1512" t="s">
        <v>3117</v>
      </c>
      <c r="C1512" t="s">
        <v>3117</v>
      </c>
      <c r="D1512" t="s">
        <v>3117</v>
      </c>
      <c r="E1512" t="s">
        <v>18</v>
      </c>
      <c r="F1512" t="s">
        <v>19</v>
      </c>
      <c r="H1512" s="23" t="e">
        <f>VLOOKUP(A1512,Revisión!$A$2:$L$703,6,FALSE)</f>
        <v>#N/A</v>
      </c>
      <c r="I1512" s="4" t="e">
        <f>VLOOKUP(A1512,Revisión!$A$2:$L$703,7,FALSE)</f>
        <v>#N/A</v>
      </c>
      <c r="J1512" s="4" t="e">
        <f>VLOOKUP(A1512,Revisión!$A$2:$L$703,8,FALSE)</f>
        <v>#N/A</v>
      </c>
      <c r="K1512" s="4" t="e">
        <f>VLOOKUP(A1512,Revisión!$A$2:$L$703,9,FALSE)</f>
        <v>#N/A</v>
      </c>
      <c r="L1512" s="4" t="e">
        <f>VLOOKUP(A1512,Revisión!$A$2:$L$703,10,FALSE)</f>
        <v>#N/A</v>
      </c>
      <c r="M1512" s="18" t="e">
        <f>VLOOKUP(A1512,Revisión!$A$2:$L$703,11,FALSE)</f>
        <v>#N/A</v>
      </c>
      <c r="N1512" s="30" t="str">
        <f>IF(E1512="Coinciden",D1512,IF(E1512="Revisar",VLOOKUP(A1512,Revisión!$A$2:$L$703,12,FALSE),""))</f>
        <v>Oxalis squamata</v>
      </c>
    </row>
    <row r="1513" spans="1:14" x14ac:dyDescent="0.3">
      <c r="A1513" t="s">
        <v>3118</v>
      </c>
      <c r="B1513" t="s">
        <v>3119</v>
      </c>
      <c r="C1513" t="s">
        <v>3119</v>
      </c>
      <c r="D1513" t="s">
        <v>3119</v>
      </c>
      <c r="E1513" t="s">
        <v>18</v>
      </c>
      <c r="F1513" t="s">
        <v>19</v>
      </c>
      <c r="H1513" s="23" t="e">
        <f>VLOOKUP(A1513,Revisión!$A$2:$L$703,6,FALSE)</f>
        <v>#N/A</v>
      </c>
      <c r="I1513" s="4" t="e">
        <f>VLOOKUP(A1513,Revisión!$A$2:$L$703,7,FALSE)</f>
        <v>#N/A</v>
      </c>
      <c r="J1513" s="4" t="e">
        <f>VLOOKUP(A1513,Revisión!$A$2:$L$703,8,FALSE)</f>
        <v>#N/A</v>
      </c>
      <c r="K1513" s="4" t="e">
        <f>VLOOKUP(A1513,Revisión!$A$2:$L$703,9,FALSE)</f>
        <v>#N/A</v>
      </c>
      <c r="L1513" s="4" t="e">
        <f>VLOOKUP(A1513,Revisión!$A$2:$L$703,10,FALSE)</f>
        <v>#N/A</v>
      </c>
      <c r="M1513" s="18" t="e">
        <f>VLOOKUP(A1513,Revisión!$A$2:$L$703,11,FALSE)</f>
        <v>#N/A</v>
      </c>
      <c r="N1513" s="30" t="str">
        <f>IF(E1513="Coinciden",D1513,IF(E1513="Revisar",VLOOKUP(A1513,Revisión!$A$2:$L$703,12,FALSE),""))</f>
        <v>Oxalis stricta</v>
      </c>
    </row>
    <row r="1514" spans="1:14" x14ac:dyDescent="0.3">
      <c r="A1514" t="s">
        <v>3120</v>
      </c>
      <c r="B1514" t="s">
        <v>3121</v>
      </c>
      <c r="C1514" t="s">
        <v>3121</v>
      </c>
      <c r="D1514" t="s">
        <v>3121</v>
      </c>
      <c r="E1514" t="s">
        <v>18</v>
      </c>
      <c r="F1514" t="s">
        <v>19</v>
      </c>
      <c r="H1514" s="23" t="e">
        <f>VLOOKUP(A1514,Revisión!$A$2:$L$703,6,FALSE)</f>
        <v>#N/A</v>
      </c>
      <c r="I1514" s="4" t="e">
        <f>VLOOKUP(A1514,Revisión!$A$2:$L$703,7,FALSE)</f>
        <v>#N/A</v>
      </c>
      <c r="J1514" s="4" t="e">
        <f>VLOOKUP(A1514,Revisión!$A$2:$L$703,8,FALSE)</f>
        <v>#N/A</v>
      </c>
      <c r="K1514" s="4" t="e">
        <f>VLOOKUP(A1514,Revisión!$A$2:$L$703,9,FALSE)</f>
        <v>#N/A</v>
      </c>
      <c r="L1514" s="4" t="e">
        <f>VLOOKUP(A1514,Revisión!$A$2:$L$703,10,FALSE)</f>
        <v>#N/A</v>
      </c>
      <c r="M1514" s="18" t="e">
        <f>VLOOKUP(A1514,Revisión!$A$2:$L$703,11,FALSE)</f>
        <v>#N/A</v>
      </c>
      <c r="N1514" s="30" t="str">
        <f>IF(E1514="Coinciden",D1514,IF(E1514="Revisar",VLOOKUP(A1514,Revisión!$A$2:$L$703,12,FALSE),""))</f>
        <v>Oxalis acetosella</v>
      </c>
    </row>
    <row r="1515" spans="1:14" x14ac:dyDescent="0.3">
      <c r="A1515" t="s">
        <v>3122</v>
      </c>
      <c r="B1515" t="s">
        <v>3123</v>
      </c>
      <c r="C1515" t="s">
        <v>3123</v>
      </c>
      <c r="D1515" t="s">
        <v>3123</v>
      </c>
      <c r="E1515" t="s">
        <v>18</v>
      </c>
      <c r="F1515" t="s">
        <v>19</v>
      </c>
      <c r="H1515" s="23" t="e">
        <f>VLOOKUP(A1515,Revisión!$A$2:$L$703,6,FALSE)</f>
        <v>#N/A</v>
      </c>
      <c r="I1515" s="4" t="e">
        <f>VLOOKUP(A1515,Revisión!$A$2:$L$703,7,FALSE)</f>
        <v>#N/A</v>
      </c>
      <c r="J1515" s="4" t="e">
        <f>VLOOKUP(A1515,Revisión!$A$2:$L$703,8,FALSE)</f>
        <v>#N/A</v>
      </c>
      <c r="K1515" s="4" t="e">
        <f>VLOOKUP(A1515,Revisión!$A$2:$L$703,9,FALSE)</f>
        <v>#N/A</v>
      </c>
      <c r="L1515" s="4" t="e">
        <f>VLOOKUP(A1515,Revisión!$A$2:$L$703,10,FALSE)</f>
        <v>#N/A</v>
      </c>
      <c r="M1515" s="18" t="e">
        <f>VLOOKUP(A1515,Revisión!$A$2:$L$703,11,FALSE)</f>
        <v>#N/A</v>
      </c>
      <c r="N1515" s="30" t="str">
        <f>IF(E1515="Coinciden",D1515,IF(E1515="Revisar",VLOOKUP(A1515,Revisión!$A$2:$L$703,12,FALSE),""))</f>
        <v>Oxalis debilis</v>
      </c>
    </row>
    <row r="1516" spans="1:14" x14ac:dyDescent="0.3">
      <c r="A1516" t="s">
        <v>3124</v>
      </c>
      <c r="E1516" t="s">
        <v>8</v>
      </c>
      <c r="F1516" t="s">
        <v>11</v>
      </c>
      <c r="H1516" s="23" t="e">
        <f>VLOOKUP(A1516,Revisión!$A$2:$L$703,6,FALSE)</f>
        <v>#N/A</v>
      </c>
      <c r="I1516" s="4" t="e">
        <f>VLOOKUP(A1516,Revisión!$A$2:$L$703,7,FALSE)</f>
        <v>#N/A</v>
      </c>
      <c r="J1516" s="4" t="e">
        <f>VLOOKUP(A1516,Revisión!$A$2:$L$703,8,FALSE)</f>
        <v>#N/A</v>
      </c>
      <c r="K1516" s="4" t="e">
        <f>VLOOKUP(A1516,Revisión!$A$2:$L$703,9,FALSE)</f>
        <v>#N/A</v>
      </c>
      <c r="L1516" s="4" t="e">
        <f>VLOOKUP(A1516,Revisión!$A$2:$L$703,10,FALSE)</f>
        <v>#N/A</v>
      </c>
      <c r="M1516" s="18" t="e">
        <f>VLOOKUP(A1516,Revisión!$A$2:$L$703,11,FALSE)</f>
        <v>#N/A</v>
      </c>
      <c r="N1516" s="30" t="e">
        <f>IF(E1516="Coinciden",D1516,IF(E1516="Revisar",VLOOKUP(A1516,Revisión!$A$2:$L$703,12,FALSE),""))</f>
        <v>#N/A</v>
      </c>
    </row>
    <row r="1517" spans="1:14" x14ac:dyDescent="0.3">
      <c r="A1517" t="s">
        <v>3125</v>
      </c>
      <c r="B1517" t="s">
        <v>3126</v>
      </c>
      <c r="D1517" t="s">
        <v>3126</v>
      </c>
      <c r="E1517" t="s">
        <v>8</v>
      </c>
      <c r="F1517" t="s">
        <v>34</v>
      </c>
      <c r="H1517" s="23" t="str">
        <f>VLOOKUP(A1517,Revisión!$A$2:$L$703,6,FALSE)</f>
        <v>Oxalis frutescens</v>
      </c>
      <c r="I1517" s="4" t="str">
        <f>VLOOKUP(A1517,Revisión!$A$2:$L$703,7,FALSE)</f>
        <v>-</v>
      </c>
      <c r="J1517" s="4" t="str">
        <f>VLOOKUP(A1517,Revisión!$A$2:$L$703,8,FALSE)</f>
        <v>Oxalis frutescens</v>
      </c>
      <c r="K1517" s="4" t="str">
        <f>VLOOKUP(A1517,Revisión!$A$2:$L$703,9,FALSE)</f>
        <v>Oxalis frutescens</v>
      </c>
      <c r="L1517" s="4" t="str">
        <f>VLOOKUP(A1517,Revisión!$A$2:$L$703,10,FALSE)</f>
        <v>Oxalis frutescens</v>
      </c>
      <c r="M1517" s="18">
        <f>VLOOKUP(A1517,Revisión!$A$2:$L$703,11,FALSE)</f>
        <v>5</v>
      </c>
      <c r="N1517" s="30" t="str">
        <f>IF(E1517="Coinciden",D1517,IF(E1517="Revisar",VLOOKUP(A1517,Revisión!$A$2:$L$703,12,FALSE),""))</f>
        <v>Oxalis frutescens</v>
      </c>
    </row>
    <row r="1518" spans="1:14" x14ac:dyDescent="0.3">
      <c r="A1518" t="s">
        <v>3127</v>
      </c>
      <c r="B1518" t="s">
        <v>3128</v>
      </c>
      <c r="C1518" t="s">
        <v>3128</v>
      </c>
      <c r="D1518" t="s">
        <v>3128</v>
      </c>
      <c r="E1518" t="s">
        <v>18</v>
      </c>
      <c r="F1518" t="s">
        <v>19</v>
      </c>
      <c r="H1518" s="23" t="e">
        <f>VLOOKUP(A1518,Revisión!$A$2:$L$703,6,FALSE)</f>
        <v>#N/A</v>
      </c>
      <c r="I1518" s="4" t="e">
        <f>VLOOKUP(A1518,Revisión!$A$2:$L$703,7,FALSE)</f>
        <v>#N/A</v>
      </c>
      <c r="J1518" s="4" t="e">
        <f>VLOOKUP(A1518,Revisión!$A$2:$L$703,8,FALSE)</f>
        <v>#N/A</v>
      </c>
      <c r="K1518" s="4" t="e">
        <f>VLOOKUP(A1518,Revisión!$A$2:$L$703,9,FALSE)</f>
        <v>#N/A</v>
      </c>
      <c r="L1518" s="4" t="e">
        <f>VLOOKUP(A1518,Revisión!$A$2:$L$703,10,FALSE)</f>
        <v>#N/A</v>
      </c>
      <c r="M1518" s="18" t="e">
        <f>VLOOKUP(A1518,Revisión!$A$2:$L$703,11,FALSE)</f>
        <v>#N/A</v>
      </c>
      <c r="N1518" s="30" t="str">
        <f>IF(E1518="Coinciden",D1518,IF(E1518="Revisar",VLOOKUP(A1518,Revisión!$A$2:$L$703,12,FALSE),""))</f>
        <v>Oxalis pes-caprae</v>
      </c>
    </row>
    <row r="1519" spans="1:14" x14ac:dyDescent="0.3">
      <c r="A1519" t="s">
        <v>3129</v>
      </c>
      <c r="B1519" t="s">
        <v>3130</v>
      </c>
      <c r="C1519" t="s">
        <v>3130</v>
      </c>
      <c r="D1519" t="s">
        <v>3130</v>
      </c>
      <c r="E1519" t="s">
        <v>18</v>
      </c>
      <c r="F1519" t="s">
        <v>19</v>
      </c>
      <c r="H1519" s="23" t="e">
        <f>VLOOKUP(A1519,Revisión!$A$2:$L$703,6,FALSE)</f>
        <v>#N/A</v>
      </c>
      <c r="I1519" s="4" t="e">
        <f>VLOOKUP(A1519,Revisión!$A$2:$L$703,7,FALSE)</f>
        <v>#N/A</v>
      </c>
      <c r="J1519" s="4" t="e">
        <f>VLOOKUP(A1519,Revisión!$A$2:$L$703,8,FALSE)</f>
        <v>#N/A</v>
      </c>
      <c r="K1519" s="4" t="e">
        <f>VLOOKUP(A1519,Revisión!$A$2:$L$703,9,FALSE)</f>
        <v>#N/A</v>
      </c>
      <c r="L1519" s="4" t="e">
        <f>VLOOKUP(A1519,Revisión!$A$2:$L$703,10,FALSE)</f>
        <v>#N/A</v>
      </c>
      <c r="M1519" s="18" t="e">
        <f>VLOOKUP(A1519,Revisión!$A$2:$L$703,11,FALSE)</f>
        <v>#N/A</v>
      </c>
      <c r="N1519" s="30" t="str">
        <f>IF(E1519="Coinciden",D1519,IF(E1519="Revisar",VLOOKUP(A1519,Revisión!$A$2:$L$703,12,FALSE),""))</f>
        <v>Oxalis griffithii</v>
      </c>
    </row>
    <row r="1520" spans="1:14" x14ac:dyDescent="0.3">
      <c r="A1520" t="s">
        <v>3131</v>
      </c>
      <c r="B1520" t="s">
        <v>3132</v>
      </c>
      <c r="C1520" t="s">
        <v>3132</v>
      </c>
      <c r="D1520" t="s">
        <v>3132</v>
      </c>
      <c r="E1520" t="s">
        <v>18</v>
      </c>
      <c r="F1520" t="s">
        <v>19</v>
      </c>
      <c r="H1520" s="23" t="e">
        <f>VLOOKUP(A1520,Revisión!$A$2:$L$703,6,FALSE)</f>
        <v>#N/A</v>
      </c>
      <c r="I1520" s="4" t="e">
        <f>VLOOKUP(A1520,Revisión!$A$2:$L$703,7,FALSE)</f>
        <v>#N/A</v>
      </c>
      <c r="J1520" s="4" t="e">
        <f>VLOOKUP(A1520,Revisión!$A$2:$L$703,8,FALSE)</f>
        <v>#N/A</v>
      </c>
      <c r="K1520" s="4" t="e">
        <f>VLOOKUP(A1520,Revisión!$A$2:$L$703,9,FALSE)</f>
        <v>#N/A</v>
      </c>
      <c r="L1520" s="4" t="e">
        <f>VLOOKUP(A1520,Revisión!$A$2:$L$703,10,FALSE)</f>
        <v>#N/A</v>
      </c>
      <c r="M1520" s="18" t="e">
        <f>VLOOKUP(A1520,Revisión!$A$2:$L$703,11,FALSE)</f>
        <v>#N/A</v>
      </c>
      <c r="N1520" s="30" t="str">
        <f>IF(E1520="Coinciden",D1520,IF(E1520="Revisar",VLOOKUP(A1520,Revisión!$A$2:$L$703,12,FALSE),""))</f>
        <v>Oxalis erythrorhiza</v>
      </c>
    </row>
    <row r="1521" spans="1:14" x14ac:dyDescent="0.3">
      <c r="A1521" t="s">
        <v>3133</v>
      </c>
      <c r="B1521" t="s">
        <v>3134</v>
      </c>
      <c r="C1521" t="s">
        <v>3134</v>
      </c>
      <c r="D1521" t="s">
        <v>3134</v>
      </c>
      <c r="E1521" t="s">
        <v>18</v>
      </c>
      <c r="F1521" t="s">
        <v>19</v>
      </c>
      <c r="H1521" s="23" t="e">
        <f>VLOOKUP(A1521,Revisión!$A$2:$L$703,6,FALSE)</f>
        <v>#N/A</v>
      </c>
      <c r="I1521" s="4" t="e">
        <f>VLOOKUP(A1521,Revisión!$A$2:$L$703,7,FALSE)</f>
        <v>#N/A</v>
      </c>
      <c r="J1521" s="4" t="e">
        <f>VLOOKUP(A1521,Revisión!$A$2:$L$703,8,FALSE)</f>
        <v>#N/A</v>
      </c>
      <c r="K1521" s="4" t="e">
        <f>VLOOKUP(A1521,Revisión!$A$2:$L$703,9,FALSE)</f>
        <v>#N/A</v>
      </c>
      <c r="L1521" s="4" t="e">
        <f>VLOOKUP(A1521,Revisión!$A$2:$L$703,10,FALSE)</f>
        <v>#N/A</v>
      </c>
      <c r="M1521" s="18" t="e">
        <f>VLOOKUP(A1521,Revisión!$A$2:$L$703,11,FALSE)</f>
        <v>#N/A</v>
      </c>
      <c r="N1521" s="30" t="str">
        <f>IF(E1521="Coinciden",D1521,IF(E1521="Revisar",VLOOKUP(A1521,Revisión!$A$2:$L$703,12,FALSE),""))</f>
        <v>Oxalis conorrhiza</v>
      </c>
    </row>
    <row r="1522" spans="1:14" x14ac:dyDescent="0.3">
      <c r="A1522" t="s">
        <v>3135</v>
      </c>
      <c r="B1522" t="s">
        <v>3136</v>
      </c>
      <c r="C1522" t="s">
        <v>3136</v>
      </c>
      <c r="D1522" t="s">
        <v>3136</v>
      </c>
      <c r="E1522" t="s">
        <v>18</v>
      </c>
      <c r="F1522" t="s">
        <v>19</v>
      </c>
      <c r="H1522" s="23" t="e">
        <f>VLOOKUP(A1522,Revisión!$A$2:$L$703,6,FALSE)</f>
        <v>#N/A</v>
      </c>
      <c r="I1522" s="4" t="e">
        <f>VLOOKUP(A1522,Revisión!$A$2:$L$703,7,FALSE)</f>
        <v>#N/A</v>
      </c>
      <c r="J1522" s="4" t="e">
        <f>VLOOKUP(A1522,Revisión!$A$2:$L$703,8,FALSE)</f>
        <v>#N/A</v>
      </c>
      <c r="K1522" s="4" t="e">
        <f>VLOOKUP(A1522,Revisión!$A$2:$L$703,9,FALSE)</f>
        <v>#N/A</v>
      </c>
      <c r="L1522" s="4" t="e">
        <f>VLOOKUP(A1522,Revisión!$A$2:$L$703,10,FALSE)</f>
        <v>#N/A</v>
      </c>
      <c r="M1522" s="18" t="e">
        <f>VLOOKUP(A1522,Revisión!$A$2:$L$703,11,FALSE)</f>
        <v>#N/A</v>
      </c>
      <c r="N1522" s="30" t="str">
        <f>IF(E1522="Coinciden",D1522,IF(E1522="Revisar",VLOOKUP(A1522,Revisión!$A$2:$L$703,12,FALSE),""))</f>
        <v>Oxylobium ellipticum</v>
      </c>
    </row>
    <row r="1523" spans="1:14" x14ac:dyDescent="0.3">
      <c r="A1523" t="s">
        <v>3137</v>
      </c>
      <c r="B1523" t="s">
        <v>3138</v>
      </c>
      <c r="C1523" t="s">
        <v>3138</v>
      </c>
      <c r="D1523" t="s">
        <v>3138</v>
      </c>
      <c r="E1523" t="s">
        <v>18</v>
      </c>
      <c r="F1523" t="s">
        <v>19</v>
      </c>
      <c r="H1523" s="23" t="e">
        <f>VLOOKUP(A1523,Revisión!$A$2:$L$703,6,FALSE)</f>
        <v>#N/A</v>
      </c>
      <c r="I1523" s="4" t="e">
        <f>VLOOKUP(A1523,Revisión!$A$2:$L$703,7,FALSE)</f>
        <v>#N/A</v>
      </c>
      <c r="J1523" s="4" t="e">
        <f>VLOOKUP(A1523,Revisión!$A$2:$L$703,8,FALSE)</f>
        <v>#N/A</v>
      </c>
      <c r="K1523" s="4" t="e">
        <f>VLOOKUP(A1523,Revisión!$A$2:$L$703,9,FALSE)</f>
        <v>#N/A</v>
      </c>
      <c r="L1523" s="4" t="e">
        <f>VLOOKUP(A1523,Revisión!$A$2:$L$703,10,FALSE)</f>
        <v>#N/A</v>
      </c>
      <c r="M1523" s="18" t="e">
        <f>VLOOKUP(A1523,Revisión!$A$2:$L$703,11,FALSE)</f>
        <v>#N/A</v>
      </c>
      <c r="N1523" s="30" t="str">
        <f>IF(E1523="Coinciden",D1523,IF(E1523="Revisar",VLOOKUP(A1523,Revisión!$A$2:$L$703,12,FALSE),""))</f>
        <v>Oxypetalum solanoides</v>
      </c>
    </row>
    <row r="1524" spans="1:14" x14ac:dyDescent="0.3">
      <c r="A1524" t="s">
        <v>3139</v>
      </c>
      <c r="B1524" t="s">
        <v>3140</v>
      </c>
      <c r="C1524" t="s">
        <v>3140</v>
      </c>
      <c r="D1524" t="s">
        <v>3140</v>
      </c>
      <c r="E1524" t="s">
        <v>18</v>
      </c>
      <c r="F1524" t="s">
        <v>19</v>
      </c>
      <c r="H1524" s="23" t="e">
        <f>VLOOKUP(A1524,Revisión!$A$2:$L$703,6,FALSE)</f>
        <v>#N/A</v>
      </c>
      <c r="I1524" s="4" t="e">
        <f>VLOOKUP(A1524,Revisión!$A$2:$L$703,7,FALSE)</f>
        <v>#N/A</v>
      </c>
      <c r="J1524" s="4" t="e">
        <f>VLOOKUP(A1524,Revisión!$A$2:$L$703,8,FALSE)</f>
        <v>#N/A</v>
      </c>
      <c r="K1524" s="4" t="e">
        <f>VLOOKUP(A1524,Revisión!$A$2:$L$703,9,FALSE)</f>
        <v>#N/A</v>
      </c>
      <c r="L1524" s="4" t="e">
        <f>VLOOKUP(A1524,Revisión!$A$2:$L$703,10,FALSE)</f>
        <v>#N/A</v>
      </c>
      <c r="M1524" s="18" t="e">
        <f>VLOOKUP(A1524,Revisión!$A$2:$L$703,11,FALSE)</f>
        <v>#N/A</v>
      </c>
      <c r="N1524" s="30" t="str">
        <f>IF(E1524="Coinciden",D1524,IF(E1524="Revisar",VLOOKUP(A1524,Revisión!$A$2:$L$703,12,FALSE),""))</f>
        <v>Oxypolis rigidior</v>
      </c>
    </row>
    <row r="1525" spans="1:14" x14ac:dyDescent="0.3">
      <c r="A1525" t="s">
        <v>3141</v>
      </c>
      <c r="B1525" t="s">
        <v>3142</v>
      </c>
      <c r="C1525" t="s">
        <v>3142</v>
      </c>
      <c r="D1525" t="s">
        <v>3142</v>
      </c>
      <c r="E1525" t="s">
        <v>18</v>
      </c>
      <c r="F1525" t="s">
        <v>19</v>
      </c>
      <c r="H1525" s="23" t="e">
        <f>VLOOKUP(A1525,Revisión!$A$2:$L$703,6,FALSE)</f>
        <v>#N/A</v>
      </c>
      <c r="I1525" s="4" t="e">
        <f>VLOOKUP(A1525,Revisión!$A$2:$L$703,7,FALSE)</f>
        <v>#N/A</v>
      </c>
      <c r="J1525" s="4" t="e">
        <f>VLOOKUP(A1525,Revisión!$A$2:$L$703,8,FALSE)</f>
        <v>#N/A</v>
      </c>
      <c r="K1525" s="4" t="e">
        <f>VLOOKUP(A1525,Revisión!$A$2:$L$703,9,FALSE)</f>
        <v>#N/A</v>
      </c>
      <c r="L1525" s="4" t="e">
        <f>VLOOKUP(A1525,Revisión!$A$2:$L$703,10,FALSE)</f>
        <v>#N/A</v>
      </c>
      <c r="M1525" s="18" t="e">
        <f>VLOOKUP(A1525,Revisión!$A$2:$L$703,11,FALSE)</f>
        <v>#N/A</v>
      </c>
      <c r="N1525" s="30" t="str">
        <f>IF(E1525="Coinciden",D1525,IF(E1525="Revisar",VLOOKUP(A1525,Revisión!$A$2:$L$703,12,FALSE),""))</f>
        <v>Oxytropis arctica</v>
      </c>
    </row>
    <row r="1526" spans="1:14" x14ac:dyDescent="0.3">
      <c r="A1526" t="s">
        <v>3143</v>
      </c>
      <c r="B1526" t="s">
        <v>3144</v>
      </c>
      <c r="C1526" t="s">
        <v>3144</v>
      </c>
      <c r="D1526" t="s">
        <v>3144</v>
      </c>
      <c r="E1526" t="s">
        <v>18</v>
      </c>
      <c r="F1526" t="s">
        <v>19</v>
      </c>
      <c r="H1526" s="23" t="e">
        <f>VLOOKUP(A1526,Revisión!$A$2:$L$703,6,FALSE)</f>
        <v>#N/A</v>
      </c>
      <c r="I1526" s="4" t="e">
        <f>VLOOKUP(A1526,Revisión!$A$2:$L$703,7,FALSE)</f>
        <v>#N/A</v>
      </c>
      <c r="J1526" s="4" t="e">
        <f>VLOOKUP(A1526,Revisión!$A$2:$L$703,8,FALSE)</f>
        <v>#N/A</v>
      </c>
      <c r="K1526" s="4" t="e">
        <f>VLOOKUP(A1526,Revisión!$A$2:$L$703,9,FALSE)</f>
        <v>#N/A</v>
      </c>
      <c r="L1526" s="4" t="e">
        <f>VLOOKUP(A1526,Revisión!$A$2:$L$703,10,FALSE)</f>
        <v>#N/A</v>
      </c>
      <c r="M1526" s="18" t="e">
        <f>VLOOKUP(A1526,Revisión!$A$2:$L$703,11,FALSE)</f>
        <v>#N/A</v>
      </c>
      <c r="N1526" s="30" t="str">
        <f>IF(E1526="Coinciden",D1526,IF(E1526="Revisar",VLOOKUP(A1526,Revisión!$A$2:$L$703,12,FALSE),""))</f>
        <v>Pachycarpus natalensis</v>
      </c>
    </row>
    <row r="1527" spans="1:14" x14ac:dyDescent="0.3">
      <c r="A1527" t="s">
        <v>3145</v>
      </c>
      <c r="B1527" t="s">
        <v>3146</v>
      </c>
      <c r="C1527" t="s">
        <v>3147</v>
      </c>
      <c r="D1527" t="s">
        <v>3147</v>
      </c>
      <c r="E1527" t="s">
        <v>8</v>
      </c>
      <c r="F1527" t="s">
        <v>23</v>
      </c>
      <c r="H1527" s="23" t="str">
        <f>VLOOKUP(A1527,Revisión!$A$2:$L$703,6,FALSE)</f>
        <v>Oenothera cespitosa subsp. cespitosa</v>
      </c>
      <c r="I1527" s="4" t="str">
        <f>VLOOKUP(A1527,Revisión!$A$2:$L$703,7,FALSE)</f>
        <v>-</v>
      </c>
      <c r="J1527" s="4" t="str">
        <f>VLOOKUP(A1527,Revisión!$A$2:$L$703,8,FALSE)</f>
        <v>Oenothera cespitosa</v>
      </c>
      <c r="K1527" s="4" t="str">
        <f>VLOOKUP(A1527,Revisión!$A$2:$L$703,9,FALSE)</f>
        <v>Oenothera cespitosa subsp. cespitosa</v>
      </c>
      <c r="L1527" s="4" t="str">
        <f>VLOOKUP(A1527,Revisión!$A$2:$L$703,10,FALSE)</f>
        <v>Oenothera cespitosa subsp. cespitosa</v>
      </c>
      <c r="M1527" s="18">
        <f>VLOOKUP(A1527,Revisión!$A$2:$L$703,11,FALSE)</f>
        <v>3</v>
      </c>
      <c r="N1527" s="30" t="str">
        <f>IF(E1527="Coinciden",D1527,IF(E1527="Revisar",VLOOKUP(A1527,Revisión!$A$2:$L$703,12,FALSE),""))</f>
        <v>Oenothera cespitosa subsp. cespitosa</v>
      </c>
    </row>
    <row r="1528" spans="1:14" x14ac:dyDescent="0.3">
      <c r="A1528" t="s">
        <v>3148</v>
      </c>
      <c r="B1528" t="s">
        <v>3149</v>
      </c>
      <c r="C1528" t="s">
        <v>3149</v>
      </c>
      <c r="D1528" t="s">
        <v>3149</v>
      </c>
      <c r="E1528" t="s">
        <v>18</v>
      </c>
      <c r="F1528" t="s">
        <v>19</v>
      </c>
      <c r="H1528" s="23" t="e">
        <f>VLOOKUP(A1528,Revisión!$A$2:$L$703,6,FALSE)</f>
        <v>#N/A</v>
      </c>
      <c r="I1528" s="4" t="e">
        <f>VLOOKUP(A1528,Revisión!$A$2:$L$703,7,FALSE)</f>
        <v>#N/A</v>
      </c>
      <c r="J1528" s="4" t="e">
        <f>VLOOKUP(A1528,Revisión!$A$2:$L$703,8,FALSE)</f>
        <v>#N/A</v>
      </c>
      <c r="K1528" s="4" t="e">
        <f>VLOOKUP(A1528,Revisión!$A$2:$L$703,9,FALSE)</f>
        <v>#N/A</v>
      </c>
      <c r="L1528" s="4" t="e">
        <f>VLOOKUP(A1528,Revisión!$A$2:$L$703,10,FALSE)</f>
        <v>#N/A</v>
      </c>
      <c r="M1528" s="18" t="e">
        <f>VLOOKUP(A1528,Revisión!$A$2:$L$703,11,FALSE)</f>
        <v>#N/A</v>
      </c>
      <c r="N1528" s="30" t="str">
        <f>IF(E1528="Coinciden",D1528,IF(E1528="Revisar",VLOOKUP(A1528,Revisión!$A$2:$L$703,12,FALSE),""))</f>
        <v>Paederia foetida</v>
      </c>
    </row>
    <row r="1529" spans="1:14" x14ac:dyDescent="0.3">
      <c r="A1529" t="s">
        <v>3150</v>
      </c>
      <c r="B1529" t="s">
        <v>3151</v>
      </c>
      <c r="C1529" t="s">
        <v>3152</v>
      </c>
      <c r="D1529" t="s">
        <v>3152</v>
      </c>
      <c r="E1529" t="s">
        <v>8</v>
      </c>
      <c r="F1529" t="s">
        <v>23</v>
      </c>
      <c r="H1529" s="23" t="str">
        <f>VLOOKUP(A1529,Revisión!$A$2:$L$703,6,FALSE)</f>
        <v>Paeonia obovata</v>
      </c>
      <c r="I1529" s="4" t="str">
        <f>VLOOKUP(A1529,Revisión!$A$2:$L$703,7,FALSE)</f>
        <v>-</v>
      </c>
      <c r="J1529" s="4" t="str">
        <f>VLOOKUP(A1529,Revisión!$A$2:$L$703,8,FALSE)</f>
        <v>Paeonia obovata subsp. japonica</v>
      </c>
      <c r="K1529" s="4" t="str">
        <f>VLOOKUP(A1529,Revisión!$A$2:$L$703,9,FALSE)</f>
        <v>Paeonia obovata</v>
      </c>
      <c r="L1529" s="4" t="str">
        <f>VLOOKUP(A1529,Revisión!$A$2:$L$703,10,FALSE)</f>
        <v>Paeonia obovata</v>
      </c>
      <c r="M1529" s="18">
        <f>VLOOKUP(A1529,Revisión!$A$2:$L$703,11,FALSE)</f>
        <v>4</v>
      </c>
      <c r="N1529" s="30" t="str">
        <f>IF(E1529="Coinciden",D1529,IF(E1529="Revisar",VLOOKUP(A1529,Revisión!$A$2:$L$703,12,FALSE),""))</f>
        <v>Paeonia obovata</v>
      </c>
    </row>
    <row r="1530" spans="1:14" x14ac:dyDescent="0.3">
      <c r="A1530" t="s">
        <v>3153</v>
      </c>
      <c r="B1530" t="s">
        <v>3154</v>
      </c>
      <c r="C1530" t="s">
        <v>3154</v>
      </c>
      <c r="D1530" t="s">
        <v>3154</v>
      </c>
      <c r="E1530" t="s">
        <v>18</v>
      </c>
      <c r="F1530" t="s">
        <v>19</v>
      </c>
      <c r="H1530" s="23" t="e">
        <f>VLOOKUP(A1530,Revisión!$A$2:$L$703,6,FALSE)</f>
        <v>#N/A</v>
      </c>
      <c r="I1530" s="4" t="e">
        <f>VLOOKUP(A1530,Revisión!$A$2:$L$703,7,FALSE)</f>
        <v>#N/A</v>
      </c>
      <c r="J1530" s="4" t="e">
        <f>VLOOKUP(A1530,Revisión!$A$2:$L$703,8,FALSE)</f>
        <v>#N/A</v>
      </c>
      <c r="K1530" s="4" t="e">
        <f>VLOOKUP(A1530,Revisión!$A$2:$L$703,9,FALSE)</f>
        <v>#N/A</v>
      </c>
      <c r="L1530" s="4" t="e">
        <f>VLOOKUP(A1530,Revisión!$A$2:$L$703,10,FALSE)</f>
        <v>#N/A</v>
      </c>
      <c r="M1530" s="18" t="e">
        <f>VLOOKUP(A1530,Revisión!$A$2:$L$703,11,FALSE)</f>
        <v>#N/A</v>
      </c>
      <c r="N1530" s="30" t="str">
        <f>IF(E1530="Coinciden",D1530,IF(E1530="Revisar",VLOOKUP(A1530,Revisión!$A$2:$L$703,12,FALSE),""))</f>
        <v>Pagameopsis garryoides</v>
      </c>
    </row>
    <row r="1531" spans="1:14" x14ac:dyDescent="0.3">
      <c r="A1531" t="s">
        <v>3155</v>
      </c>
      <c r="B1531" t="s">
        <v>3156</v>
      </c>
      <c r="C1531" t="s">
        <v>3156</v>
      </c>
      <c r="D1531" t="s">
        <v>3156</v>
      </c>
      <c r="E1531" t="s">
        <v>18</v>
      </c>
      <c r="F1531" t="s">
        <v>19</v>
      </c>
      <c r="H1531" s="23" t="e">
        <f>VLOOKUP(A1531,Revisión!$A$2:$L$703,6,FALSE)</f>
        <v>#N/A</v>
      </c>
      <c r="I1531" s="4" t="e">
        <f>VLOOKUP(A1531,Revisión!$A$2:$L$703,7,FALSE)</f>
        <v>#N/A</v>
      </c>
      <c r="J1531" s="4" t="e">
        <f>VLOOKUP(A1531,Revisión!$A$2:$L$703,8,FALSE)</f>
        <v>#N/A</v>
      </c>
      <c r="K1531" s="4" t="e">
        <f>VLOOKUP(A1531,Revisión!$A$2:$L$703,9,FALSE)</f>
        <v>#N/A</v>
      </c>
      <c r="L1531" s="4" t="e">
        <f>VLOOKUP(A1531,Revisión!$A$2:$L$703,10,FALSE)</f>
        <v>#N/A</v>
      </c>
      <c r="M1531" s="18" t="e">
        <f>VLOOKUP(A1531,Revisión!$A$2:$L$703,11,FALSE)</f>
        <v>#N/A</v>
      </c>
      <c r="N1531" s="30" t="str">
        <f>IF(E1531="Coinciden",D1531,IF(E1531="Revisar",VLOOKUP(A1531,Revisión!$A$2:$L$703,12,FALSE),""))</f>
        <v>Palicourea crocea</v>
      </c>
    </row>
    <row r="1532" spans="1:14" x14ac:dyDescent="0.3">
      <c r="A1532" t="s">
        <v>3157</v>
      </c>
      <c r="B1532" t="s">
        <v>3158</v>
      </c>
      <c r="C1532" t="s">
        <v>3158</v>
      </c>
      <c r="D1532" t="s">
        <v>3158</v>
      </c>
      <c r="E1532" t="s">
        <v>18</v>
      </c>
      <c r="F1532" t="s">
        <v>19</v>
      </c>
      <c r="H1532" s="23" t="e">
        <f>VLOOKUP(A1532,Revisión!$A$2:$L$703,6,FALSE)</f>
        <v>#N/A</v>
      </c>
      <c r="I1532" s="4" t="e">
        <f>VLOOKUP(A1532,Revisión!$A$2:$L$703,7,FALSE)</f>
        <v>#N/A</v>
      </c>
      <c r="J1532" s="4" t="e">
        <f>VLOOKUP(A1532,Revisión!$A$2:$L$703,8,FALSE)</f>
        <v>#N/A</v>
      </c>
      <c r="K1532" s="4" t="e">
        <f>VLOOKUP(A1532,Revisión!$A$2:$L$703,9,FALSE)</f>
        <v>#N/A</v>
      </c>
      <c r="L1532" s="4" t="e">
        <f>VLOOKUP(A1532,Revisión!$A$2:$L$703,10,FALSE)</f>
        <v>#N/A</v>
      </c>
      <c r="M1532" s="18" t="e">
        <f>VLOOKUP(A1532,Revisión!$A$2:$L$703,11,FALSE)</f>
        <v>#N/A</v>
      </c>
      <c r="N1532" s="30" t="str">
        <f>IF(E1532="Coinciden",D1532,IF(E1532="Revisar",VLOOKUP(A1532,Revisión!$A$2:$L$703,12,FALSE),""))</f>
        <v>Pallenis spinosa</v>
      </c>
    </row>
    <row r="1533" spans="1:14" x14ac:dyDescent="0.3">
      <c r="A1533" t="s">
        <v>3159</v>
      </c>
      <c r="B1533" t="s">
        <v>3160</v>
      </c>
      <c r="D1533" t="s">
        <v>3161</v>
      </c>
      <c r="E1533" t="s">
        <v>8</v>
      </c>
      <c r="F1533" t="s">
        <v>9</v>
      </c>
      <c r="H1533" s="23" t="str">
        <f>VLOOKUP(A1533,Revisión!$A$2:$L$703,6,FALSE)</f>
        <v>Pandanus odorifer</v>
      </c>
      <c r="I1533" s="4" t="str">
        <f>VLOOKUP(A1533,Revisión!$A$2:$L$703,7,FALSE)</f>
        <v>-</v>
      </c>
      <c r="J1533" s="4" t="str">
        <f>VLOOKUP(A1533,Revisión!$A$2:$L$703,8,FALSE)</f>
        <v>Pandanus odorifer</v>
      </c>
      <c r="K1533" s="4" t="str">
        <f>VLOOKUP(A1533,Revisión!$A$2:$L$703,9,FALSE)</f>
        <v>Pandanus odorifer</v>
      </c>
      <c r="L1533" s="4" t="str">
        <f>VLOOKUP(A1533,Revisión!$A$2:$L$703,10,FALSE)</f>
        <v>Pandanus odorifer</v>
      </c>
      <c r="M1533" s="18">
        <f>VLOOKUP(A1533,Revisión!$A$2:$L$703,11,FALSE)</f>
        <v>5</v>
      </c>
      <c r="N1533" s="30" t="str">
        <f>IF(E1533="Coinciden",D1533,IF(E1533="Revisar",VLOOKUP(A1533,Revisión!$A$2:$L$703,12,FALSE),""))</f>
        <v>Pandanus odorifer</v>
      </c>
    </row>
    <row r="1534" spans="1:14" x14ac:dyDescent="0.3">
      <c r="A1534" t="s">
        <v>3162</v>
      </c>
      <c r="B1534" t="s">
        <v>3163</v>
      </c>
      <c r="C1534" t="s">
        <v>3163</v>
      </c>
      <c r="D1534" t="s">
        <v>3163</v>
      </c>
      <c r="E1534" t="s">
        <v>18</v>
      </c>
      <c r="F1534" t="s">
        <v>19</v>
      </c>
      <c r="H1534" s="23" t="e">
        <f>VLOOKUP(A1534,Revisión!$A$2:$L$703,6,FALSE)</f>
        <v>#N/A</v>
      </c>
      <c r="I1534" s="4" t="e">
        <f>VLOOKUP(A1534,Revisión!$A$2:$L$703,7,FALSE)</f>
        <v>#N/A</v>
      </c>
      <c r="J1534" s="4" t="e">
        <f>VLOOKUP(A1534,Revisión!$A$2:$L$703,8,FALSE)</f>
        <v>#N/A</v>
      </c>
      <c r="K1534" s="4" t="e">
        <f>VLOOKUP(A1534,Revisión!$A$2:$L$703,9,FALSE)</f>
        <v>#N/A</v>
      </c>
      <c r="L1534" s="4" t="e">
        <f>VLOOKUP(A1534,Revisión!$A$2:$L$703,10,FALSE)</f>
        <v>#N/A</v>
      </c>
      <c r="M1534" s="18" t="e">
        <f>VLOOKUP(A1534,Revisión!$A$2:$L$703,11,FALSE)</f>
        <v>#N/A</v>
      </c>
      <c r="N1534" s="30" t="str">
        <f>IF(E1534="Coinciden",D1534,IF(E1534="Revisar",VLOOKUP(A1534,Revisión!$A$2:$L$703,12,FALSE),""))</f>
        <v>Pandanus rigidifolius</v>
      </c>
    </row>
    <row r="1535" spans="1:14" x14ac:dyDescent="0.3">
      <c r="A1535" t="s">
        <v>3164</v>
      </c>
      <c r="C1535" t="s">
        <v>3165</v>
      </c>
      <c r="D1535" t="s">
        <v>3165</v>
      </c>
      <c r="E1535" t="s">
        <v>8</v>
      </c>
      <c r="F1535" t="s">
        <v>49</v>
      </c>
      <c r="H1535" s="23" t="str">
        <f>VLOOKUP(A1535,Revisión!$A$2:$L$703,6,FALSE)</f>
        <v>Pandanus barkleyi</v>
      </c>
      <c r="I1535" s="4" t="str">
        <f>VLOOKUP(A1535,Revisión!$A$2:$L$703,7,FALSE)</f>
        <v>-</v>
      </c>
      <c r="J1535" s="4" t="str">
        <f>VLOOKUP(A1535,Revisión!$A$2:$L$703,8,FALSE)</f>
        <v>Pandanus barkleyi</v>
      </c>
      <c r="K1535" s="4" t="str">
        <f>VLOOKUP(A1535,Revisión!$A$2:$L$703,9,FALSE)</f>
        <v>Pandanus barkleyi</v>
      </c>
      <c r="L1535" s="4" t="str">
        <f>VLOOKUP(A1535,Revisión!$A$2:$L$703,10,FALSE)</f>
        <v>Pandanus barkleyi</v>
      </c>
      <c r="M1535" s="18">
        <f>VLOOKUP(A1535,Revisión!$A$2:$L$703,11,FALSE)</f>
        <v>4</v>
      </c>
      <c r="N1535" s="30" t="str">
        <f>IF(E1535="Coinciden",D1535,IF(E1535="Revisar",VLOOKUP(A1535,Revisión!$A$2:$L$703,12,FALSE),""))</f>
        <v>Pandanus barkleyi</v>
      </c>
    </row>
    <row r="1536" spans="1:14" x14ac:dyDescent="0.3">
      <c r="A1536" t="s">
        <v>3166</v>
      </c>
      <c r="B1536" t="s">
        <v>3167</v>
      </c>
      <c r="C1536" t="s">
        <v>3167</v>
      </c>
      <c r="D1536" t="s">
        <v>3167</v>
      </c>
      <c r="E1536" t="s">
        <v>18</v>
      </c>
      <c r="F1536" t="s">
        <v>19</v>
      </c>
      <c r="H1536" s="23" t="e">
        <f>VLOOKUP(A1536,Revisión!$A$2:$L$703,6,FALSE)</f>
        <v>#N/A</v>
      </c>
      <c r="I1536" s="4" t="e">
        <f>VLOOKUP(A1536,Revisión!$A$2:$L$703,7,FALSE)</f>
        <v>#N/A</v>
      </c>
      <c r="J1536" s="4" t="e">
        <f>VLOOKUP(A1536,Revisión!$A$2:$L$703,8,FALSE)</f>
        <v>#N/A</v>
      </c>
      <c r="K1536" s="4" t="e">
        <f>VLOOKUP(A1536,Revisión!$A$2:$L$703,9,FALSE)</f>
        <v>#N/A</v>
      </c>
      <c r="L1536" s="4" t="e">
        <f>VLOOKUP(A1536,Revisión!$A$2:$L$703,10,FALSE)</f>
        <v>#N/A</v>
      </c>
      <c r="M1536" s="18" t="e">
        <f>VLOOKUP(A1536,Revisión!$A$2:$L$703,11,FALSE)</f>
        <v>#N/A</v>
      </c>
      <c r="N1536" s="30" t="str">
        <f>IF(E1536="Coinciden",D1536,IF(E1536="Revisar",VLOOKUP(A1536,Revisión!$A$2:$L$703,12,FALSE),""))</f>
        <v>Pandanus wiehei</v>
      </c>
    </row>
    <row r="1537" spans="1:14" x14ac:dyDescent="0.3">
      <c r="A1537" t="s">
        <v>3168</v>
      </c>
      <c r="B1537" t="s">
        <v>3169</v>
      </c>
      <c r="D1537" t="s">
        <v>3169</v>
      </c>
      <c r="E1537" t="s">
        <v>8</v>
      </c>
      <c r="F1537" t="s">
        <v>34</v>
      </c>
      <c r="H1537" s="23" t="str">
        <f>VLOOKUP(A1537,Revisión!$A$2:$L$703,6,FALSE)</f>
        <v>Panicum virgatum</v>
      </c>
      <c r="I1537" s="4" t="str">
        <f>VLOOKUP(A1537,Revisión!$A$2:$L$703,7,FALSE)</f>
        <v>-</v>
      </c>
      <c r="J1537" s="4" t="str">
        <f>VLOOKUP(A1537,Revisión!$A$2:$L$703,8,FALSE)</f>
        <v>Panicum virgatum</v>
      </c>
      <c r="K1537" s="4" t="str">
        <f>VLOOKUP(A1537,Revisión!$A$2:$L$703,9,FALSE)</f>
        <v>Panicum virgatum</v>
      </c>
      <c r="L1537" s="4" t="str">
        <f>VLOOKUP(A1537,Revisión!$A$2:$L$703,10,FALSE)</f>
        <v>Panicum virgatum</v>
      </c>
      <c r="M1537" s="18">
        <f>VLOOKUP(A1537,Revisión!$A$2:$L$703,11,FALSE)</f>
        <v>5</v>
      </c>
      <c r="N1537" s="30" t="str">
        <f>IF(E1537="Coinciden",D1537,IF(E1537="Revisar",VLOOKUP(A1537,Revisión!$A$2:$L$703,12,FALSE),""))</f>
        <v>Panicum virgatum</v>
      </c>
    </row>
    <row r="1538" spans="1:14" x14ac:dyDescent="0.3">
      <c r="A1538" t="s">
        <v>3170</v>
      </c>
      <c r="B1538" t="s">
        <v>3171</v>
      </c>
      <c r="C1538" t="s">
        <v>3172</v>
      </c>
      <c r="D1538" t="s">
        <v>3172</v>
      </c>
      <c r="E1538" t="s">
        <v>8</v>
      </c>
      <c r="F1538" t="s">
        <v>23</v>
      </c>
      <c r="H1538" s="23" t="str">
        <f>VLOOKUP(A1538,Revisión!$A$2:$L$703,6,FALSE)</f>
        <v>Oreomecon radicata subsp. radicata</v>
      </c>
      <c r="I1538" s="4" t="str">
        <f>VLOOKUP(A1538,Revisión!$A$2:$L$703,7,FALSE)</f>
        <v>-</v>
      </c>
      <c r="J1538" s="4" t="str">
        <f>VLOOKUP(A1538,Revisión!$A$2:$L$703,8,FALSE)</f>
        <v>Oreomecon radicata</v>
      </c>
      <c r="K1538" s="4" t="str">
        <f>VLOOKUP(A1538,Revisión!$A$2:$L$703,9,FALSE)</f>
        <v>Oreomecon radicata subsp. radicata</v>
      </c>
      <c r="L1538" s="4" t="str">
        <f>VLOOKUP(A1538,Revisión!$A$2:$L$703,10,FALSE)</f>
        <v>Oreomecon radicata subsp. radicata</v>
      </c>
      <c r="M1538" s="18">
        <f>VLOOKUP(A1538,Revisión!$A$2:$L$703,11,FALSE)</f>
        <v>3</v>
      </c>
      <c r="N1538" s="30" t="str">
        <f>IF(E1538="Coinciden",D1538,IF(E1538="Revisar",VLOOKUP(A1538,Revisión!$A$2:$L$703,12,FALSE),""))</f>
        <v>Oreomecon radicata subsp. radicata</v>
      </c>
    </row>
    <row r="1539" spans="1:14" x14ac:dyDescent="0.3">
      <c r="A1539" t="s">
        <v>3173</v>
      </c>
      <c r="E1539" t="s">
        <v>8</v>
      </c>
      <c r="F1539" t="s">
        <v>11</v>
      </c>
      <c r="H1539" s="23" t="e">
        <f>VLOOKUP(A1539,Revisión!$A$2:$L$703,6,FALSE)</f>
        <v>#N/A</v>
      </c>
      <c r="I1539" s="4" t="e">
        <f>VLOOKUP(A1539,Revisión!$A$2:$L$703,7,FALSE)</f>
        <v>#N/A</v>
      </c>
      <c r="J1539" s="4" t="e">
        <f>VLOOKUP(A1539,Revisión!$A$2:$L$703,8,FALSE)</f>
        <v>#N/A</v>
      </c>
      <c r="K1539" s="4" t="e">
        <f>VLOOKUP(A1539,Revisión!$A$2:$L$703,9,FALSE)</f>
        <v>#N/A</v>
      </c>
      <c r="L1539" s="4" t="e">
        <f>VLOOKUP(A1539,Revisión!$A$2:$L$703,10,FALSE)</f>
        <v>#N/A</v>
      </c>
      <c r="M1539" s="18" t="e">
        <f>VLOOKUP(A1539,Revisión!$A$2:$L$703,11,FALSE)</f>
        <v>#N/A</v>
      </c>
      <c r="N1539" s="30" t="e">
        <f>IF(E1539="Coinciden",D1539,IF(E1539="Revisar",VLOOKUP(A1539,Revisión!$A$2:$L$703,12,FALSE),""))</f>
        <v>#N/A</v>
      </c>
    </row>
    <row r="1540" spans="1:14" x14ac:dyDescent="0.3">
      <c r="A1540" t="s">
        <v>3174</v>
      </c>
      <c r="B1540" t="s">
        <v>3175</v>
      </c>
      <c r="C1540" t="s">
        <v>3175</v>
      </c>
      <c r="D1540" t="s">
        <v>3175</v>
      </c>
      <c r="E1540" t="s">
        <v>18</v>
      </c>
      <c r="F1540" t="s">
        <v>19</v>
      </c>
      <c r="H1540" s="23" t="e">
        <f>VLOOKUP(A1540,Revisión!$A$2:$L$703,6,FALSE)</f>
        <v>#N/A</v>
      </c>
      <c r="I1540" s="4" t="e">
        <f>VLOOKUP(A1540,Revisión!$A$2:$L$703,7,FALSE)</f>
        <v>#N/A</v>
      </c>
      <c r="J1540" s="4" t="e">
        <f>VLOOKUP(A1540,Revisión!$A$2:$L$703,8,FALSE)</f>
        <v>#N/A</v>
      </c>
      <c r="K1540" s="4" t="e">
        <f>VLOOKUP(A1540,Revisión!$A$2:$L$703,9,FALSE)</f>
        <v>#N/A</v>
      </c>
      <c r="L1540" s="4" t="e">
        <f>VLOOKUP(A1540,Revisión!$A$2:$L$703,10,FALSE)</f>
        <v>#N/A</v>
      </c>
      <c r="M1540" s="18" t="e">
        <f>VLOOKUP(A1540,Revisión!$A$2:$L$703,11,FALSE)</f>
        <v>#N/A</v>
      </c>
      <c r="N1540" s="30" t="str">
        <f>IF(E1540="Coinciden",D1540,IF(E1540="Revisar",VLOOKUP(A1540,Revisión!$A$2:$L$703,12,FALSE),""))</f>
        <v>Papaver rhoeas</v>
      </c>
    </row>
    <row r="1541" spans="1:14" x14ac:dyDescent="0.3">
      <c r="A1541" t="s">
        <v>3176</v>
      </c>
      <c r="B1541" t="s">
        <v>3177</v>
      </c>
      <c r="C1541" t="s">
        <v>3177</v>
      </c>
      <c r="D1541" t="s">
        <v>3177</v>
      </c>
      <c r="E1541" t="s">
        <v>18</v>
      </c>
      <c r="F1541" t="s">
        <v>19</v>
      </c>
      <c r="H1541" s="23" t="e">
        <f>VLOOKUP(A1541,Revisión!$A$2:$L$703,6,FALSE)</f>
        <v>#N/A</v>
      </c>
      <c r="I1541" s="4" t="e">
        <f>VLOOKUP(A1541,Revisión!$A$2:$L$703,7,FALSE)</f>
        <v>#N/A</v>
      </c>
      <c r="J1541" s="4" t="e">
        <f>VLOOKUP(A1541,Revisión!$A$2:$L$703,8,FALSE)</f>
        <v>#N/A</v>
      </c>
      <c r="K1541" s="4" t="e">
        <f>VLOOKUP(A1541,Revisión!$A$2:$L$703,9,FALSE)</f>
        <v>#N/A</v>
      </c>
      <c r="L1541" s="4" t="e">
        <f>VLOOKUP(A1541,Revisión!$A$2:$L$703,10,FALSE)</f>
        <v>#N/A</v>
      </c>
      <c r="M1541" s="18" t="e">
        <f>VLOOKUP(A1541,Revisión!$A$2:$L$703,11,FALSE)</f>
        <v>#N/A</v>
      </c>
      <c r="N1541" s="30" t="str">
        <f>IF(E1541="Coinciden",D1541,IF(E1541="Revisar",VLOOKUP(A1541,Revisión!$A$2:$L$703,12,FALSE),""))</f>
        <v>Paragenipa lancifolia</v>
      </c>
    </row>
    <row r="1542" spans="1:14" x14ac:dyDescent="0.3">
      <c r="A1542" t="s">
        <v>3178</v>
      </c>
      <c r="B1542" t="s">
        <v>3179</v>
      </c>
      <c r="C1542" t="s">
        <v>3179</v>
      </c>
      <c r="D1542" t="s">
        <v>3179</v>
      </c>
      <c r="E1542" t="s">
        <v>18</v>
      </c>
      <c r="F1542" t="s">
        <v>19</v>
      </c>
      <c r="H1542" s="23" t="e">
        <f>VLOOKUP(A1542,Revisión!$A$2:$L$703,6,FALSE)</f>
        <v>#N/A</v>
      </c>
      <c r="I1542" s="4" t="e">
        <f>VLOOKUP(A1542,Revisión!$A$2:$L$703,7,FALSE)</f>
        <v>#N/A</v>
      </c>
      <c r="J1542" s="4" t="e">
        <f>VLOOKUP(A1542,Revisión!$A$2:$L$703,8,FALSE)</f>
        <v>#N/A</v>
      </c>
      <c r="K1542" s="4" t="e">
        <f>VLOOKUP(A1542,Revisión!$A$2:$L$703,9,FALSE)</f>
        <v>#N/A</v>
      </c>
      <c r="L1542" s="4" t="e">
        <f>VLOOKUP(A1542,Revisión!$A$2:$L$703,10,FALSE)</f>
        <v>#N/A</v>
      </c>
      <c r="M1542" s="18" t="e">
        <f>VLOOKUP(A1542,Revisión!$A$2:$L$703,11,FALSE)</f>
        <v>#N/A</v>
      </c>
      <c r="N1542" s="30" t="str">
        <f>IF(E1542="Coinciden",D1542,IF(E1542="Revisar",VLOOKUP(A1542,Revisión!$A$2:$L$703,12,FALSE),""))</f>
        <v>Veronica decora</v>
      </c>
    </row>
    <row r="1543" spans="1:14" x14ac:dyDescent="0.3">
      <c r="A1543" t="s">
        <v>3180</v>
      </c>
      <c r="B1543" t="s">
        <v>3181</v>
      </c>
      <c r="C1543" t="s">
        <v>3181</v>
      </c>
      <c r="D1543" t="s">
        <v>3181</v>
      </c>
      <c r="E1543" t="s">
        <v>18</v>
      </c>
      <c r="F1543" t="s">
        <v>19</v>
      </c>
      <c r="H1543" s="23" t="e">
        <f>VLOOKUP(A1543,Revisión!$A$2:$L$703,6,FALSE)</f>
        <v>#N/A</v>
      </c>
      <c r="I1543" s="4" t="e">
        <f>VLOOKUP(A1543,Revisión!$A$2:$L$703,7,FALSE)</f>
        <v>#N/A</v>
      </c>
      <c r="J1543" s="4" t="e">
        <f>VLOOKUP(A1543,Revisión!$A$2:$L$703,8,FALSE)</f>
        <v>#N/A</v>
      </c>
      <c r="K1543" s="4" t="e">
        <f>VLOOKUP(A1543,Revisión!$A$2:$L$703,9,FALSE)</f>
        <v>#N/A</v>
      </c>
      <c r="L1543" s="4" t="e">
        <f>VLOOKUP(A1543,Revisión!$A$2:$L$703,10,FALSE)</f>
        <v>#N/A</v>
      </c>
      <c r="M1543" s="18" t="e">
        <f>VLOOKUP(A1543,Revisión!$A$2:$L$703,11,FALSE)</f>
        <v>#N/A</v>
      </c>
      <c r="N1543" s="30" t="str">
        <f>IF(E1543="Coinciden",D1543,IF(E1543="Revisar",VLOOKUP(A1543,Revisión!$A$2:$L$703,12,FALSE),""))</f>
        <v>Veronica lyallii</v>
      </c>
    </row>
    <row r="1544" spans="1:14" x14ac:dyDescent="0.3">
      <c r="A1544" t="s">
        <v>3182</v>
      </c>
      <c r="B1544" t="s">
        <v>3183</v>
      </c>
      <c r="C1544" t="s">
        <v>3183</v>
      </c>
      <c r="D1544" t="s">
        <v>3183</v>
      </c>
      <c r="E1544" t="s">
        <v>18</v>
      </c>
      <c r="F1544" t="s">
        <v>19</v>
      </c>
      <c r="H1544" s="23" t="e">
        <f>VLOOKUP(A1544,Revisión!$A$2:$L$703,6,FALSE)</f>
        <v>#N/A</v>
      </c>
      <c r="I1544" s="4" t="e">
        <f>VLOOKUP(A1544,Revisión!$A$2:$L$703,7,FALSE)</f>
        <v>#N/A</v>
      </c>
      <c r="J1544" s="4" t="e">
        <f>VLOOKUP(A1544,Revisión!$A$2:$L$703,8,FALSE)</f>
        <v>#N/A</v>
      </c>
      <c r="K1544" s="4" t="e">
        <f>VLOOKUP(A1544,Revisión!$A$2:$L$703,9,FALSE)</f>
        <v>#N/A</v>
      </c>
      <c r="L1544" s="4" t="e">
        <f>VLOOKUP(A1544,Revisión!$A$2:$L$703,10,FALSE)</f>
        <v>#N/A</v>
      </c>
      <c r="M1544" s="18" t="e">
        <f>VLOOKUP(A1544,Revisión!$A$2:$L$703,11,FALSE)</f>
        <v>#N/A</v>
      </c>
      <c r="N1544" s="30" t="str">
        <f>IF(E1544="Coinciden",D1544,IF(E1544="Revisar",VLOOKUP(A1544,Revisión!$A$2:$L$703,12,FALSE),""))</f>
        <v>Falcataria falcata</v>
      </c>
    </row>
    <row r="1545" spans="1:14" x14ac:dyDescent="0.3">
      <c r="A1545" t="s">
        <v>3184</v>
      </c>
      <c r="B1545" t="s">
        <v>3185</v>
      </c>
      <c r="C1545" t="s">
        <v>3185</v>
      </c>
      <c r="D1545" t="s">
        <v>3185</v>
      </c>
      <c r="E1545" t="s">
        <v>18</v>
      </c>
      <c r="F1545" t="s">
        <v>19</v>
      </c>
      <c r="H1545" s="23" t="e">
        <f>VLOOKUP(A1545,Revisión!$A$2:$L$703,6,FALSE)</f>
        <v>#N/A</v>
      </c>
      <c r="I1545" s="4" t="e">
        <f>VLOOKUP(A1545,Revisión!$A$2:$L$703,7,FALSE)</f>
        <v>#N/A</v>
      </c>
      <c r="J1545" s="4" t="e">
        <f>VLOOKUP(A1545,Revisión!$A$2:$L$703,8,FALSE)</f>
        <v>#N/A</v>
      </c>
      <c r="K1545" s="4" t="e">
        <f>VLOOKUP(A1545,Revisión!$A$2:$L$703,9,FALSE)</f>
        <v>#N/A</v>
      </c>
      <c r="L1545" s="4" t="e">
        <f>VLOOKUP(A1545,Revisión!$A$2:$L$703,10,FALSE)</f>
        <v>#N/A</v>
      </c>
      <c r="M1545" s="18" t="e">
        <f>VLOOKUP(A1545,Revisión!$A$2:$L$703,11,FALSE)</f>
        <v>#N/A</v>
      </c>
      <c r="N1545" s="30" t="str">
        <f>IF(E1545="Coinciden",D1545,IF(E1545="Revisar",VLOOKUP(A1545,Revisión!$A$2:$L$703,12,FALSE),""))</f>
        <v>Parkinsonia aculeata</v>
      </c>
    </row>
    <row r="1546" spans="1:14" x14ac:dyDescent="0.3">
      <c r="A1546" t="s">
        <v>3186</v>
      </c>
      <c r="B1546" t="s">
        <v>3187</v>
      </c>
      <c r="C1546" t="s">
        <v>3187</v>
      </c>
      <c r="D1546" t="s">
        <v>3187</v>
      </c>
      <c r="E1546" t="s">
        <v>18</v>
      </c>
      <c r="F1546" t="s">
        <v>19</v>
      </c>
      <c r="H1546" s="23" t="e">
        <f>VLOOKUP(A1546,Revisión!$A$2:$L$703,6,FALSE)</f>
        <v>#N/A</v>
      </c>
      <c r="I1546" s="4" t="e">
        <f>VLOOKUP(A1546,Revisión!$A$2:$L$703,7,FALSE)</f>
        <v>#N/A</v>
      </c>
      <c r="J1546" s="4" t="e">
        <f>VLOOKUP(A1546,Revisión!$A$2:$L$703,8,FALSE)</f>
        <v>#N/A</v>
      </c>
      <c r="K1546" s="4" t="e">
        <f>VLOOKUP(A1546,Revisión!$A$2:$L$703,9,FALSE)</f>
        <v>#N/A</v>
      </c>
      <c r="L1546" s="4" t="e">
        <f>VLOOKUP(A1546,Revisión!$A$2:$L$703,10,FALSE)</f>
        <v>#N/A</v>
      </c>
      <c r="M1546" s="18" t="e">
        <f>VLOOKUP(A1546,Revisión!$A$2:$L$703,11,FALSE)</f>
        <v>#N/A</v>
      </c>
      <c r="N1546" s="30" t="str">
        <f>IF(E1546="Coinciden",D1546,IF(E1546="Revisar",VLOOKUP(A1546,Revisión!$A$2:$L$703,12,FALSE),""))</f>
        <v>Parnassia palustris</v>
      </c>
    </row>
    <row r="1547" spans="1:14" x14ac:dyDescent="0.3">
      <c r="A1547" t="s">
        <v>3188</v>
      </c>
      <c r="C1547" t="s">
        <v>3189</v>
      </c>
      <c r="D1547" t="s">
        <v>3189</v>
      </c>
      <c r="E1547" t="s">
        <v>8</v>
      </c>
      <c r="F1547" t="s">
        <v>49</v>
      </c>
      <c r="H1547" s="23" t="str">
        <f>VLOOKUP(A1547,Revisión!$A$2:$L$703,6,FALSE)</f>
        <v>Parolinia intermedia</v>
      </c>
      <c r="I1547" s="4" t="str">
        <f>VLOOKUP(A1547,Revisión!$A$2:$L$703,7,FALSE)</f>
        <v>-</v>
      </c>
      <c r="J1547" s="4" t="str">
        <f>VLOOKUP(A1547,Revisión!$A$2:$L$703,8,FALSE)</f>
        <v>Parolinia intermedia</v>
      </c>
      <c r="K1547" s="4" t="str">
        <f>VLOOKUP(A1547,Revisión!$A$2:$L$703,9,FALSE)</f>
        <v>Parolinia intermedia</v>
      </c>
      <c r="L1547" s="4" t="str">
        <f>VLOOKUP(A1547,Revisión!$A$2:$L$703,10,FALSE)</f>
        <v>Parolinia intermedia</v>
      </c>
      <c r="M1547" s="18">
        <f>VLOOKUP(A1547,Revisión!$A$2:$L$703,11,FALSE)</f>
        <v>4</v>
      </c>
      <c r="N1547" s="30" t="str">
        <f>IF(E1547="Coinciden",D1547,IF(E1547="Revisar",VLOOKUP(A1547,Revisión!$A$2:$L$703,12,FALSE),""))</f>
        <v>Parolinia intermedia</v>
      </c>
    </row>
    <row r="1548" spans="1:14" x14ac:dyDescent="0.3">
      <c r="A1548" t="s">
        <v>3190</v>
      </c>
      <c r="B1548" t="s">
        <v>3191</v>
      </c>
      <c r="C1548" t="s">
        <v>3191</v>
      </c>
      <c r="D1548" t="s">
        <v>3191</v>
      </c>
      <c r="E1548" t="s">
        <v>18</v>
      </c>
      <c r="F1548" t="s">
        <v>19</v>
      </c>
      <c r="H1548" s="23" t="e">
        <f>VLOOKUP(A1548,Revisión!$A$2:$L$703,6,FALSE)</f>
        <v>#N/A</v>
      </c>
      <c r="I1548" s="4" t="e">
        <f>VLOOKUP(A1548,Revisión!$A$2:$L$703,7,FALSE)</f>
        <v>#N/A</v>
      </c>
      <c r="J1548" s="4" t="e">
        <f>VLOOKUP(A1548,Revisión!$A$2:$L$703,8,FALSE)</f>
        <v>#N/A</v>
      </c>
      <c r="K1548" s="4" t="e">
        <f>VLOOKUP(A1548,Revisión!$A$2:$L$703,9,FALSE)</f>
        <v>#N/A</v>
      </c>
      <c r="L1548" s="4" t="e">
        <f>VLOOKUP(A1548,Revisión!$A$2:$L$703,10,FALSE)</f>
        <v>#N/A</v>
      </c>
      <c r="M1548" s="18" t="e">
        <f>VLOOKUP(A1548,Revisión!$A$2:$L$703,11,FALSE)</f>
        <v>#N/A</v>
      </c>
      <c r="N1548" s="30" t="str">
        <f>IF(E1548="Coinciden",D1548,IF(E1548="Revisar",VLOOKUP(A1548,Revisión!$A$2:$L$703,12,FALSE),""))</f>
        <v>Parthenium integrifolium</v>
      </c>
    </row>
    <row r="1549" spans="1:14" x14ac:dyDescent="0.3">
      <c r="A1549" t="s">
        <v>3192</v>
      </c>
      <c r="E1549" t="s">
        <v>8</v>
      </c>
      <c r="F1549" t="s">
        <v>11</v>
      </c>
      <c r="H1549" s="23" t="e">
        <f>VLOOKUP(A1549,Revisión!$A$2:$L$703,6,FALSE)</f>
        <v>#N/A</v>
      </c>
      <c r="I1549" s="4" t="e">
        <f>VLOOKUP(A1549,Revisión!$A$2:$L$703,7,FALSE)</f>
        <v>#N/A</v>
      </c>
      <c r="J1549" s="4" t="e">
        <f>VLOOKUP(A1549,Revisión!$A$2:$L$703,8,FALSE)</f>
        <v>#N/A</v>
      </c>
      <c r="K1549" s="4" t="e">
        <f>VLOOKUP(A1549,Revisión!$A$2:$L$703,9,FALSE)</f>
        <v>#N/A</v>
      </c>
      <c r="L1549" s="4" t="e">
        <f>VLOOKUP(A1549,Revisión!$A$2:$L$703,10,FALSE)</f>
        <v>#N/A</v>
      </c>
      <c r="M1549" s="18" t="e">
        <f>VLOOKUP(A1549,Revisión!$A$2:$L$703,11,FALSE)</f>
        <v>#N/A</v>
      </c>
      <c r="N1549" s="30" t="e">
        <f>IF(E1549="Coinciden",D1549,IF(E1549="Revisar",VLOOKUP(A1549,Revisión!$A$2:$L$703,12,FALSE),""))</f>
        <v>#N/A</v>
      </c>
    </row>
    <row r="1550" spans="1:14" x14ac:dyDescent="0.3">
      <c r="A1550" t="s">
        <v>3193</v>
      </c>
      <c r="B1550" t="s">
        <v>3194</v>
      </c>
      <c r="C1550" t="s">
        <v>3194</v>
      </c>
      <c r="D1550" t="s">
        <v>3194</v>
      </c>
      <c r="E1550" t="s">
        <v>18</v>
      </c>
      <c r="F1550" t="s">
        <v>19</v>
      </c>
      <c r="H1550" s="23" t="e">
        <f>VLOOKUP(A1550,Revisión!$A$2:$L$703,6,FALSE)</f>
        <v>#N/A</v>
      </c>
      <c r="I1550" s="4" t="e">
        <f>VLOOKUP(A1550,Revisión!$A$2:$L$703,7,FALSE)</f>
        <v>#N/A</v>
      </c>
      <c r="J1550" s="4" t="e">
        <f>VLOOKUP(A1550,Revisión!$A$2:$L$703,8,FALSE)</f>
        <v>#N/A</v>
      </c>
      <c r="K1550" s="4" t="e">
        <f>VLOOKUP(A1550,Revisión!$A$2:$L$703,9,FALSE)</f>
        <v>#N/A</v>
      </c>
      <c r="L1550" s="4" t="e">
        <f>VLOOKUP(A1550,Revisión!$A$2:$L$703,10,FALSE)</f>
        <v>#N/A</v>
      </c>
      <c r="M1550" s="18" t="e">
        <f>VLOOKUP(A1550,Revisión!$A$2:$L$703,11,FALSE)</f>
        <v>#N/A</v>
      </c>
      <c r="N1550" s="30" t="str">
        <f>IF(E1550="Coinciden",D1550,IF(E1550="Revisar",VLOOKUP(A1550,Revisión!$A$2:$L$703,12,FALSE),""))</f>
        <v>Passiflora caerulea</v>
      </c>
    </row>
    <row r="1551" spans="1:14" x14ac:dyDescent="0.3">
      <c r="A1551" t="s">
        <v>3195</v>
      </c>
      <c r="B1551" t="s">
        <v>3196</v>
      </c>
      <c r="C1551" t="s">
        <v>3196</v>
      </c>
      <c r="D1551" t="s">
        <v>3196</v>
      </c>
      <c r="E1551" t="s">
        <v>18</v>
      </c>
      <c r="F1551" t="s">
        <v>19</v>
      </c>
      <c r="H1551" s="23" t="e">
        <f>VLOOKUP(A1551,Revisión!$A$2:$L$703,6,FALSE)</f>
        <v>#N/A</v>
      </c>
      <c r="I1551" s="4" t="e">
        <f>VLOOKUP(A1551,Revisión!$A$2:$L$703,7,FALSE)</f>
        <v>#N/A</v>
      </c>
      <c r="J1551" s="4" t="e">
        <f>VLOOKUP(A1551,Revisión!$A$2:$L$703,8,FALSE)</f>
        <v>#N/A</v>
      </c>
      <c r="K1551" s="4" t="e">
        <f>VLOOKUP(A1551,Revisión!$A$2:$L$703,9,FALSE)</f>
        <v>#N/A</v>
      </c>
      <c r="L1551" s="4" t="e">
        <f>VLOOKUP(A1551,Revisión!$A$2:$L$703,10,FALSE)</f>
        <v>#N/A</v>
      </c>
      <c r="M1551" s="18" t="e">
        <f>VLOOKUP(A1551,Revisión!$A$2:$L$703,11,FALSE)</f>
        <v>#N/A</v>
      </c>
      <c r="N1551" s="30" t="str">
        <f>IF(E1551="Coinciden",D1551,IF(E1551="Revisar",VLOOKUP(A1551,Revisión!$A$2:$L$703,12,FALSE),""))</f>
        <v>Passiflora foetida</v>
      </c>
    </row>
    <row r="1552" spans="1:14" x14ac:dyDescent="0.3">
      <c r="A1552" t="s">
        <v>3197</v>
      </c>
      <c r="B1552" t="s">
        <v>3198</v>
      </c>
      <c r="C1552" t="s">
        <v>3198</v>
      </c>
      <c r="D1552" t="s">
        <v>3198</v>
      </c>
      <c r="E1552" t="s">
        <v>18</v>
      </c>
      <c r="F1552" t="s">
        <v>19</v>
      </c>
      <c r="H1552" s="23" t="e">
        <f>VLOOKUP(A1552,Revisión!$A$2:$L$703,6,FALSE)</f>
        <v>#N/A</v>
      </c>
      <c r="I1552" s="4" t="e">
        <f>VLOOKUP(A1552,Revisión!$A$2:$L$703,7,FALSE)</f>
        <v>#N/A</v>
      </c>
      <c r="J1552" s="4" t="e">
        <f>VLOOKUP(A1552,Revisión!$A$2:$L$703,8,FALSE)</f>
        <v>#N/A</v>
      </c>
      <c r="K1552" s="4" t="e">
        <f>VLOOKUP(A1552,Revisión!$A$2:$L$703,9,FALSE)</f>
        <v>#N/A</v>
      </c>
      <c r="L1552" s="4" t="e">
        <f>VLOOKUP(A1552,Revisión!$A$2:$L$703,10,FALSE)</f>
        <v>#N/A</v>
      </c>
      <c r="M1552" s="18" t="e">
        <f>VLOOKUP(A1552,Revisión!$A$2:$L$703,11,FALSE)</f>
        <v>#N/A</v>
      </c>
      <c r="N1552" s="30" t="str">
        <f>IF(E1552="Coinciden",D1552,IF(E1552="Revisar",VLOOKUP(A1552,Revisión!$A$2:$L$703,12,FALSE),""))</f>
        <v>Passiflora suberosa</v>
      </c>
    </row>
    <row r="1553" spans="1:14" x14ac:dyDescent="0.3">
      <c r="A1553" t="s">
        <v>3199</v>
      </c>
      <c r="B1553" t="s">
        <v>3200</v>
      </c>
      <c r="D1553" t="s">
        <v>3200</v>
      </c>
      <c r="E1553" t="s">
        <v>8</v>
      </c>
      <c r="F1553" t="s">
        <v>34</v>
      </c>
      <c r="H1553" s="23" t="str">
        <f>VLOOKUP(A1553,Revisión!$A$2:$L$703,6,FALSE)</f>
        <v>Passiflora lutea</v>
      </c>
      <c r="I1553" s="4" t="str">
        <f>VLOOKUP(A1553,Revisión!$A$2:$L$703,7,FALSE)</f>
        <v>-</v>
      </c>
      <c r="J1553" s="4" t="str">
        <f>VLOOKUP(A1553,Revisión!$A$2:$L$703,8,FALSE)</f>
        <v>Passiflora lutea</v>
      </c>
      <c r="K1553" s="4" t="str">
        <f>VLOOKUP(A1553,Revisión!$A$2:$L$703,9,FALSE)</f>
        <v>Passiflora lutea</v>
      </c>
      <c r="L1553" s="4" t="str">
        <f>VLOOKUP(A1553,Revisión!$A$2:$L$703,10,FALSE)</f>
        <v>Passiflora lutea</v>
      </c>
      <c r="M1553" s="18">
        <f>VLOOKUP(A1553,Revisión!$A$2:$L$703,11,FALSE)</f>
        <v>5</v>
      </c>
      <c r="N1553" s="30" t="str">
        <f>IF(E1553="Coinciden",D1553,IF(E1553="Revisar",VLOOKUP(A1553,Revisión!$A$2:$L$703,12,FALSE),""))</f>
        <v>Passiflora lutea</v>
      </c>
    </row>
    <row r="1554" spans="1:14" x14ac:dyDescent="0.3">
      <c r="A1554" t="s">
        <v>3201</v>
      </c>
      <c r="B1554" t="s">
        <v>3202</v>
      </c>
      <c r="C1554" t="s">
        <v>3202</v>
      </c>
      <c r="D1554" t="s">
        <v>3202</v>
      </c>
      <c r="E1554" t="s">
        <v>18</v>
      </c>
      <c r="F1554" t="s">
        <v>19</v>
      </c>
      <c r="H1554" s="23" t="e">
        <f>VLOOKUP(A1554,Revisión!$A$2:$L$703,6,FALSE)</f>
        <v>#N/A</v>
      </c>
      <c r="I1554" s="4" t="e">
        <f>VLOOKUP(A1554,Revisión!$A$2:$L$703,7,FALSE)</f>
        <v>#N/A</v>
      </c>
      <c r="J1554" s="4" t="e">
        <f>VLOOKUP(A1554,Revisión!$A$2:$L$703,8,FALSE)</f>
        <v>#N/A</v>
      </c>
      <c r="K1554" s="4" t="e">
        <f>VLOOKUP(A1554,Revisión!$A$2:$L$703,9,FALSE)</f>
        <v>#N/A</v>
      </c>
      <c r="L1554" s="4" t="e">
        <f>VLOOKUP(A1554,Revisión!$A$2:$L$703,10,FALSE)</f>
        <v>#N/A</v>
      </c>
      <c r="M1554" s="18" t="e">
        <f>VLOOKUP(A1554,Revisión!$A$2:$L$703,11,FALSE)</f>
        <v>#N/A</v>
      </c>
      <c r="N1554" s="30" t="str">
        <f>IF(E1554="Coinciden",D1554,IF(E1554="Revisar",VLOOKUP(A1554,Revisión!$A$2:$L$703,12,FALSE),""))</f>
        <v>Pastinaca sativa</v>
      </c>
    </row>
    <row r="1555" spans="1:14" x14ac:dyDescent="0.3">
      <c r="A1555" t="s">
        <v>3203</v>
      </c>
      <c r="B1555" t="s">
        <v>3204</v>
      </c>
      <c r="C1555" t="s">
        <v>3204</v>
      </c>
      <c r="D1555" t="s">
        <v>3205</v>
      </c>
      <c r="E1555" t="s">
        <v>8</v>
      </c>
      <c r="F1555" t="s">
        <v>15</v>
      </c>
      <c r="H1555" s="23" t="str">
        <f>VLOOKUP(A1555,Revisión!$A$2:$L$703,6,FALSE)</f>
        <v>Patrinia triloba var. palmata</v>
      </c>
      <c r="I1555" s="4" t="str">
        <f>VLOOKUP(A1555,Revisión!$A$2:$L$703,7,FALSE)</f>
        <v>-</v>
      </c>
      <c r="J1555" s="4" t="str">
        <f>VLOOKUP(A1555,Revisión!$A$2:$L$703,8,FALSE)</f>
        <v>Patrinia triloba var. palmata</v>
      </c>
      <c r="K1555" s="4" t="str">
        <f>VLOOKUP(A1555,Revisión!$A$2:$L$703,9,FALSE)</f>
        <v>Patrinia triloba var. palmata</v>
      </c>
      <c r="L1555" s="4" t="str">
        <f>VLOOKUP(A1555,Revisión!$A$2:$L$703,10,FALSE)</f>
        <v>Patrinia triloba var. palmata</v>
      </c>
      <c r="M1555" s="18">
        <f>VLOOKUP(A1555,Revisión!$A$2:$L$703,11,FALSE)</f>
        <v>4</v>
      </c>
      <c r="N1555" s="30" t="str">
        <f>IF(E1555="Coinciden",D1555,IF(E1555="Revisar",VLOOKUP(A1555,Revisión!$A$2:$L$703,12,FALSE),""))</f>
        <v>Patrinia triloba var. palmata</v>
      </c>
    </row>
    <row r="1556" spans="1:14" x14ac:dyDescent="0.3">
      <c r="A1556" t="s">
        <v>3206</v>
      </c>
      <c r="B1556" t="s">
        <v>3207</v>
      </c>
      <c r="C1556" t="s">
        <v>3207</v>
      </c>
      <c r="D1556" t="s">
        <v>3207</v>
      </c>
      <c r="E1556" t="s">
        <v>18</v>
      </c>
      <c r="F1556" t="s">
        <v>19</v>
      </c>
      <c r="H1556" s="23" t="e">
        <f>VLOOKUP(A1556,Revisión!$A$2:$L$703,6,FALSE)</f>
        <v>#N/A</v>
      </c>
      <c r="I1556" s="4" t="e">
        <f>VLOOKUP(A1556,Revisión!$A$2:$L$703,7,FALSE)</f>
        <v>#N/A</v>
      </c>
      <c r="J1556" s="4" t="e">
        <f>VLOOKUP(A1556,Revisión!$A$2:$L$703,8,FALSE)</f>
        <v>#N/A</v>
      </c>
      <c r="K1556" s="4" t="e">
        <f>VLOOKUP(A1556,Revisión!$A$2:$L$703,9,FALSE)</f>
        <v>#N/A</v>
      </c>
      <c r="L1556" s="4" t="e">
        <f>VLOOKUP(A1556,Revisión!$A$2:$L$703,10,FALSE)</f>
        <v>#N/A</v>
      </c>
      <c r="M1556" s="18" t="e">
        <f>VLOOKUP(A1556,Revisión!$A$2:$L$703,11,FALSE)</f>
        <v>#N/A</v>
      </c>
      <c r="N1556" s="30" t="str">
        <f>IF(E1556="Coinciden",D1556,IF(E1556="Revisar",VLOOKUP(A1556,Revisión!$A$2:$L$703,12,FALSE),""))</f>
        <v>Patrinia villosa</v>
      </c>
    </row>
    <row r="1557" spans="1:14" x14ac:dyDescent="0.3">
      <c r="A1557" t="s">
        <v>3208</v>
      </c>
      <c r="D1557" t="s">
        <v>3209</v>
      </c>
      <c r="E1557" t="s">
        <v>8</v>
      </c>
      <c r="F1557" t="s">
        <v>9</v>
      </c>
      <c r="H1557" s="23" t="str">
        <f>VLOOKUP(A1557,Revisión!$A$2:$L$703,6,FALSE)</f>
        <v>Patrinia scabiosifolia</v>
      </c>
      <c r="I1557" s="4" t="str">
        <f>VLOOKUP(A1557,Revisión!$A$2:$L$703,7,FALSE)</f>
        <v>-</v>
      </c>
      <c r="J1557" s="4" t="str">
        <f>VLOOKUP(A1557,Revisión!$A$2:$L$703,8,FALSE)</f>
        <v>Patrinia scabiosifolia</v>
      </c>
      <c r="K1557" s="4" t="str">
        <f>VLOOKUP(A1557,Revisión!$A$2:$L$703,9,FALSE)</f>
        <v>Patrinia scabiosifolia</v>
      </c>
      <c r="L1557" s="4" t="str">
        <f>VLOOKUP(A1557,Revisión!$A$2:$L$703,10,FALSE)</f>
        <v>Patrinia scabiosifolia</v>
      </c>
      <c r="M1557" s="18">
        <f>VLOOKUP(A1557,Revisión!$A$2:$L$703,11,FALSE)</f>
        <v>5</v>
      </c>
      <c r="N1557" s="30" t="str">
        <f>IF(E1557="Coinciden",D1557,IF(E1557="Revisar",VLOOKUP(A1557,Revisión!$A$2:$L$703,12,FALSE),""))</f>
        <v>Patrinia scabiosifolia</v>
      </c>
    </row>
    <row r="1558" spans="1:14" x14ac:dyDescent="0.3">
      <c r="A1558" t="s">
        <v>3210</v>
      </c>
      <c r="B1558" t="s">
        <v>3211</v>
      </c>
      <c r="C1558" t="s">
        <v>3211</v>
      </c>
      <c r="D1558" t="s">
        <v>3211</v>
      </c>
      <c r="E1558" t="s">
        <v>18</v>
      </c>
      <c r="F1558" t="s">
        <v>19</v>
      </c>
      <c r="H1558" s="23" t="e">
        <f>VLOOKUP(A1558,Revisión!$A$2:$L$703,6,FALSE)</f>
        <v>#N/A</v>
      </c>
      <c r="I1558" s="4" t="e">
        <f>VLOOKUP(A1558,Revisión!$A$2:$L$703,7,FALSE)</f>
        <v>#N/A</v>
      </c>
      <c r="J1558" s="4" t="e">
        <f>VLOOKUP(A1558,Revisión!$A$2:$L$703,8,FALSE)</f>
        <v>#N/A</v>
      </c>
      <c r="K1558" s="4" t="e">
        <f>VLOOKUP(A1558,Revisión!$A$2:$L$703,9,FALSE)</f>
        <v>#N/A</v>
      </c>
      <c r="L1558" s="4" t="e">
        <f>VLOOKUP(A1558,Revisión!$A$2:$L$703,10,FALSE)</f>
        <v>#N/A</v>
      </c>
      <c r="M1558" s="18" t="e">
        <f>VLOOKUP(A1558,Revisión!$A$2:$L$703,11,FALSE)</f>
        <v>#N/A</v>
      </c>
      <c r="N1558" s="30" t="str">
        <f>IF(E1558="Coinciden",D1558,IF(E1558="Revisar",VLOOKUP(A1558,Revisión!$A$2:$L$703,12,FALSE),""))</f>
        <v>Pavonia cymbalaria</v>
      </c>
    </row>
    <row r="1559" spans="1:14" x14ac:dyDescent="0.3">
      <c r="A1559" t="s">
        <v>3212</v>
      </c>
      <c r="B1559" t="s">
        <v>3213</v>
      </c>
      <c r="C1559" t="s">
        <v>3213</v>
      </c>
      <c r="D1559" t="s">
        <v>3213</v>
      </c>
      <c r="E1559" t="s">
        <v>18</v>
      </c>
      <c r="F1559" t="s">
        <v>19</v>
      </c>
      <c r="H1559" s="23" t="e">
        <f>VLOOKUP(A1559,Revisión!$A$2:$L$703,6,FALSE)</f>
        <v>#N/A</v>
      </c>
      <c r="I1559" s="4" t="e">
        <f>VLOOKUP(A1559,Revisión!$A$2:$L$703,7,FALSE)</f>
        <v>#N/A</v>
      </c>
      <c r="J1559" s="4" t="e">
        <f>VLOOKUP(A1559,Revisión!$A$2:$L$703,8,FALSE)</f>
        <v>#N/A</v>
      </c>
      <c r="K1559" s="4" t="e">
        <f>VLOOKUP(A1559,Revisión!$A$2:$L$703,9,FALSE)</f>
        <v>#N/A</v>
      </c>
      <c r="L1559" s="4" t="e">
        <f>VLOOKUP(A1559,Revisión!$A$2:$L$703,10,FALSE)</f>
        <v>#N/A</v>
      </c>
      <c r="M1559" s="18" t="e">
        <f>VLOOKUP(A1559,Revisión!$A$2:$L$703,11,FALSE)</f>
        <v>#N/A</v>
      </c>
      <c r="N1559" s="30" t="str">
        <f>IF(E1559="Coinciden",D1559,IF(E1559="Revisar",VLOOKUP(A1559,Revisión!$A$2:$L$703,12,FALSE),""))</f>
        <v>Pectis tenuifolia</v>
      </c>
    </row>
    <row r="1560" spans="1:14" x14ac:dyDescent="0.3">
      <c r="A1560" t="s">
        <v>3214</v>
      </c>
      <c r="D1560" t="s">
        <v>3215</v>
      </c>
      <c r="E1560" t="s">
        <v>8</v>
      </c>
      <c r="F1560" t="s">
        <v>9</v>
      </c>
      <c r="H1560" s="23" t="str">
        <f>VLOOKUP(A1560,Revisión!$A$2:$L$703,6,FALSE)</f>
        <v>Pedicularis langsdorffii subsp. arctica</v>
      </c>
      <c r="I1560" s="4" t="str">
        <f>VLOOKUP(A1560,Revisión!$A$2:$L$703,7,FALSE)</f>
        <v>-</v>
      </c>
      <c r="J1560" s="4" t="str">
        <f>VLOOKUP(A1560,Revisión!$A$2:$L$703,8,FALSE)</f>
        <v>Pedicularis langsdorffii subsp. arctica</v>
      </c>
      <c r="K1560" s="4" t="str">
        <f>VLOOKUP(A1560,Revisión!$A$2:$L$703,9,FALSE)</f>
        <v>Pedicularis langsdorffii subsp. arctica</v>
      </c>
      <c r="L1560" s="4" t="str">
        <f>VLOOKUP(A1560,Revisión!$A$2:$L$703,10,FALSE)</f>
        <v>Pedicularis langsdorffii subsp. arctica</v>
      </c>
      <c r="M1560" s="18">
        <f>VLOOKUP(A1560,Revisión!$A$2:$L$703,11,FALSE)</f>
        <v>4</v>
      </c>
      <c r="N1560" s="30" t="str">
        <f>IF(E1560="Coinciden",D1560,IF(E1560="Revisar",VLOOKUP(A1560,Revisión!$A$2:$L$703,12,FALSE),""))</f>
        <v>Pedicularis langsdorffii subsp. arctica</v>
      </c>
    </row>
    <row r="1561" spans="1:14" x14ac:dyDescent="0.3">
      <c r="A1561" t="s">
        <v>3216</v>
      </c>
      <c r="B1561" t="s">
        <v>3217</v>
      </c>
      <c r="C1561" t="s">
        <v>3217</v>
      </c>
      <c r="D1561" t="s">
        <v>3217</v>
      </c>
      <c r="E1561" t="s">
        <v>18</v>
      </c>
      <c r="F1561" t="s">
        <v>19</v>
      </c>
      <c r="H1561" s="23" t="e">
        <f>VLOOKUP(A1561,Revisión!$A$2:$L$703,6,FALSE)</f>
        <v>#N/A</v>
      </c>
      <c r="I1561" s="4" t="e">
        <f>VLOOKUP(A1561,Revisión!$A$2:$L$703,7,FALSE)</f>
        <v>#N/A</v>
      </c>
      <c r="J1561" s="4" t="e">
        <f>VLOOKUP(A1561,Revisión!$A$2:$L$703,8,FALSE)</f>
        <v>#N/A</v>
      </c>
      <c r="K1561" s="4" t="e">
        <f>VLOOKUP(A1561,Revisión!$A$2:$L$703,9,FALSE)</f>
        <v>#N/A</v>
      </c>
      <c r="L1561" s="4" t="e">
        <f>VLOOKUP(A1561,Revisión!$A$2:$L$703,10,FALSE)</f>
        <v>#N/A</v>
      </c>
      <c r="M1561" s="18" t="e">
        <f>VLOOKUP(A1561,Revisión!$A$2:$L$703,11,FALSE)</f>
        <v>#N/A</v>
      </c>
      <c r="N1561" s="30" t="str">
        <f>IF(E1561="Coinciden",D1561,IF(E1561="Revisar",VLOOKUP(A1561,Revisión!$A$2:$L$703,12,FALSE),""))</f>
        <v>Pedicularis hirsuta</v>
      </c>
    </row>
    <row r="1562" spans="1:14" x14ac:dyDescent="0.3">
      <c r="A1562" t="s">
        <v>3218</v>
      </c>
      <c r="B1562" t="s">
        <v>3219</v>
      </c>
      <c r="C1562" t="s">
        <v>3219</v>
      </c>
      <c r="D1562" t="s">
        <v>3219</v>
      </c>
      <c r="E1562" t="s">
        <v>18</v>
      </c>
      <c r="F1562" t="s">
        <v>19</v>
      </c>
      <c r="H1562" s="23" t="e">
        <f>VLOOKUP(A1562,Revisión!$A$2:$L$703,6,FALSE)</f>
        <v>#N/A</v>
      </c>
      <c r="I1562" s="4" t="e">
        <f>VLOOKUP(A1562,Revisión!$A$2:$L$703,7,FALSE)</f>
        <v>#N/A</v>
      </c>
      <c r="J1562" s="4" t="e">
        <f>VLOOKUP(A1562,Revisión!$A$2:$L$703,8,FALSE)</f>
        <v>#N/A</v>
      </c>
      <c r="K1562" s="4" t="e">
        <f>VLOOKUP(A1562,Revisión!$A$2:$L$703,9,FALSE)</f>
        <v>#N/A</v>
      </c>
      <c r="L1562" s="4" t="e">
        <f>VLOOKUP(A1562,Revisión!$A$2:$L$703,10,FALSE)</f>
        <v>#N/A</v>
      </c>
      <c r="M1562" s="18" t="e">
        <f>VLOOKUP(A1562,Revisión!$A$2:$L$703,11,FALSE)</f>
        <v>#N/A</v>
      </c>
      <c r="N1562" s="30" t="str">
        <f>IF(E1562="Coinciden",D1562,IF(E1562="Revisar",VLOOKUP(A1562,Revisión!$A$2:$L$703,12,FALSE),""))</f>
        <v>Pedicularis resupinata</v>
      </c>
    </row>
    <row r="1563" spans="1:14" x14ac:dyDescent="0.3">
      <c r="A1563" t="s">
        <v>3220</v>
      </c>
      <c r="E1563" t="s">
        <v>8</v>
      </c>
      <c r="F1563" t="s">
        <v>11</v>
      </c>
      <c r="H1563" s="23" t="e">
        <f>VLOOKUP(A1563,Revisión!$A$2:$L$703,6,FALSE)</f>
        <v>#N/A</v>
      </c>
      <c r="I1563" s="4" t="e">
        <f>VLOOKUP(A1563,Revisión!$A$2:$L$703,7,FALSE)</f>
        <v>#N/A</v>
      </c>
      <c r="J1563" s="4" t="e">
        <f>VLOOKUP(A1563,Revisión!$A$2:$L$703,8,FALSE)</f>
        <v>#N/A</v>
      </c>
      <c r="K1563" s="4" t="e">
        <f>VLOOKUP(A1563,Revisión!$A$2:$L$703,9,FALSE)</f>
        <v>#N/A</v>
      </c>
      <c r="L1563" s="4" t="e">
        <f>VLOOKUP(A1563,Revisión!$A$2:$L$703,10,FALSE)</f>
        <v>#N/A</v>
      </c>
      <c r="M1563" s="18" t="e">
        <f>VLOOKUP(A1563,Revisión!$A$2:$L$703,11,FALSE)</f>
        <v>#N/A</v>
      </c>
      <c r="N1563" s="30" t="e">
        <f>IF(E1563="Coinciden",D1563,IF(E1563="Revisar",VLOOKUP(A1563,Revisión!$A$2:$L$703,12,FALSE),""))</f>
        <v>#N/A</v>
      </c>
    </row>
    <row r="1564" spans="1:14" x14ac:dyDescent="0.3">
      <c r="A1564" t="s">
        <v>3221</v>
      </c>
      <c r="B1564" t="s">
        <v>3222</v>
      </c>
      <c r="C1564" t="s">
        <v>3222</v>
      </c>
      <c r="D1564" t="s">
        <v>3222</v>
      </c>
      <c r="E1564" t="s">
        <v>18</v>
      </c>
      <c r="F1564" t="s">
        <v>19</v>
      </c>
      <c r="H1564" s="23" t="e">
        <f>VLOOKUP(A1564,Revisión!$A$2:$L$703,6,FALSE)</f>
        <v>#N/A</v>
      </c>
      <c r="I1564" s="4" t="e">
        <f>VLOOKUP(A1564,Revisión!$A$2:$L$703,7,FALSE)</f>
        <v>#N/A</v>
      </c>
      <c r="J1564" s="4" t="e">
        <f>VLOOKUP(A1564,Revisión!$A$2:$L$703,8,FALSE)</f>
        <v>#N/A</v>
      </c>
      <c r="K1564" s="4" t="e">
        <f>VLOOKUP(A1564,Revisión!$A$2:$L$703,9,FALSE)</f>
        <v>#N/A</v>
      </c>
      <c r="L1564" s="4" t="e">
        <f>VLOOKUP(A1564,Revisión!$A$2:$L$703,10,FALSE)</f>
        <v>#N/A</v>
      </c>
      <c r="M1564" s="18" t="e">
        <f>VLOOKUP(A1564,Revisión!$A$2:$L$703,11,FALSE)</f>
        <v>#N/A</v>
      </c>
      <c r="N1564" s="30" t="str">
        <f>IF(E1564="Coinciden",D1564,IF(E1564="Revisar",VLOOKUP(A1564,Revisión!$A$2:$L$703,12,FALSE),""))</f>
        <v>Pedicularis capitata</v>
      </c>
    </row>
    <row r="1565" spans="1:14" x14ac:dyDescent="0.3">
      <c r="A1565" t="s">
        <v>3223</v>
      </c>
      <c r="B1565" t="s">
        <v>3224</v>
      </c>
      <c r="C1565" t="s">
        <v>3224</v>
      </c>
      <c r="D1565" t="s">
        <v>3224</v>
      </c>
      <c r="E1565" t="s">
        <v>18</v>
      </c>
      <c r="F1565" t="s">
        <v>19</v>
      </c>
      <c r="H1565" s="23" t="e">
        <f>VLOOKUP(A1565,Revisión!$A$2:$L$703,6,FALSE)</f>
        <v>#N/A</v>
      </c>
      <c r="I1565" s="4" t="e">
        <f>VLOOKUP(A1565,Revisión!$A$2:$L$703,7,FALSE)</f>
        <v>#N/A</v>
      </c>
      <c r="J1565" s="4" t="e">
        <f>VLOOKUP(A1565,Revisión!$A$2:$L$703,8,FALSE)</f>
        <v>#N/A</v>
      </c>
      <c r="K1565" s="4" t="e">
        <f>VLOOKUP(A1565,Revisión!$A$2:$L$703,9,FALSE)</f>
        <v>#N/A</v>
      </c>
      <c r="L1565" s="4" t="e">
        <f>VLOOKUP(A1565,Revisión!$A$2:$L$703,10,FALSE)</f>
        <v>#N/A</v>
      </c>
      <c r="M1565" s="18" t="e">
        <f>VLOOKUP(A1565,Revisión!$A$2:$L$703,11,FALSE)</f>
        <v>#N/A</v>
      </c>
      <c r="N1565" s="30" t="str">
        <f>IF(E1565="Coinciden",D1565,IF(E1565="Revisar",VLOOKUP(A1565,Revisión!$A$2:$L$703,12,FALSE),""))</f>
        <v>Pedicularis parryi</v>
      </c>
    </row>
    <row r="1566" spans="1:14" x14ac:dyDescent="0.3">
      <c r="A1566" t="s">
        <v>3225</v>
      </c>
      <c r="B1566" t="s">
        <v>3226</v>
      </c>
      <c r="D1566" t="s">
        <v>3226</v>
      </c>
      <c r="E1566" t="s">
        <v>8</v>
      </c>
      <c r="F1566" t="s">
        <v>34</v>
      </c>
      <c r="H1566" s="23" t="str">
        <f>VLOOKUP(A1566,Revisión!$A$2:$L$703,6,FALSE)</f>
        <v>Pedicularis flammea</v>
      </c>
      <c r="I1566" s="4" t="str">
        <f>VLOOKUP(A1566,Revisión!$A$2:$L$703,7,FALSE)</f>
        <v>-</v>
      </c>
      <c r="J1566" s="4" t="str">
        <f>VLOOKUP(A1566,Revisión!$A$2:$L$703,8,FALSE)</f>
        <v>Pedicularis flammea</v>
      </c>
      <c r="K1566" s="4" t="str">
        <f>VLOOKUP(A1566,Revisión!$A$2:$L$703,9,FALSE)</f>
        <v>Pedicularis flammea</v>
      </c>
      <c r="L1566" s="4" t="str">
        <f>VLOOKUP(A1566,Revisión!$A$2:$L$703,10,FALSE)</f>
        <v>Pedicularis flammea</v>
      </c>
      <c r="M1566" s="18">
        <f>VLOOKUP(A1566,Revisión!$A$2:$L$703,11,FALSE)</f>
        <v>5</v>
      </c>
      <c r="N1566" s="30" t="str">
        <f>IF(E1566="Coinciden",D1566,IF(E1566="Revisar",VLOOKUP(A1566,Revisión!$A$2:$L$703,12,FALSE),""))</f>
        <v>Pedicularis flammea</v>
      </c>
    </row>
    <row r="1567" spans="1:14" x14ac:dyDescent="0.3">
      <c r="A1567" t="s">
        <v>3227</v>
      </c>
      <c r="B1567" t="s">
        <v>3228</v>
      </c>
      <c r="C1567" t="s">
        <v>3228</v>
      </c>
      <c r="D1567" t="s">
        <v>3228</v>
      </c>
      <c r="E1567" t="s">
        <v>18</v>
      </c>
      <c r="F1567" t="s">
        <v>19</v>
      </c>
      <c r="H1567" s="23" t="e">
        <f>VLOOKUP(A1567,Revisión!$A$2:$L$703,6,FALSE)</f>
        <v>#N/A</v>
      </c>
      <c r="I1567" s="4" t="e">
        <f>VLOOKUP(A1567,Revisión!$A$2:$L$703,7,FALSE)</f>
        <v>#N/A</v>
      </c>
      <c r="J1567" s="4" t="e">
        <f>VLOOKUP(A1567,Revisión!$A$2:$L$703,8,FALSE)</f>
        <v>#N/A</v>
      </c>
      <c r="K1567" s="4" t="e">
        <f>VLOOKUP(A1567,Revisión!$A$2:$L$703,9,FALSE)</f>
        <v>#N/A</v>
      </c>
      <c r="L1567" s="4" t="e">
        <f>VLOOKUP(A1567,Revisión!$A$2:$L$703,10,FALSE)</f>
        <v>#N/A</v>
      </c>
      <c r="M1567" s="18" t="e">
        <f>VLOOKUP(A1567,Revisión!$A$2:$L$703,11,FALSE)</f>
        <v>#N/A</v>
      </c>
      <c r="N1567" s="30" t="str">
        <f>IF(E1567="Coinciden",D1567,IF(E1567="Revisar",VLOOKUP(A1567,Revisión!$A$2:$L$703,12,FALSE),""))</f>
        <v>Pedicularis racemosa</v>
      </c>
    </row>
    <row r="1568" spans="1:14" x14ac:dyDescent="0.3">
      <c r="A1568" t="s">
        <v>3229</v>
      </c>
      <c r="B1568" t="s">
        <v>3230</v>
      </c>
      <c r="C1568" t="s">
        <v>3230</v>
      </c>
      <c r="D1568" t="s">
        <v>3230</v>
      </c>
      <c r="E1568" t="s">
        <v>18</v>
      </c>
      <c r="F1568" t="s">
        <v>19</v>
      </c>
      <c r="H1568" s="23" t="e">
        <f>VLOOKUP(A1568,Revisión!$A$2:$L$703,6,FALSE)</f>
        <v>#N/A</v>
      </c>
      <c r="I1568" s="4" t="e">
        <f>VLOOKUP(A1568,Revisión!$A$2:$L$703,7,FALSE)</f>
        <v>#N/A</v>
      </c>
      <c r="J1568" s="4" t="e">
        <f>VLOOKUP(A1568,Revisión!$A$2:$L$703,8,FALSE)</f>
        <v>#N/A</v>
      </c>
      <c r="K1568" s="4" t="e">
        <f>VLOOKUP(A1568,Revisión!$A$2:$L$703,9,FALSE)</f>
        <v>#N/A</v>
      </c>
      <c r="L1568" s="4" t="e">
        <f>VLOOKUP(A1568,Revisión!$A$2:$L$703,10,FALSE)</f>
        <v>#N/A</v>
      </c>
      <c r="M1568" s="18" t="e">
        <f>VLOOKUP(A1568,Revisión!$A$2:$L$703,11,FALSE)</f>
        <v>#N/A</v>
      </c>
      <c r="N1568" s="30" t="str">
        <f>IF(E1568="Coinciden",D1568,IF(E1568="Revisar",VLOOKUP(A1568,Revisión!$A$2:$L$703,12,FALSE),""))</f>
        <v>Pemphis acidula</v>
      </c>
    </row>
    <row r="1569" spans="1:14" x14ac:dyDescent="0.3">
      <c r="A1569" t="s">
        <v>3231</v>
      </c>
      <c r="B1569" t="s">
        <v>3232</v>
      </c>
      <c r="C1569" t="s">
        <v>3232</v>
      </c>
      <c r="D1569" t="s">
        <v>3232</v>
      </c>
      <c r="E1569" t="s">
        <v>18</v>
      </c>
      <c r="F1569" t="s">
        <v>19</v>
      </c>
      <c r="H1569" s="23" t="e">
        <f>VLOOKUP(A1569,Revisión!$A$2:$L$703,6,FALSE)</f>
        <v>#N/A</v>
      </c>
      <c r="I1569" s="4" t="e">
        <f>VLOOKUP(A1569,Revisión!$A$2:$L$703,7,FALSE)</f>
        <v>#N/A</v>
      </c>
      <c r="J1569" s="4" t="e">
        <f>VLOOKUP(A1569,Revisión!$A$2:$L$703,8,FALSE)</f>
        <v>#N/A</v>
      </c>
      <c r="K1569" s="4" t="e">
        <f>VLOOKUP(A1569,Revisión!$A$2:$L$703,9,FALSE)</f>
        <v>#N/A</v>
      </c>
      <c r="L1569" s="4" t="e">
        <f>VLOOKUP(A1569,Revisión!$A$2:$L$703,10,FALSE)</f>
        <v>#N/A</v>
      </c>
      <c r="M1569" s="18" t="e">
        <f>VLOOKUP(A1569,Revisión!$A$2:$L$703,11,FALSE)</f>
        <v>#N/A</v>
      </c>
      <c r="N1569" s="30" t="str">
        <f>IF(E1569="Coinciden",D1569,IF(E1569="Revisar",VLOOKUP(A1569,Revisión!$A$2:$L$703,12,FALSE),""))</f>
        <v>Penstemon hirsutus</v>
      </c>
    </row>
    <row r="1570" spans="1:14" x14ac:dyDescent="0.3">
      <c r="A1570" t="s">
        <v>3233</v>
      </c>
      <c r="B1570" t="s">
        <v>3234</v>
      </c>
      <c r="C1570" t="s">
        <v>3234</v>
      </c>
      <c r="D1570" t="s">
        <v>3234</v>
      </c>
      <c r="E1570" t="s">
        <v>18</v>
      </c>
      <c r="F1570" t="s">
        <v>19</v>
      </c>
      <c r="H1570" s="23" t="e">
        <f>VLOOKUP(A1570,Revisión!$A$2:$L$703,6,FALSE)</f>
        <v>#N/A</v>
      </c>
      <c r="I1570" s="4" t="e">
        <f>VLOOKUP(A1570,Revisión!$A$2:$L$703,7,FALSE)</f>
        <v>#N/A</v>
      </c>
      <c r="J1570" s="4" t="e">
        <f>VLOOKUP(A1570,Revisión!$A$2:$L$703,8,FALSE)</f>
        <v>#N/A</v>
      </c>
      <c r="K1570" s="4" t="e">
        <f>VLOOKUP(A1570,Revisión!$A$2:$L$703,9,FALSE)</f>
        <v>#N/A</v>
      </c>
      <c r="L1570" s="4" t="e">
        <f>VLOOKUP(A1570,Revisión!$A$2:$L$703,10,FALSE)</f>
        <v>#N/A</v>
      </c>
      <c r="M1570" s="18" t="e">
        <f>VLOOKUP(A1570,Revisión!$A$2:$L$703,11,FALSE)</f>
        <v>#N/A</v>
      </c>
      <c r="N1570" s="30" t="str">
        <f>IF(E1570="Coinciden",D1570,IF(E1570="Revisar",VLOOKUP(A1570,Revisión!$A$2:$L$703,12,FALSE),""))</f>
        <v>Penstemon secundiflorus</v>
      </c>
    </row>
    <row r="1571" spans="1:14" x14ac:dyDescent="0.3">
      <c r="A1571" t="s">
        <v>3235</v>
      </c>
      <c r="B1571" t="s">
        <v>3236</v>
      </c>
      <c r="C1571" t="s">
        <v>3236</v>
      </c>
      <c r="D1571" t="s">
        <v>3236</v>
      </c>
      <c r="E1571" t="s">
        <v>18</v>
      </c>
      <c r="F1571" t="s">
        <v>19</v>
      </c>
      <c r="H1571" s="23" t="e">
        <f>VLOOKUP(A1571,Revisión!$A$2:$L$703,6,FALSE)</f>
        <v>#N/A</v>
      </c>
      <c r="I1571" s="4" t="e">
        <f>VLOOKUP(A1571,Revisión!$A$2:$L$703,7,FALSE)</f>
        <v>#N/A</v>
      </c>
      <c r="J1571" s="4" t="e">
        <f>VLOOKUP(A1571,Revisión!$A$2:$L$703,8,FALSE)</f>
        <v>#N/A</v>
      </c>
      <c r="K1571" s="4" t="e">
        <f>VLOOKUP(A1571,Revisión!$A$2:$L$703,9,FALSE)</f>
        <v>#N/A</v>
      </c>
      <c r="L1571" s="4" t="e">
        <f>VLOOKUP(A1571,Revisión!$A$2:$L$703,10,FALSE)</f>
        <v>#N/A</v>
      </c>
      <c r="M1571" s="18" t="e">
        <f>VLOOKUP(A1571,Revisión!$A$2:$L$703,11,FALSE)</f>
        <v>#N/A</v>
      </c>
      <c r="N1571" s="30" t="str">
        <f>IF(E1571="Coinciden",D1571,IF(E1571="Revisar",VLOOKUP(A1571,Revisión!$A$2:$L$703,12,FALSE),""))</f>
        <v>Penstemon laevigatus</v>
      </c>
    </row>
    <row r="1572" spans="1:14" x14ac:dyDescent="0.3">
      <c r="A1572" t="s">
        <v>3237</v>
      </c>
      <c r="B1572" t="s">
        <v>3238</v>
      </c>
      <c r="C1572" t="s">
        <v>3238</v>
      </c>
      <c r="D1572" t="s">
        <v>3238</v>
      </c>
      <c r="E1572" t="s">
        <v>18</v>
      </c>
      <c r="F1572" t="s">
        <v>19</v>
      </c>
      <c r="H1572" s="23" t="e">
        <f>VLOOKUP(A1572,Revisión!$A$2:$L$703,6,FALSE)</f>
        <v>#N/A</v>
      </c>
      <c r="I1572" s="4" t="e">
        <f>VLOOKUP(A1572,Revisión!$A$2:$L$703,7,FALSE)</f>
        <v>#N/A</v>
      </c>
      <c r="J1572" s="4" t="e">
        <f>VLOOKUP(A1572,Revisión!$A$2:$L$703,8,FALSE)</f>
        <v>#N/A</v>
      </c>
      <c r="K1572" s="4" t="e">
        <f>VLOOKUP(A1572,Revisión!$A$2:$L$703,9,FALSE)</f>
        <v>#N/A</v>
      </c>
      <c r="L1572" s="4" t="e">
        <f>VLOOKUP(A1572,Revisión!$A$2:$L$703,10,FALSE)</f>
        <v>#N/A</v>
      </c>
      <c r="M1572" s="18" t="e">
        <f>VLOOKUP(A1572,Revisión!$A$2:$L$703,11,FALSE)</f>
        <v>#N/A</v>
      </c>
      <c r="N1572" s="30" t="str">
        <f>IF(E1572="Coinciden",D1572,IF(E1572="Revisar",VLOOKUP(A1572,Revisión!$A$2:$L$703,12,FALSE),""))</f>
        <v>Penstemon hallii</v>
      </c>
    </row>
    <row r="1573" spans="1:14" x14ac:dyDescent="0.3">
      <c r="A1573" t="s">
        <v>3239</v>
      </c>
      <c r="B1573" t="s">
        <v>3240</v>
      </c>
      <c r="C1573" t="s">
        <v>3240</v>
      </c>
      <c r="D1573" t="s">
        <v>3240</v>
      </c>
      <c r="E1573" t="s">
        <v>18</v>
      </c>
      <c r="F1573" t="s">
        <v>19</v>
      </c>
      <c r="H1573" s="23" t="e">
        <f>VLOOKUP(A1573,Revisión!$A$2:$L$703,6,FALSE)</f>
        <v>#N/A</v>
      </c>
      <c r="I1573" s="4" t="e">
        <f>VLOOKUP(A1573,Revisión!$A$2:$L$703,7,FALSE)</f>
        <v>#N/A</v>
      </c>
      <c r="J1573" s="4" t="e">
        <f>VLOOKUP(A1573,Revisión!$A$2:$L$703,8,FALSE)</f>
        <v>#N/A</v>
      </c>
      <c r="K1573" s="4" t="e">
        <f>VLOOKUP(A1573,Revisión!$A$2:$L$703,9,FALSE)</f>
        <v>#N/A</v>
      </c>
      <c r="L1573" s="4" t="e">
        <f>VLOOKUP(A1573,Revisión!$A$2:$L$703,10,FALSE)</f>
        <v>#N/A</v>
      </c>
      <c r="M1573" s="18" t="e">
        <f>VLOOKUP(A1573,Revisión!$A$2:$L$703,11,FALSE)</f>
        <v>#N/A</v>
      </c>
      <c r="N1573" s="30" t="str">
        <f>IF(E1573="Coinciden",D1573,IF(E1573="Revisar",VLOOKUP(A1573,Revisión!$A$2:$L$703,12,FALSE),""))</f>
        <v>Pentachondra pumila</v>
      </c>
    </row>
    <row r="1574" spans="1:14" x14ac:dyDescent="0.3">
      <c r="A1574" t="s">
        <v>3241</v>
      </c>
      <c r="C1574" t="s">
        <v>3242</v>
      </c>
      <c r="D1574" t="s">
        <v>3242</v>
      </c>
      <c r="E1574" t="s">
        <v>8</v>
      </c>
      <c r="F1574" t="s">
        <v>49</v>
      </c>
      <c r="H1574" s="23" t="str">
        <f>VLOOKUP(A1574,Revisión!$A$2:$L$703,6,FALSE)</f>
        <v>Penstemon gracilis</v>
      </c>
      <c r="I1574" s="4" t="str">
        <f>VLOOKUP(A1574,Revisión!$A$2:$L$703,7,FALSE)</f>
        <v>-</v>
      </c>
      <c r="J1574" s="4" t="str">
        <f>VLOOKUP(A1574,Revisión!$A$2:$L$703,8,FALSE)</f>
        <v>Penstemon gracilis</v>
      </c>
      <c r="K1574" s="4" t="str">
        <f>VLOOKUP(A1574,Revisión!$A$2:$L$703,9,FALSE)</f>
        <v>Penstemon gracilis</v>
      </c>
      <c r="L1574" s="4" t="str">
        <f>VLOOKUP(A1574,Revisión!$A$2:$L$703,10,FALSE)</f>
        <v>Penstemon gracilis</v>
      </c>
      <c r="M1574" s="18">
        <f>VLOOKUP(A1574,Revisión!$A$2:$L$703,11,FALSE)</f>
        <v>5</v>
      </c>
      <c r="N1574" s="30" t="str">
        <f>IF(E1574="Coinciden",D1574,IF(E1574="Revisar",VLOOKUP(A1574,Revisión!$A$2:$L$703,12,FALSE),""))</f>
        <v>Penstemon gracilis</v>
      </c>
    </row>
    <row r="1575" spans="1:14" x14ac:dyDescent="0.3">
      <c r="A1575" t="s">
        <v>3243</v>
      </c>
      <c r="C1575" t="s">
        <v>3242</v>
      </c>
      <c r="D1575" t="s">
        <v>3242</v>
      </c>
      <c r="E1575" t="s">
        <v>8</v>
      </c>
      <c r="F1575" t="s">
        <v>49</v>
      </c>
      <c r="H1575" s="23" t="str">
        <f>VLOOKUP(A1575,Revisión!$A$2:$L$703,6,FALSE)</f>
        <v>Penstemon gracilis</v>
      </c>
      <c r="I1575" s="4" t="str">
        <f>VLOOKUP(A1575,Revisión!$A$2:$L$703,7,FALSE)</f>
        <v>-</v>
      </c>
      <c r="J1575" s="4" t="str">
        <f>VLOOKUP(A1575,Revisión!$A$2:$L$703,8,FALSE)</f>
        <v>Penstemon gracilis</v>
      </c>
      <c r="K1575" s="4" t="str">
        <f>VLOOKUP(A1575,Revisión!$A$2:$L$703,9,FALSE)</f>
        <v>Penstemon gracilis</v>
      </c>
      <c r="L1575" s="4" t="str">
        <f>VLOOKUP(A1575,Revisión!$A$2:$L$703,10,FALSE)</f>
        <v>Penstemon gracilis</v>
      </c>
      <c r="M1575" s="18">
        <f>VLOOKUP(A1575,Revisión!$A$2:$L$703,11,FALSE)</f>
        <v>4</v>
      </c>
      <c r="N1575" s="30" t="str">
        <f>IF(E1575="Coinciden",D1575,IF(E1575="Revisar",VLOOKUP(A1575,Revisión!$A$2:$L$703,12,FALSE),""))</f>
        <v>Penstemon gracilis</v>
      </c>
    </row>
    <row r="1576" spans="1:14" x14ac:dyDescent="0.3">
      <c r="A1576" t="s">
        <v>3244</v>
      </c>
      <c r="C1576" t="s">
        <v>3245</v>
      </c>
      <c r="D1576" t="s">
        <v>3245</v>
      </c>
      <c r="E1576" t="s">
        <v>8</v>
      </c>
      <c r="F1576" t="s">
        <v>49</v>
      </c>
      <c r="H1576" s="23" t="str">
        <f>VLOOKUP(A1576,Revisión!$A$2:$L$703,6,FALSE)</f>
        <v>Penstemon glaber</v>
      </c>
      <c r="I1576" s="4" t="str">
        <f>VLOOKUP(A1576,Revisión!$A$2:$L$703,7,FALSE)</f>
        <v>-</v>
      </c>
      <c r="J1576" s="4" t="str">
        <f>VLOOKUP(A1576,Revisión!$A$2:$L$703,8,FALSE)</f>
        <v>Penstemon glaber</v>
      </c>
      <c r="K1576" s="4" t="str">
        <f>VLOOKUP(A1576,Revisión!$A$2:$L$703,9,FALSE)</f>
        <v>Penstemon glaber</v>
      </c>
      <c r="L1576" s="4" t="str">
        <f>VLOOKUP(A1576,Revisión!$A$2:$L$703,10,FALSE)</f>
        <v>Penstemon glaber</v>
      </c>
      <c r="M1576" s="18">
        <f>VLOOKUP(A1576,Revisión!$A$2:$L$703,11,FALSE)</f>
        <v>5</v>
      </c>
      <c r="N1576" s="30" t="str">
        <f>IF(E1576="Coinciden",D1576,IF(E1576="Revisar",VLOOKUP(A1576,Revisión!$A$2:$L$703,12,FALSE),""))</f>
        <v>Penstemon glaber</v>
      </c>
    </row>
    <row r="1577" spans="1:14" x14ac:dyDescent="0.3">
      <c r="A1577" t="s">
        <v>3246</v>
      </c>
      <c r="B1577" t="s">
        <v>3247</v>
      </c>
      <c r="C1577" t="s">
        <v>3247</v>
      </c>
      <c r="D1577" t="s">
        <v>3247</v>
      </c>
      <c r="E1577" t="s">
        <v>18</v>
      </c>
      <c r="F1577" t="s">
        <v>19</v>
      </c>
      <c r="H1577" s="23" t="e">
        <f>VLOOKUP(A1577,Revisión!$A$2:$L$703,6,FALSE)</f>
        <v>#N/A</v>
      </c>
      <c r="I1577" s="4" t="e">
        <f>VLOOKUP(A1577,Revisión!$A$2:$L$703,7,FALSE)</f>
        <v>#N/A</v>
      </c>
      <c r="J1577" s="4" t="e">
        <f>VLOOKUP(A1577,Revisión!$A$2:$L$703,8,FALSE)</f>
        <v>#N/A</v>
      </c>
      <c r="K1577" s="4" t="e">
        <f>VLOOKUP(A1577,Revisión!$A$2:$L$703,9,FALSE)</f>
        <v>#N/A</v>
      </c>
      <c r="L1577" s="4" t="e">
        <f>VLOOKUP(A1577,Revisión!$A$2:$L$703,10,FALSE)</f>
        <v>#N/A</v>
      </c>
      <c r="M1577" s="18" t="e">
        <f>VLOOKUP(A1577,Revisión!$A$2:$L$703,11,FALSE)</f>
        <v>#N/A</v>
      </c>
      <c r="N1577" s="30" t="str">
        <f>IF(E1577="Coinciden",D1577,IF(E1577="Revisar",VLOOKUP(A1577,Revisión!$A$2:$L$703,12,FALSE),""))</f>
        <v>Perezia pilifera</v>
      </c>
    </row>
    <row r="1578" spans="1:14" x14ac:dyDescent="0.3">
      <c r="A1578" t="s">
        <v>3248</v>
      </c>
      <c r="B1578" t="s">
        <v>3249</v>
      </c>
      <c r="C1578" t="s">
        <v>3249</v>
      </c>
      <c r="D1578" t="s">
        <v>3249</v>
      </c>
      <c r="E1578" t="s">
        <v>18</v>
      </c>
      <c r="F1578" t="s">
        <v>19</v>
      </c>
      <c r="H1578" s="23" t="e">
        <f>VLOOKUP(A1578,Revisión!$A$2:$L$703,6,FALSE)</f>
        <v>#N/A</v>
      </c>
      <c r="I1578" s="4" t="e">
        <f>VLOOKUP(A1578,Revisión!$A$2:$L$703,7,FALSE)</f>
        <v>#N/A</v>
      </c>
      <c r="J1578" s="4" t="e">
        <f>VLOOKUP(A1578,Revisión!$A$2:$L$703,8,FALSE)</f>
        <v>#N/A</v>
      </c>
      <c r="K1578" s="4" t="e">
        <f>VLOOKUP(A1578,Revisión!$A$2:$L$703,9,FALSE)</f>
        <v>#N/A</v>
      </c>
      <c r="L1578" s="4" t="e">
        <f>VLOOKUP(A1578,Revisión!$A$2:$L$703,10,FALSE)</f>
        <v>#N/A</v>
      </c>
      <c r="M1578" s="18" t="e">
        <f>VLOOKUP(A1578,Revisión!$A$2:$L$703,11,FALSE)</f>
        <v>#N/A</v>
      </c>
      <c r="N1578" s="30" t="str">
        <f>IF(E1578="Coinciden",D1578,IF(E1578="Revisar",VLOOKUP(A1578,Revisión!$A$2:$L$703,12,FALSE),""))</f>
        <v>Perezia carthamoides</v>
      </c>
    </row>
    <row r="1579" spans="1:14" x14ac:dyDescent="0.3">
      <c r="A1579" t="s">
        <v>3250</v>
      </c>
      <c r="B1579" t="s">
        <v>3251</v>
      </c>
      <c r="C1579" t="s">
        <v>3251</v>
      </c>
      <c r="D1579" t="s">
        <v>3251</v>
      </c>
      <c r="E1579" t="s">
        <v>18</v>
      </c>
      <c r="F1579" t="s">
        <v>19</v>
      </c>
      <c r="H1579" s="23" t="e">
        <f>VLOOKUP(A1579,Revisión!$A$2:$L$703,6,FALSE)</f>
        <v>#N/A</v>
      </c>
      <c r="I1579" s="4" t="e">
        <f>VLOOKUP(A1579,Revisión!$A$2:$L$703,7,FALSE)</f>
        <v>#N/A</v>
      </c>
      <c r="J1579" s="4" t="e">
        <f>VLOOKUP(A1579,Revisión!$A$2:$L$703,8,FALSE)</f>
        <v>#N/A</v>
      </c>
      <c r="K1579" s="4" t="e">
        <f>VLOOKUP(A1579,Revisión!$A$2:$L$703,9,FALSE)</f>
        <v>#N/A</v>
      </c>
      <c r="L1579" s="4" t="e">
        <f>VLOOKUP(A1579,Revisión!$A$2:$L$703,10,FALSE)</f>
        <v>#N/A</v>
      </c>
      <c r="M1579" s="18" t="e">
        <f>VLOOKUP(A1579,Revisión!$A$2:$L$703,11,FALSE)</f>
        <v>#N/A</v>
      </c>
      <c r="N1579" s="30" t="str">
        <f>IF(E1579="Coinciden",D1579,IF(E1579="Revisar",VLOOKUP(A1579,Revisión!$A$2:$L$703,12,FALSE),""))</f>
        <v>Periploca laevigata</v>
      </c>
    </row>
    <row r="1580" spans="1:14" x14ac:dyDescent="0.3">
      <c r="A1580" t="s">
        <v>3252</v>
      </c>
      <c r="C1580" t="s">
        <v>3253</v>
      </c>
      <c r="D1580" t="s">
        <v>3253</v>
      </c>
      <c r="E1580" t="s">
        <v>8</v>
      </c>
      <c r="F1580" t="s">
        <v>49</v>
      </c>
      <c r="H1580" s="23" t="str">
        <f>VLOOKUP(A1580,Revisión!$A$2:$L$703,6,FALSE)</f>
        <v>Persea americana</v>
      </c>
      <c r="I1580" s="4" t="str">
        <f>VLOOKUP(A1580,Revisión!$A$2:$L$703,7,FALSE)</f>
        <v>-</v>
      </c>
      <c r="J1580" s="4" t="str">
        <f>VLOOKUP(A1580,Revisión!$A$2:$L$703,8,FALSE)</f>
        <v>Persea americana</v>
      </c>
      <c r="K1580" s="4" t="str">
        <f>VLOOKUP(A1580,Revisión!$A$2:$L$703,9,FALSE)</f>
        <v>Persea americana</v>
      </c>
      <c r="L1580" s="4" t="str">
        <f>VLOOKUP(A1580,Revisión!$A$2:$L$703,10,FALSE)</f>
        <v>Persea americana</v>
      </c>
      <c r="M1580" s="18">
        <f>VLOOKUP(A1580,Revisión!$A$2:$L$703,11,FALSE)</f>
        <v>5</v>
      </c>
      <c r="N1580" s="30" t="str">
        <f>IF(E1580="Coinciden",D1580,IF(E1580="Revisar",VLOOKUP(A1580,Revisión!$A$2:$L$703,12,FALSE),""))</f>
        <v>Persea americana</v>
      </c>
    </row>
    <row r="1581" spans="1:14" x14ac:dyDescent="0.3">
      <c r="A1581" t="s">
        <v>3254</v>
      </c>
      <c r="B1581" t="s">
        <v>3255</v>
      </c>
      <c r="C1581" t="s">
        <v>3255</v>
      </c>
      <c r="D1581" t="s">
        <v>3256</v>
      </c>
      <c r="E1581" t="s">
        <v>8</v>
      </c>
      <c r="F1581" t="s">
        <v>15</v>
      </c>
      <c r="H1581" s="23" t="str">
        <f>VLOOKUP(A1581,Revisión!$A$2:$L$703,6,FALSE)</f>
        <v>Persicaria muricata</v>
      </c>
      <c r="I1581" s="4" t="str">
        <f>VLOOKUP(A1581,Revisión!$A$2:$L$703,7,FALSE)</f>
        <v>-</v>
      </c>
      <c r="J1581" s="4" t="str">
        <f>VLOOKUP(A1581,Revisión!$A$2:$L$703,8,FALSE)</f>
        <v>Persicaria muricata</v>
      </c>
      <c r="K1581" s="4" t="str">
        <f>VLOOKUP(A1581,Revisión!$A$2:$L$703,9,FALSE)</f>
        <v>Persicaria muricata</v>
      </c>
      <c r="L1581" s="4" t="str">
        <f>VLOOKUP(A1581,Revisión!$A$2:$L$703,10,FALSE)</f>
        <v>Persicaria muricata</v>
      </c>
      <c r="M1581" s="18">
        <f>VLOOKUP(A1581,Revisión!$A$2:$L$703,11,FALSE)</f>
        <v>4</v>
      </c>
      <c r="N1581" s="30" t="str">
        <f>IF(E1581="Coinciden",D1581,IF(E1581="Revisar",VLOOKUP(A1581,Revisión!$A$2:$L$703,12,FALSE),""))</f>
        <v>Persicaria muricata </v>
      </c>
    </row>
    <row r="1582" spans="1:14" x14ac:dyDescent="0.3">
      <c r="A1582" t="s">
        <v>3257</v>
      </c>
      <c r="B1582" t="s">
        <v>3258</v>
      </c>
      <c r="C1582" t="s">
        <v>3258</v>
      </c>
      <c r="D1582" t="s">
        <v>3259</v>
      </c>
      <c r="E1582" t="s">
        <v>8</v>
      </c>
      <c r="F1582" t="s">
        <v>15</v>
      </c>
      <c r="H1582" s="23" t="str">
        <f>VLOOKUP(A1582,Revisión!$A$2:$L$703,6,FALSE)</f>
        <v>Persicaria thunbergii</v>
      </c>
      <c r="I1582" s="4" t="str">
        <f>VLOOKUP(A1582,Revisión!$A$2:$L$703,7,FALSE)</f>
        <v>-</v>
      </c>
      <c r="J1582" s="4" t="str">
        <f>VLOOKUP(A1582,Revisión!$A$2:$L$703,8,FALSE)</f>
        <v>Persicaria thunbergii</v>
      </c>
      <c r="K1582" s="4" t="str">
        <f>VLOOKUP(A1582,Revisión!$A$2:$L$703,9,FALSE)</f>
        <v>Persicaria thunbergii</v>
      </c>
      <c r="L1582" s="4" t="str">
        <f>VLOOKUP(A1582,Revisión!$A$2:$L$703,10,FALSE)</f>
        <v>Persicaria thunbergii</v>
      </c>
      <c r="M1582" s="18">
        <f>VLOOKUP(A1582,Revisión!$A$2:$L$703,11,FALSE)</f>
        <v>5</v>
      </c>
      <c r="N1582" s="30" t="str">
        <f>IF(E1582="Coinciden",D1582,IF(E1582="Revisar",VLOOKUP(A1582,Revisión!$A$2:$L$703,12,FALSE),""))</f>
        <v>Persicaria thunbergii</v>
      </c>
    </row>
    <row r="1583" spans="1:14" x14ac:dyDescent="0.3">
      <c r="A1583" t="s">
        <v>3260</v>
      </c>
      <c r="B1583" t="s">
        <v>3261</v>
      </c>
      <c r="C1583" t="s">
        <v>3261</v>
      </c>
      <c r="D1583" t="s">
        <v>3262</v>
      </c>
      <c r="E1583" t="s">
        <v>8</v>
      </c>
      <c r="F1583" t="s">
        <v>15</v>
      </c>
      <c r="H1583" s="23" t="str">
        <f>VLOOKUP(A1583,Revisión!$A$2:$L$703,6,FALSE)</f>
        <v>Persicaria senticosa</v>
      </c>
      <c r="I1583" s="4" t="str">
        <f>VLOOKUP(A1583,Revisión!$A$2:$L$703,7,FALSE)</f>
        <v>-</v>
      </c>
      <c r="J1583" s="4" t="str">
        <f>VLOOKUP(A1583,Revisión!$A$2:$L$703,8,FALSE)</f>
        <v>Persicaria senticosa</v>
      </c>
      <c r="K1583" s="4" t="str">
        <f>VLOOKUP(A1583,Revisión!$A$2:$L$703,9,FALSE)</f>
        <v>Persicaria senticosa</v>
      </c>
      <c r="L1583" s="4" t="str">
        <f>VLOOKUP(A1583,Revisión!$A$2:$L$703,10,FALSE)</f>
        <v>Persicaria senticosa</v>
      </c>
      <c r="M1583" s="18">
        <f>VLOOKUP(A1583,Revisión!$A$2:$L$703,11,FALSE)</f>
        <v>4</v>
      </c>
      <c r="N1583" s="30" t="str">
        <f>IF(E1583="Coinciden",D1583,IF(E1583="Revisar",VLOOKUP(A1583,Revisión!$A$2:$L$703,12,FALSE),""))</f>
        <v>Persicaria senticosa</v>
      </c>
    </row>
    <row r="1584" spans="1:14" x14ac:dyDescent="0.3">
      <c r="A1584" t="s">
        <v>3263</v>
      </c>
      <c r="B1584" t="s">
        <v>3264</v>
      </c>
      <c r="C1584" t="s">
        <v>3264</v>
      </c>
      <c r="D1584" t="s">
        <v>3265</v>
      </c>
      <c r="E1584" t="s">
        <v>8</v>
      </c>
      <c r="F1584" t="s">
        <v>15</v>
      </c>
      <c r="H1584" s="23" t="str">
        <f>VLOOKUP(A1584,Revisión!$A$2:$L$703,6,FALSE)</f>
        <v>Persicaria odorata subsp. conspicua</v>
      </c>
      <c r="I1584" s="4" t="str">
        <f>VLOOKUP(A1584,Revisión!$A$2:$L$703,7,FALSE)</f>
        <v>-</v>
      </c>
      <c r="J1584" s="4" t="str">
        <f>VLOOKUP(A1584,Revisión!$A$2:$L$703,8,FALSE)</f>
        <v>Persicaria odorata subsp. conspicua</v>
      </c>
      <c r="K1584" s="4" t="str">
        <f>VLOOKUP(A1584,Revisión!$A$2:$L$703,9,FALSE)</f>
        <v>Persicaria odorata subsp. conspicua </v>
      </c>
      <c r="L1584" s="4" t="str">
        <f>VLOOKUP(A1584,Revisión!$A$2:$L$703,10,FALSE)</f>
        <v>Persicaria odorata subsp. conspicua </v>
      </c>
      <c r="M1584" s="18">
        <f>VLOOKUP(A1584,Revisión!$A$2:$L$703,11,FALSE)</f>
        <v>4</v>
      </c>
      <c r="N1584" s="30" t="str">
        <f>IF(E1584="Coinciden",D1584,IF(E1584="Revisar",VLOOKUP(A1584,Revisión!$A$2:$L$703,12,FALSE),""))</f>
        <v>Persicaria odorata subsp. conspicua </v>
      </c>
    </row>
    <row r="1585" spans="1:14" x14ac:dyDescent="0.3">
      <c r="A1585" t="s">
        <v>3266</v>
      </c>
      <c r="B1585" t="s">
        <v>3267</v>
      </c>
      <c r="C1585" t="s">
        <v>3267</v>
      </c>
      <c r="E1585" t="s">
        <v>8</v>
      </c>
      <c r="F1585" t="s">
        <v>323</v>
      </c>
      <c r="H1585" s="23" t="str">
        <f>VLOOKUP(A1585,Revisión!$A$2:$L$703,6,FALSE)</f>
        <v>Persicaria sagittata</v>
      </c>
      <c r="I1585" s="4" t="str">
        <f>VLOOKUP(A1585,Revisión!$A$2:$L$703,7,FALSE)</f>
        <v>-</v>
      </c>
      <c r="J1585" s="4" t="str">
        <f>VLOOKUP(A1585,Revisión!$A$2:$L$703,8,FALSE)</f>
        <v>Persicaria sagittata</v>
      </c>
      <c r="K1585" s="4" t="str">
        <f>VLOOKUP(A1585,Revisión!$A$2:$L$703,9,FALSE)</f>
        <v>Persicaria sagittata</v>
      </c>
      <c r="L1585" s="4" t="str">
        <f>VLOOKUP(A1585,Revisión!$A$2:$L$703,10,FALSE)</f>
        <v>Persicaria sagittata</v>
      </c>
      <c r="M1585" s="18">
        <f>VLOOKUP(A1585,Revisión!$A$2:$L$703,11,FALSE)</f>
        <v>5</v>
      </c>
      <c r="N1585" s="30" t="str">
        <f>IF(E1585="Coinciden",D1585,IF(E1585="Revisar",VLOOKUP(A1585,Revisión!$A$2:$L$703,12,FALSE),""))</f>
        <v>Persicaria sagittata</v>
      </c>
    </row>
    <row r="1586" spans="1:14" x14ac:dyDescent="0.3">
      <c r="A1586" t="s">
        <v>3268</v>
      </c>
      <c r="B1586" t="s">
        <v>3269</v>
      </c>
      <c r="C1586" t="s">
        <v>3269</v>
      </c>
      <c r="D1586" t="s">
        <v>3270</v>
      </c>
      <c r="E1586" t="s">
        <v>8</v>
      </c>
      <c r="F1586" t="s">
        <v>15</v>
      </c>
      <c r="H1586" s="23" t="str">
        <f>VLOOKUP(A1586,Revisión!$A$2:$L$703,6,FALSE)</f>
        <v>Persicaria pubescens</v>
      </c>
      <c r="I1586" s="4" t="str">
        <f>VLOOKUP(A1586,Revisión!$A$2:$L$703,7,FALSE)</f>
        <v>-</v>
      </c>
      <c r="J1586" s="4" t="str">
        <f>VLOOKUP(A1586,Revisión!$A$2:$L$703,8,FALSE)</f>
        <v>Persicaria pubescens</v>
      </c>
      <c r="K1586" s="4" t="str">
        <f>VLOOKUP(A1586,Revisión!$A$2:$L$703,9,FALSE)</f>
        <v>Persicaria pubescens</v>
      </c>
      <c r="L1586" s="4" t="str">
        <f>VLOOKUP(A1586,Revisión!$A$2:$L$703,10,FALSE)</f>
        <v>Persicaria pubescens</v>
      </c>
      <c r="M1586" s="18">
        <f>VLOOKUP(A1586,Revisión!$A$2:$L$703,11,FALSE)</f>
        <v>5</v>
      </c>
      <c r="N1586" s="30" t="str">
        <f>IF(E1586="Coinciden",D1586,IF(E1586="Revisar",VLOOKUP(A1586,Revisión!$A$2:$L$703,12,FALSE),""))</f>
        <v>Persicaria pubescens</v>
      </c>
    </row>
    <row r="1587" spans="1:14" x14ac:dyDescent="0.3">
      <c r="A1587" t="s">
        <v>3271</v>
      </c>
      <c r="B1587" t="s">
        <v>3272</v>
      </c>
      <c r="C1587" t="s">
        <v>3272</v>
      </c>
      <c r="D1587" t="s">
        <v>3273</v>
      </c>
      <c r="E1587" t="s">
        <v>8</v>
      </c>
      <c r="F1587" t="s">
        <v>15</v>
      </c>
      <c r="H1587" s="23" t="str">
        <f>VLOOKUP(A1587,Revisión!$A$2:$L$703,6,FALSE)</f>
        <v>Persicaria posumbu subsp. posumbu</v>
      </c>
      <c r="I1587" s="4" t="str">
        <f>VLOOKUP(A1587,Revisión!$A$2:$L$703,7,FALSE)</f>
        <v>-</v>
      </c>
      <c r="J1587" s="4" t="str">
        <f>VLOOKUP(A1587,Revisión!$A$2:$L$703,8,FALSE)</f>
        <v>Persicaria posumbu subsp. posumbu</v>
      </c>
      <c r="K1587" s="4" t="str">
        <f>VLOOKUP(A1587,Revisión!$A$2:$L$703,9,FALSE)</f>
        <v>Persicaria posumbu subsp. posumbu</v>
      </c>
      <c r="L1587" s="4" t="str">
        <f>VLOOKUP(A1587,Revisión!$A$2:$L$703,10,FALSE)</f>
        <v>Persicaria posumbu subsp. posumbu</v>
      </c>
      <c r="M1587" s="18">
        <f>VLOOKUP(A1587,Revisión!$A$2:$L$703,11,FALSE)</f>
        <v>5</v>
      </c>
      <c r="N1587" s="30" t="str">
        <f>IF(E1587="Coinciden",D1587,IF(E1587="Revisar",VLOOKUP(A1587,Revisión!$A$2:$L$703,12,FALSE),""))</f>
        <v>Persicaria posumbu subsp. posumbu</v>
      </c>
    </row>
    <row r="1588" spans="1:14" x14ac:dyDescent="0.3">
      <c r="A1588" t="s">
        <v>3274</v>
      </c>
      <c r="B1588" t="s">
        <v>3275</v>
      </c>
      <c r="C1588" t="s">
        <v>3275</v>
      </c>
      <c r="D1588" t="s">
        <v>3275</v>
      </c>
      <c r="E1588" t="s">
        <v>18</v>
      </c>
      <c r="F1588" t="s">
        <v>19</v>
      </c>
      <c r="H1588" s="23" t="e">
        <f>VLOOKUP(A1588,Revisión!$A$2:$L$703,6,FALSE)</f>
        <v>#N/A</v>
      </c>
      <c r="I1588" s="4" t="e">
        <f>VLOOKUP(A1588,Revisión!$A$2:$L$703,7,FALSE)</f>
        <v>#N/A</v>
      </c>
      <c r="J1588" s="4" t="e">
        <f>VLOOKUP(A1588,Revisión!$A$2:$L$703,8,FALSE)</f>
        <v>#N/A</v>
      </c>
      <c r="K1588" s="4" t="e">
        <f>VLOOKUP(A1588,Revisión!$A$2:$L$703,9,FALSE)</f>
        <v>#N/A</v>
      </c>
      <c r="L1588" s="4" t="e">
        <f>VLOOKUP(A1588,Revisión!$A$2:$L$703,10,FALSE)</f>
        <v>#N/A</v>
      </c>
      <c r="M1588" s="18" t="e">
        <f>VLOOKUP(A1588,Revisión!$A$2:$L$703,11,FALSE)</f>
        <v>#N/A</v>
      </c>
      <c r="N1588" s="30" t="str">
        <f>IF(E1588="Coinciden",D1588,IF(E1588="Revisar",VLOOKUP(A1588,Revisión!$A$2:$L$703,12,FALSE),""))</f>
        <v>Persicaria chinensis</v>
      </c>
    </row>
    <row r="1589" spans="1:14" x14ac:dyDescent="0.3">
      <c r="A1589" t="s">
        <v>3276</v>
      </c>
      <c r="B1589" t="s">
        <v>3267</v>
      </c>
      <c r="C1589" t="s">
        <v>3267</v>
      </c>
      <c r="D1589" t="s">
        <v>3267</v>
      </c>
      <c r="E1589" t="s">
        <v>18</v>
      </c>
      <c r="F1589" t="s">
        <v>19</v>
      </c>
      <c r="H1589" s="23" t="e">
        <f>VLOOKUP(A1589,Revisión!$A$2:$L$703,6,FALSE)</f>
        <v>#N/A</v>
      </c>
      <c r="I1589" s="4" t="e">
        <f>VLOOKUP(A1589,Revisión!$A$2:$L$703,7,FALSE)</f>
        <v>#N/A</v>
      </c>
      <c r="J1589" s="4" t="e">
        <f>VLOOKUP(A1589,Revisión!$A$2:$L$703,8,FALSE)</f>
        <v>#N/A</v>
      </c>
      <c r="K1589" s="4" t="e">
        <f>VLOOKUP(A1589,Revisión!$A$2:$L$703,9,FALSE)</f>
        <v>#N/A</v>
      </c>
      <c r="L1589" s="4" t="e">
        <f>VLOOKUP(A1589,Revisión!$A$2:$L$703,10,FALSE)</f>
        <v>#N/A</v>
      </c>
      <c r="M1589" s="18" t="e">
        <f>VLOOKUP(A1589,Revisión!$A$2:$L$703,11,FALSE)</f>
        <v>#N/A</v>
      </c>
      <c r="N1589" s="30" t="str">
        <f>IF(E1589="Coinciden",D1589,IF(E1589="Revisar",VLOOKUP(A1589,Revisión!$A$2:$L$703,12,FALSE),""))</f>
        <v>Persicaria sagittata</v>
      </c>
    </row>
    <row r="1590" spans="1:14" x14ac:dyDescent="0.3">
      <c r="A1590" t="s">
        <v>3277</v>
      </c>
      <c r="B1590" t="s">
        <v>3278</v>
      </c>
      <c r="C1590" t="s">
        <v>3278</v>
      </c>
      <c r="D1590" t="s">
        <v>3278</v>
      </c>
      <c r="E1590" t="s">
        <v>18</v>
      </c>
      <c r="F1590" t="s">
        <v>19</v>
      </c>
      <c r="H1590" s="23" t="e">
        <f>VLOOKUP(A1590,Revisión!$A$2:$L$703,6,FALSE)</f>
        <v>#N/A</v>
      </c>
      <c r="I1590" s="4" t="e">
        <f>VLOOKUP(A1590,Revisión!$A$2:$L$703,7,FALSE)</f>
        <v>#N/A</v>
      </c>
      <c r="J1590" s="4" t="e">
        <f>VLOOKUP(A1590,Revisión!$A$2:$L$703,8,FALSE)</f>
        <v>#N/A</v>
      </c>
      <c r="K1590" s="4" t="e">
        <f>VLOOKUP(A1590,Revisión!$A$2:$L$703,9,FALSE)</f>
        <v>#N/A</v>
      </c>
      <c r="L1590" s="4" t="e">
        <f>VLOOKUP(A1590,Revisión!$A$2:$L$703,10,FALSE)</f>
        <v>#N/A</v>
      </c>
      <c r="M1590" s="18" t="e">
        <f>VLOOKUP(A1590,Revisión!$A$2:$L$703,11,FALSE)</f>
        <v>#N/A</v>
      </c>
      <c r="N1590" s="30" t="str">
        <f>IF(E1590="Coinciden",D1590,IF(E1590="Revisar",VLOOKUP(A1590,Revisión!$A$2:$L$703,12,FALSE),""))</f>
        <v>Dalea purpurea</v>
      </c>
    </row>
    <row r="1591" spans="1:14" x14ac:dyDescent="0.3">
      <c r="A1591" t="s">
        <v>3279</v>
      </c>
      <c r="B1591" t="s">
        <v>3280</v>
      </c>
      <c r="C1591" t="s">
        <v>3280</v>
      </c>
      <c r="D1591" t="s">
        <v>3280</v>
      </c>
      <c r="E1591" t="s">
        <v>18</v>
      </c>
      <c r="F1591" t="s">
        <v>19</v>
      </c>
      <c r="H1591" s="23" t="e">
        <f>VLOOKUP(A1591,Revisión!$A$2:$L$703,6,FALSE)</f>
        <v>#N/A</v>
      </c>
      <c r="I1591" s="4" t="e">
        <f>VLOOKUP(A1591,Revisión!$A$2:$L$703,7,FALSE)</f>
        <v>#N/A</v>
      </c>
      <c r="J1591" s="4" t="e">
        <f>VLOOKUP(A1591,Revisión!$A$2:$L$703,8,FALSE)</f>
        <v>#N/A</v>
      </c>
      <c r="K1591" s="4" t="e">
        <f>VLOOKUP(A1591,Revisión!$A$2:$L$703,9,FALSE)</f>
        <v>#N/A</v>
      </c>
      <c r="L1591" s="4" t="e">
        <f>VLOOKUP(A1591,Revisión!$A$2:$L$703,10,FALSE)</f>
        <v>#N/A</v>
      </c>
      <c r="M1591" s="18" t="e">
        <f>VLOOKUP(A1591,Revisión!$A$2:$L$703,11,FALSE)</f>
        <v>#N/A</v>
      </c>
      <c r="N1591" s="30" t="str">
        <f>IF(E1591="Coinciden",D1591,IF(E1591="Revisar",VLOOKUP(A1591,Revisión!$A$2:$L$703,12,FALSE),""))</f>
        <v>Dalea candida</v>
      </c>
    </row>
    <row r="1592" spans="1:14" x14ac:dyDescent="0.3">
      <c r="A1592" t="s">
        <v>3281</v>
      </c>
      <c r="C1592" t="s">
        <v>3278</v>
      </c>
      <c r="D1592" t="s">
        <v>3278</v>
      </c>
      <c r="E1592" t="s">
        <v>8</v>
      </c>
      <c r="F1592" t="s">
        <v>49</v>
      </c>
      <c r="H1592" s="23" t="str">
        <f>VLOOKUP(A1592,Revisión!$A$2:$L$703,6,FALSE)</f>
        <v>Dalea purpurea</v>
      </c>
      <c r="I1592" s="4" t="str">
        <f>VLOOKUP(A1592,Revisión!$A$2:$L$703,7,FALSE)</f>
        <v>-</v>
      </c>
      <c r="J1592" s="4" t="str">
        <f>VLOOKUP(A1592,Revisión!$A$2:$L$703,8,FALSE)</f>
        <v>Dalea purpurea</v>
      </c>
      <c r="K1592" s="4" t="str">
        <f>VLOOKUP(A1592,Revisión!$A$2:$L$703,9,FALSE)</f>
        <v>Dalea purpurea</v>
      </c>
      <c r="L1592" s="4" t="str">
        <f>VLOOKUP(A1592,Revisión!$A$2:$L$703,10,FALSE)</f>
        <v>Dalea purpurea</v>
      </c>
      <c r="M1592" s="18">
        <f>VLOOKUP(A1592,Revisión!$A$2:$L$703,11,FALSE)</f>
        <v>4</v>
      </c>
      <c r="N1592" s="30" t="str">
        <f>IF(E1592="Coinciden",D1592,IF(E1592="Revisar",VLOOKUP(A1592,Revisión!$A$2:$L$703,12,FALSE),""))</f>
        <v>Dalea purpurea</v>
      </c>
    </row>
    <row r="1593" spans="1:14" x14ac:dyDescent="0.3">
      <c r="A1593" t="s">
        <v>3282</v>
      </c>
      <c r="C1593" t="s">
        <v>3280</v>
      </c>
      <c r="D1593" t="s">
        <v>3280</v>
      </c>
      <c r="E1593" t="s">
        <v>8</v>
      </c>
      <c r="F1593" t="s">
        <v>49</v>
      </c>
      <c r="H1593" s="23" t="str">
        <f>VLOOKUP(A1593,Revisión!$A$2:$L$703,6,FALSE)</f>
        <v>Dalea candida</v>
      </c>
      <c r="I1593" s="4" t="str">
        <f>VLOOKUP(A1593,Revisión!$A$2:$L$703,7,FALSE)</f>
        <v>-</v>
      </c>
      <c r="J1593" s="4" t="str">
        <f>VLOOKUP(A1593,Revisión!$A$2:$L$703,8,FALSE)</f>
        <v>Dalea candida</v>
      </c>
      <c r="K1593" s="4" t="str">
        <f>VLOOKUP(A1593,Revisión!$A$2:$L$703,9,FALSE)</f>
        <v>Dalea candida</v>
      </c>
      <c r="L1593" s="4" t="str">
        <f>VLOOKUP(A1593,Revisión!$A$2:$L$703,10,FALSE)</f>
        <v>Dalea candida</v>
      </c>
      <c r="M1593" s="18">
        <f>VLOOKUP(A1593,Revisión!$A$2:$L$703,11,FALSE)</f>
        <v>4</v>
      </c>
      <c r="N1593" s="30" t="str">
        <f>IF(E1593="Coinciden",D1593,IF(E1593="Revisar",VLOOKUP(A1593,Revisión!$A$2:$L$703,12,FALSE),""))</f>
        <v>Dalea candida</v>
      </c>
    </row>
    <row r="1594" spans="1:14" x14ac:dyDescent="0.3">
      <c r="A1594" t="s">
        <v>3283</v>
      </c>
      <c r="B1594" t="s">
        <v>3284</v>
      </c>
      <c r="C1594" t="s">
        <v>3284</v>
      </c>
      <c r="D1594" t="s">
        <v>3284</v>
      </c>
      <c r="E1594" t="s">
        <v>18</v>
      </c>
      <c r="F1594" t="s">
        <v>19</v>
      </c>
      <c r="H1594" s="23" t="e">
        <f>VLOOKUP(A1594,Revisión!$A$2:$L$703,6,FALSE)</f>
        <v>#N/A</v>
      </c>
      <c r="I1594" s="4" t="e">
        <f>VLOOKUP(A1594,Revisión!$A$2:$L$703,7,FALSE)</f>
        <v>#N/A</v>
      </c>
      <c r="J1594" s="4" t="e">
        <f>VLOOKUP(A1594,Revisión!$A$2:$L$703,8,FALSE)</f>
        <v>#N/A</v>
      </c>
      <c r="K1594" s="4" t="e">
        <f>VLOOKUP(A1594,Revisión!$A$2:$L$703,9,FALSE)</f>
        <v>#N/A</v>
      </c>
      <c r="L1594" s="4" t="e">
        <f>VLOOKUP(A1594,Revisión!$A$2:$L$703,10,FALSE)</f>
        <v>#N/A</v>
      </c>
      <c r="M1594" s="18" t="e">
        <f>VLOOKUP(A1594,Revisión!$A$2:$L$703,11,FALSE)</f>
        <v>#N/A</v>
      </c>
      <c r="N1594" s="30" t="str">
        <f>IF(E1594="Coinciden",D1594,IF(E1594="Revisar",VLOOKUP(A1594,Revisión!$A$2:$L$703,12,FALSE),""))</f>
        <v>Petasites frigidus</v>
      </c>
    </row>
    <row r="1595" spans="1:14" x14ac:dyDescent="0.3">
      <c r="A1595" t="s">
        <v>3285</v>
      </c>
      <c r="B1595" t="s">
        <v>3286</v>
      </c>
      <c r="C1595" t="s">
        <v>3286</v>
      </c>
      <c r="D1595" t="s">
        <v>3286</v>
      </c>
      <c r="E1595" t="s">
        <v>18</v>
      </c>
      <c r="F1595" t="s">
        <v>19</v>
      </c>
      <c r="H1595" s="23" t="e">
        <f>VLOOKUP(A1595,Revisión!$A$2:$L$703,6,FALSE)</f>
        <v>#N/A</v>
      </c>
      <c r="I1595" s="4" t="e">
        <f>VLOOKUP(A1595,Revisión!$A$2:$L$703,7,FALSE)</f>
        <v>#N/A</v>
      </c>
      <c r="J1595" s="4" t="e">
        <f>VLOOKUP(A1595,Revisión!$A$2:$L$703,8,FALSE)</f>
        <v>#N/A</v>
      </c>
      <c r="K1595" s="4" t="e">
        <f>VLOOKUP(A1595,Revisión!$A$2:$L$703,9,FALSE)</f>
        <v>#N/A</v>
      </c>
      <c r="L1595" s="4" t="e">
        <f>VLOOKUP(A1595,Revisión!$A$2:$L$703,10,FALSE)</f>
        <v>#N/A</v>
      </c>
      <c r="M1595" s="18" t="e">
        <f>VLOOKUP(A1595,Revisión!$A$2:$L$703,11,FALSE)</f>
        <v>#N/A</v>
      </c>
      <c r="N1595" s="30" t="str">
        <f>IF(E1595="Coinciden",D1595,IF(E1595="Revisar",VLOOKUP(A1595,Revisión!$A$2:$L$703,12,FALSE),""))</f>
        <v>Petasites japonicus</v>
      </c>
    </row>
    <row r="1596" spans="1:14" x14ac:dyDescent="0.3">
      <c r="A1596" t="s">
        <v>3287</v>
      </c>
      <c r="E1596" t="s">
        <v>8</v>
      </c>
      <c r="F1596" t="s">
        <v>11</v>
      </c>
      <c r="H1596" s="23" t="e">
        <f>VLOOKUP(A1596,Revisión!$A$2:$L$703,6,FALSE)</f>
        <v>#N/A</v>
      </c>
      <c r="I1596" s="4" t="e">
        <f>VLOOKUP(A1596,Revisión!$A$2:$L$703,7,FALSE)</f>
        <v>#N/A</v>
      </c>
      <c r="J1596" s="4" t="e">
        <f>VLOOKUP(A1596,Revisión!$A$2:$L$703,8,FALSE)</f>
        <v>#N/A</v>
      </c>
      <c r="K1596" s="4" t="e">
        <f>VLOOKUP(A1596,Revisión!$A$2:$L$703,9,FALSE)</f>
        <v>#N/A</v>
      </c>
      <c r="L1596" s="4" t="e">
        <f>VLOOKUP(A1596,Revisión!$A$2:$L$703,10,FALSE)</f>
        <v>#N/A</v>
      </c>
      <c r="M1596" s="18" t="e">
        <f>VLOOKUP(A1596,Revisión!$A$2:$L$703,11,FALSE)</f>
        <v>#N/A</v>
      </c>
      <c r="N1596" s="30" t="e">
        <f>IF(E1596="Coinciden",D1596,IF(E1596="Revisar",VLOOKUP(A1596,Revisión!$A$2:$L$703,12,FALSE),""))</f>
        <v>#N/A</v>
      </c>
    </row>
    <row r="1597" spans="1:14" x14ac:dyDescent="0.3">
      <c r="A1597" t="s">
        <v>3288</v>
      </c>
      <c r="B1597" t="s">
        <v>3289</v>
      </c>
      <c r="C1597" t="s">
        <v>3289</v>
      </c>
      <c r="D1597" t="s">
        <v>3289</v>
      </c>
      <c r="E1597" t="s">
        <v>18</v>
      </c>
      <c r="F1597" t="s">
        <v>19</v>
      </c>
      <c r="H1597" s="23" t="e">
        <f>VLOOKUP(A1597,Revisión!$A$2:$L$703,6,FALSE)</f>
        <v>#N/A</v>
      </c>
      <c r="I1597" s="4" t="e">
        <f>VLOOKUP(A1597,Revisión!$A$2:$L$703,7,FALSE)</f>
        <v>#N/A</v>
      </c>
      <c r="J1597" s="4" t="e">
        <f>VLOOKUP(A1597,Revisión!$A$2:$L$703,8,FALSE)</f>
        <v>#N/A</v>
      </c>
      <c r="K1597" s="4" t="e">
        <f>VLOOKUP(A1597,Revisión!$A$2:$L$703,9,FALSE)</f>
        <v>#N/A</v>
      </c>
      <c r="L1597" s="4" t="e">
        <f>VLOOKUP(A1597,Revisión!$A$2:$L$703,10,FALSE)</f>
        <v>#N/A</v>
      </c>
      <c r="M1597" s="18" t="e">
        <f>VLOOKUP(A1597,Revisión!$A$2:$L$703,11,FALSE)</f>
        <v>#N/A</v>
      </c>
      <c r="N1597" s="30" t="str">
        <f>IF(E1597="Coinciden",D1597,IF(E1597="Revisar",VLOOKUP(A1597,Revisión!$A$2:$L$703,12,FALSE),""))</f>
        <v>Petrorhagia dubia</v>
      </c>
    </row>
    <row r="1598" spans="1:14" x14ac:dyDescent="0.3">
      <c r="A1598" t="s">
        <v>3290</v>
      </c>
      <c r="B1598" t="s">
        <v>3291</v>
      </c>
      <c r="C1598" t="s">
        <v>3291</v>
      </c>
      <c r="D1598" t="s">
        <v>3291</v>
      </c>
      <c r="E1598" t="s">
        <v>18</v>
      </c>
      <c r="F1598" t="s">
        <v>19</v>
      </c>
      <c r="H1598" s="23" t="e">
        <f>VLOOKUP(A1598,Revisión!$A$2:$L$703,6,FALSE)</f>
        <v>#N/A</v>
      </c>
      <c r="I1598" s="4" t="e">
        <f>VLOOKUP(A1598,Revisión!$A$2:$L$703,7,FALSE)</f>
        <v>#N/A</v>
      </c>
      <c r="J1598" s="4" t="e">
        <f>VLOOKUP(A1598,Revisión!$A$2:$L$703,8,FALSE)</f>
        <v>#N/A</v>
      </c>
      <c r="K1598" s="4" t="e">
        <f>VLOOKUP(A1598,Revisión!$A$2:$L$703,9,FALSE)</f>
        <v>#N/A</v>
      </c>
      <c r="L1598" s="4" t="e">
        <f>VLOOKUP(A1598,Revisión!$A$2:$L$703,10,FALSE)</f>
        <v>#N/A</v>
      </c>
      <c r="M1598" s="18" t="e">
        <f>VLOOKUP(A1598,Revisión!$A$2:$L$703,11,FALSE)</f>
        <v>#N/A</v>
      </c>
      <c r="N1598" s="30" t="str">
        <f>IF(E1598="Coinciden",D1598,IF(E1598="Revisar",VLOOKUP(A1598,Revisión!$A$2:$L$703,12,FALSE),""))</f>
        <v>Petunia axillaris</v>
      </c>
    </row>
    <row r="1599" spans="1:14" x14ac:dyDescent="0.3">
      <c r="A1599" t="s">
        <v>3292</v>
      </c>
      <c r="C1599" t="s">
        <v>3293</v>
      </c>
      <c r="D1599" t="s">
        <v>3293</v>
      </c>
      <c r="E1599" t="s">
        <v>8</v>
      </c>
      <c r="F1599" t="s">
        <v>49</v>
      </c>
      <c r="H1599" s="23" t="str">
        <f>VLOOKUP(A1599,Revisión!$A$2:$L$703,6,FALSE)</f>
        <v>Peucedanum japonicum</v>
      </c>
      <c r="I1599" s="4" t="str">
        <f>VLOOKUP(A1599,Revisión!$A$2:$L$703,7,FALSE)</f>
        <v>-</v>
      </c>
      <c r="J1599" s="4" t="str">
        <f>VLOOKUP(A1599,Revisión!$A$2:$L$703,8,FALSE)</f>
        <v>Peucedanum japonicum</v>
      </c>
      <c r="K1599" s="4" t="str">
        <f>VLOOKUP(A1599,Revisión!$A$2:$L$703,9,FALSE)</f>
        <v>Peucedanum japonicum</v>
      </c>
      <c r="L1599" s="4" t="str">
        <f>VLOOKUP(A1599,Revisión!$A$2:$L$703,10,FALSE)</f>
        <v>Peucedanum japonicum</v>
      </c>
      <c r="M1599" s="18">
        <f>VLOOKUP(A1599,Revisión!$A$2:$L$703,11,FALSE)</f>
        <v>4</v>
      </c>
      <c r="N1599" s="30" t="str">
        <f>IF(E1599="Coinciden",D1599,IF(E1599="Revisar",VLOOKUP(A1599,Revisión!$A$2:$L$703,12,FALSE),""))</f>
        <v>Peucedanum japonicum</v>
      </c>
    </row>
    <row r="1600" spans="1:14" x14ac:dyDescent="0.3">
      <c r="A1600" t="s">
        <v>3294</v>
      </c>
      <c r="B1600" t="s">
        <v>3295</v>
      </c>
      <c r="C1600" t="s">
        <v>3295</v>
      </c>
      <c r="D1600" t="s">
        <v>3295</v>
      </c>
      <c r="E1600" t="s">
        <v>18</v>
      </c>
      <c r="F1600" t="s">
        <v>19</v>
      </c>
      <c r="H1600" s="23" t="e">
        <f>VLOOKUP(A1600,Revisión!$A$2:$L$703,6,FALSE)</f>
        <v>#N/A</v>
      </c>
      <c r="I1600" s="4" t="e">
        <f>VLOOKUP(A1600,Revisión!$A$2:$L$703,7,FALSE)</f>
        <v>#N/A</v>
      </c>
      <c r="J1600" s="4" t="e">
        <f>VLOOKUP(A1600,Revisión!$A$2:$L$703,8,FALSE)</f>
        <v>#N/A</v>
      </c>
      <c r="K1600" s="4" t="e">
        <f>VLOOKUP(A1600,Revisión!$A$2:$L$703,9,FALSE)</f>
        <v>#N/A</v>
      </c>
      <c r="L1600" s="4" t="e">
        <f>VLOOKUP(A1600,Revisión!$A$2:$L$703,10,FALSE)</f>
        <v>#N/A</v>
      </c>
      <c r="M1600" s="18" t="e">
        <f>VLOOKUP(A1600,Revisión!$A$2:$L$703,11,FALSE)</f>
        <v>#N/A</v>
      </c>
      <c r="N1600" s="30" t="str">
        <f>IF(E1600="Coinciden",D1600,IF(E1600="Revisar",VLOOKUP(A1600,Revisión!$A$2:$L$703,12,FALSE),""))</f>
        <v>Phacelia secunda</v>
      </c>
    </row>
    <row r="1601" spans="1:14" x14ac:dyDescent="0.3">
      <c r="A1601" t="s">
        <v>3296</v>
      </c>
      <c r="B1601" t="s">
        <v>3297</v>
      </c>
      <c r="C1601" t="s">
        <v>3297</v>
      </c>
      <c r="D1601" t="s">
        <v>3297</v>
      </c>
      <c r="E1601" t="s">
        <v>18</v>
      </c>
      <c r="F1601" t="s">
        <v>19</v>
      </c>
      <c r="H1601" s="23" t="e">
        <f>VLOOKUP(A1601,Revisión!$A$2:$L$703,6,FALSE)</f>
        <v>#N/A</v>
      </c>
      <c r="I1601" s="4" t="e">
        <f>VLOOKUP(A1601,Revisión!$A$2:$L$703,7,FALSE)</f>
        <v>#N/A</v>
      </c>
      <c r="J1601" s="4" t="e">
        <f>VLOOKUP(A1601,Revisión!$A$2:$L$703,8,FALSE)</f>
        <v>#N/A</v>
      </c>
      <c r="K1601" s="4" t="e">
        <f>VLOOKUP(A1601,Revisión!$A$2:$L$703,9,FALSE)</f>
        <v>#N/A</v>
      </c>
      <c r="L1601" s="4" t="e">
        <f>VLOOKUP(A1601,Revisión!$A$2:$L$703,10,FALSE)</f>
        <v>#N/A</v>
      </c>
      <c r="M1601" s="18" t="e">
        <f>VLOOKUP(A1601,Revisión!$A$2:$L$703,11,FALSE)</f>
        <v>#N/A</v>
      </c>
      <c r="N1601" s="30" t="str">
        <f>IF(E1601="Coinciden",D1601,IF(E1601="Revisar",VLOOKUP(A1601,Revisión!$A$2:$L$703,12,FALSE),""))</f>
        <v>Phacelia heterophylla</v>
      </c>
    </row>
    <row r="1602" spans="1:14" x14ac:dyDescent="0.3">
      <c r="A1602" t="s">
        <v>3298</v>
      </c>
      <c r="B1602" t="s">
        <v>3299</v>
      </c>
      <c r="C1602" t="s">
        <v>3299</v>
      </c>
      <c r="D1602" t="s">
        <v>3300</v>
      </c>
      <c r="E1602" t="s">
        <v>8</v>
      </c>
      <c r="F1602" t="s">
        <v>15</v>
      </c>
      <c r="H1602" s="23" t="str">
        <f>VLOOKUP(A1602,Revisión!$A$2:$L$703,6,FALSE)</f>
        <v>Phagnalon graecum</v>
      </c>
      <c r="I1602" s="4" t="str">
        <f>VLOOKUP(A1602,Revisión!$A$2:$L$703,7,FALSE)</f>
        <v>-</v>
      </c>
      <c r="J1602" s="4" t="str">
        <f>VLOOKUP(A1602,Revisión!$A$2:$L$703,8,FALSE)</f>
        <v>Phagnalon graecum</v>
      </c>
      <c r="K1602" s="4" t="str">
        <f>VLOOKUP(A1602,Revisión!$A$2:$L$703,9,FALSE)</f>
        <v>Phagnalon graecum</v>
      </c>
      <c r="L1602" s="4" t="str">
        <f>VLOOKUP(A1602,Revisión!$A$2:$L$703,10,FALSE)</f>
        <v>Phagnalon graecum</v>
      </c>
      <c r="M1602" s="18">
        <f>VLOOKUP(A1602,Revisión!$A$2:$L$703,11,FALSE)</f>
        <v>5</v>
      </c>
      <c r="N1602" s="30" t="str">
        <f>IF(E1602="Coinciden",D1602,IF(E1602="Revisar",VLOOKUP(A1602,Revisión!$A$2:$L$703,12,FALSE),""))</f>
        <v>Phagnalon graecum</v>
      </c>
    </row>
    <row r="1603" spans="1:14" x14ac:dyDescent="0.3">
      <c r="A1603" t="s">
        <v>3301</v>
      </c>
      <c r="B1603" t="s">
        <v>3302</v>
      </c>
      <c r="C1603" t="s">
        <v>3302</v>
      </c>
      <c r="D1603" t="s">
        <v>3302</v>
      </c>
      <c r="E1603" t="s">
        <v>18</v>
      </c>
      <c r="F1603" t="s">
        <v>19</v>
      </c>
      <c r="H1603" s="23" t="e">
        <f>VLOOKUP(A1603,Revisión!$A$2:$L$703,6,FALSE)</f>
        <v>#N/A</v>
      </c>
      <c r="I1603" s="4" t="e">
        <f>VLOOKUP(A1603,Revisión!$A$2:$L$703,7,FALSE)</f>
        <v>#N/A</v>
      </c>
      <c r="J1603" s="4" t="e">
        <f>VLOOKUP(A1603,Revisión!$A$2:$L$703,8,FALSE)</f>
        <v>#N/A</v>
      </c>
      <c r="K1603" s="4" t="e">
        <f>VLOOKUP(A1603,Revisión!$A$2:$L$703,9,FALSE)</f>
        <v>#N/A</v>
      </c>
      <c r="L1603" s="4" t="e">
        <f>VLOOKUP(A1603,Revisión!$A$2:$L$703,10,FALSE)</f>
        <v>#N/A</v>
      </c>
      <c r="M1603" s="18" t="e">
        <f>VLOOKUP(A1603,Revisión!$A$2:$L$703,11,FALSE)</f>
        <v>#N/A</v>
      </c>
      <c r="N1603" s="30" t="str">
        <f>IF(E1603="Coinciden",D1603,IF(E1603="Revisar",VLOOKUP(A1603,Revisión!$A$2:$L$703,12,FALSE),""))</f>
        <v>Nematolepis ovatifolia</v>
      </c>
    </row>
    <row r="1604" spans="1:14" x14ac:dyDescent="0.3">
      <c r="A1604" t="s">
        <v>3303</v>
      </c>
      <c r="B1604" t="s">
        <v>3304</v>
      </c>
      <c r="C1604" t="s">
        <v>3304</v>
      </c>
      <c r="D1604" t="s">
        <v>3304</v>
      </c>
      <c r="E1604" t="s">
        <v>18</v>
      </c>
      <c r="F1604" t="s">
        <v>19</v>
      </c>
      <c r="H1604" s="23" t="e">
        <f>VLOOKUP(A1604,Revisión!$A$2:$L$703,6,FALSE)</f>
        <v>#N/A</v>
      </c>
      <c r="I1604" s="4" t="e">
        <f>VLOOKUP(A1604,Revisión!$A$2:$L$703,7,FALSE)</f>
        <v>#N/A</v>
      </c>
      <c r="J1604" s="4" t="e">
        <f>VLOOKUP(A1604,Revisión!$A$2:$L$703,8,FALSE)</f>
        <v>#N/A</v>
      </c>
      <c r="K1604" s="4" t="e">
        <f>VLOOKUP(A1604,Revisión!$A$2:$L$703,9,FALSE)</f>
        <v>#N/A</v>
      </c>
      <c r="L1604" s="4" t="e">
        <f>VLOOKUP(A1604,Revisión!$A$2:$L$703,10,FALSE)</f>
        <v>#N/A</v>
      </c>
      <c r="M1604" s="18" t="e">
        <f>VLOOKUP(A1604,Revisión!$A$2:$L$703,11,FALSE)</f>
        <v>#N/A</v>
      </c>
      <c r="N1604" s="30" t="str">
        <f>IF(E1604="Coinciden",D1604,IF(E1604="Revisar",VLOOKUP(A1604,Revisión!$A$2:$L$703,12,FALSE),""))</f>
        <v>Phellodendron amurense</v>
      </c>
    </row>
    <row r="1605" spans="1:14" x14ac:dyDescent="0.3">
      <c r="A1605" t="s">
        <v>3305</v>
      </c>
      <c r="B1605" t="s">
        <v>3306</v>
      </c>
      <c r="C1605" t="s">
        <v>3306</v>
      </c>
      <c r="D1605" t="s">
        <v>3306</v>
      </c>
      <c r="E1605" t="s">
        <v>18</v>
      </c>
      <c r="F1605" t="s">
        <v>19</v>
      </c>
      <c r="H1605" s="23" t="e">
        <f>VLOOKUP(A1605,Revisión!$A$2:$L$703,6,FALSE)</f>
        <v>#N/A</v>
      </c>
      <c r="I1605" s="4" t="e">
        <f>VLOOKUP(A1605,Revisión!$A$2:$L$703,7,FALSE)</f>
        <v>#N/A</v>
      </c>
      <c r="J1605" s="4" t="e">
        <f>VLOOKUP(A1605,Revisión!$A$2:$L$703,8,FALSE)</f>
        <v>#N/A</v>
      </c>
      <c r="K1605" s="4" t="e">
        <f>VLOOKUP(A1605,Revisión!$A$2:$L$703,9,FALSE)</f>
        <v>#N/A</v>
      </c>
      <c r="L1605" s="4" t="e">
        <f>VLOOKUP(A1605,Revisión!$A$2:$L$703,10,FALSE)</f>
        <v>#N/A</v>
      </c>
      <c r="M1605" s="18" t="e">
        <f>VLOOKUP(A1605,Revisión!$A$2:$L$703,11,FALSE)</f>
        <v>#N/A</v>
      </c>
      <c r="N1605" s="30" t="str">
        <f>IF(E1605="Coinciden",D1605,IF(E1605="Revisar",VLOOKUP(A1605,Revisión!$A$2:$L$703,12,FALSE),""))</f>
        <v>Philadelphus coronarius</v>
      </c>
    </row>
    <row r="1606" spans="1:14" x14ac:dyDescent="0.3">
      <c r="A1606" t="s">
        <v>3307</v>
      </c>
      <c r="B1606" t="s">
        <v>3308</v>
      </c>
      <c r="C1606" t="s">
        <v>3308</v>
      </c>
      <c r="D1606" t="s">
        <v>3308</v>
      </c>
      <c r="E1606" t="s">
        <v>18</v>
      </c>
      <c r="F1606" t="s">
        <v>19</v>
      </c>
      <c r="H1606" s="23" t="e">
        <f>VLOOKUP(A1606,Revisión!$A$2:$L$703,6,FALSE)</f>
        <v>#N/A</v>
      </c>
      <c r="I1606" s="4" t="e">
        <f>VLOOKUP(A1606,Revisión!$A$2:$L$703,7,FALSE)</f>
        <v>#N/A</v>
      </c>
      <c r="J1606" s="4" t="e">
        <f>VLOOKUP(A1606,Revisión!$A$2:$L$703,8,FALSE)</f>
        <v>#N/A</v>
      </c>
      <c r="K1606" s="4" t="e">
        <f>VLOOKUP(A1606,Revisión!$A$2:$L$703,9,FALSE)</f>
        <v>#N/A</v>
      </c>
      <c r="L1606" s="4" t="e">
        <f>VLOOKUP(A1606,Revisión!$A$2:$L$703,10,FALSE)</f>
        <v>#N/A</v>
      </c>
      <c r="M1606" s="18" t="e">
        <f>VLOOKUP(A1606,Revisión!$A$2:$L$703,11,FALSE)</f>
        <v>#N/A</v>
      </c>
      <c r="N1606" s="30" t="str">
        <f>IF(E1606="Coinciden",D1606,IF(E1606="Revisar",VLOOKUP(A1606,Revisión!$A$2:$L$703,12,FALSE),""))</f>
        <v>Philadelphus satsumi</v>
      </c>
    </row>
    <row r="1607" spans="1:14" x14ac:dyDescent="0.3">
      <c r="A1607" t="s">
        <v>3309</v>
      </c>
      <c r="D1607" t="s">
        <v>3306</v>
      </c>
      <c r="E1607" t="s">
        <v>8</v>
      </c>
      <c r="F1607" t="s">
        <v>9</v>
      </c>
      <c r="H1607" s="23" t="str">
        <f>VLOOKUP(A1607,Revisión!$A$2:$L$703,6,FALSE)</f>
        <v>Philadelphus inodorus</v>
      </c>
      <c r="I1607" s="4" t="str">
        <f>VLOOKUP(A1607,Revisión!$A$2:$L$703,7,FALSE)</f>
        <v>-</v>
      </c>
      <c r="J1607" s="4" t="str">
        <f>VLOOKUP(A1607,Revisión!$A$2:$L$703,8,FALSE)</f>
        <v>Philadelphus inodorus</v>
      </c>
      <c r="K1607" s="4" t="str">
        <f>VLOOKUP(A1607,Revisión!$A$2:$L$703,9,FALSE)</f>
        <v>Philadelphus inodorus</v>
      </c>
      <c r="L1607" s="4" t="str">
        <f>VLOOKUP(A1607,Revisión!$A$2:$L$703,10,FALSE)</f>
        <v>Philadelphus inodorus</v>
      </c>
      <c r="M1607" s="18">
        <f>VLOOKUP(A1607,Revisión!$A$2:$L$703,11,FALSE)</f>
        <v>4</v>
      </c>
      <c r="N1607" s="30" t="str">
        <f>IF(E1607="Coinciden",D1607,IF(E1607="Revisar",VLOOKUP(A1607,Revisión!$A$2:$L$703,12,FALSE),""))</f>
        <v>Philadelphus inodorus</v>
      </c>
    </row>
    <row r="1608" spans="1:14" x14ac:dyDescent="0.3">
      <c r="A1608" t="s">
        <v>3310</v>
      </c>
      <c r="B1608" t="s">
        <v>3311</v>
      </c>
      <c r="C1608" t="s">
        <v>3311</v>
      </c>
      <c r="D1608" t="s">
        <v>3311</v>
      </c>
      <c r="E1608" t="s">
        <v>18</v>
      </c>
      <c r="F1608" t="s">
        <v>19</v>
      </c>
      <c r="H1608" s="23" t="e">
        <f>VLOOKUP(A1608,Revisión!$A$2:$L$703,6,FALSE)</f>
        <v>#N/A</v>
      </c>
      <c r="I1608" s="4" t="e">
        <f>VLOOKUP(A1608,Revisión!$A$2:$L$703,7,FALSE)</f>
        <v>#N/A</v>
      </c>
      <c r="J1608" s="4" t="e">
        <f>VLOOKUP(A1608,Revisión!$A$2:$L$703,8,FALSE)</f>
        <v>#N/A</v>
      </c>
      <c r="K1608" s="4" t="e">
        <f>VLOOKUP(A1608,Revisión!$A$2:$L$703,9,FALSE)</f>
        <v>#N/A</v>
      </c>
      <c r="L1608" s="4" t="e">
        <f>VLOOKUP(A1608,Revisión!$A$2:$L$703,10,FALSE)</f>
        <v>#N/A</v>
      </c>
      <c r="M1608" s="18" t="e">
        <f>VLOOKUP(A1608,Revisión!$A$2:$L$703,11,FALSE)</f>
        <v>#N/A</v>
      </c>
      <c r="N1608" s="30" t="str">
        <f>IF(E1608="Coinciden",D1608,IF(E1608="Revisar",VLOOKUP(A1608,Revisión!$A$2:$L$703,12,FALSE),""))</f>
        <v>Phillyrea angustifolia</v>
      </c>
    </row>
    <row r="1609" spans="1:14" x14ac:dyDescent="0.3">
      <c r="A1609" t="s">
        <v>3312</v>
      </c>
      <c r="B1609" t="s">
        <v>3313</v>
      </c>
      <c r="C1609" t="s">
        <v>3313</v>
      </c>
      <c r="D1609" t="s">
        <v>3313</v>
      </c>
      <c r="E1609" t="s">
        <v>18</v>
      </c>
      <c r="F1609" t="s">
        <v>19</v>
      </c>
      <c r="H1609" s="23" t="e">
        <f>VLOOKUP(A1609,Revisión!$A$2:$L$703,6,FALSE)</f>
        <v>#N/A</v>
      </c>
      <c r="I1609" s="4" t="e">
        <f>VLOOKUP(A1609,Revisión!$A$2:$L$703,7,FALSE)</f>
        <v>#N/A</v>
      </c>
      <c r="J1609" s="4" t="e">
        <f>VLOOKUP(A1609,Revisión!$A$2:$L$703,8,FALSE)</f>
        <v>#N/A</v>
      </c>
      <c r="K1609" s="4" t="e">
        <f>VLOOKUP(A1609,Revisión!$A$2:$L$703,9,FALSE)</f>
        <v>#N/A</v>
      </c>
      <c r="L1609" s="4" t="e">
        <f>VLOOKUP(A1609,Revisión!$A$2:$L$703,10,FALSE)</f>
        <v>#N/A</v>
      </c>
      <c r="M1609" s="18" t="e">
        <f>VLOOKUP(A1609,Revisión!$A$2:$L$703,11,FALSE)</f>
        <v>#N/A</v>
      </c>
      <c r="N1609" s="30" t="str">
        <f>IF(E1609="Coinciden",D1609,IF(E1609="Revisar",VLOOKUP(A1609,Revisión!$A$2:$L$703,12,FALSE),""))</f>
        <v>Philodendron callosum subsp. ptarianum</v>
      </c>
    </row>
    <row r="1610" spans="1:14" x14ac:dyDescent="0.3">
      <c r="A1610" t="s">
        <v>3314</v>
      </c>
      <c r="B1610" t="s">
        <v>3315</v>
      </c>
      <c r="D1610" t="s">
        <v>3316</v>
      </c>
      <c r="E1610" t="s">
        <v>8</v>
      </c>
      <c r="F1610" t="s">
        <v>9</v>
      </c>
      <c r="H1610" s="23" t="str">
        <f>VLOOKUP(A1610,Revisión!$A$2:$L$703,6,FALSE)</f>
        <v>Gomphrena vermicularis</v>
      </c>
      <c r="I1610" s="4" t="str">
        <f>VLOOKUP(A1610,Revisión!$A$2:$L$703,7,FALSE)</f>
        <v>-</v>
      </c>
      <c r="J1610" s="4" t="str">
        <f>VLOOKUP(A1610,Revisión!$A$2:$L$703,8,FALSE)</f>
        <v>Gomphrena vermicularis</v>
      </c>
      <c r="K1610" s="4" t="str">
        <f>VLOOKUP(A1610,Revisión!$A$2:$L$703,9,FALSE)</f>
        <v>Gomphrena vermicularis</v>
      </c>
      <c r="L1610" s="4" t="str">
        <f>VLOOKUP(A1610,Revisión!$A$2:$L$703,10,FALSE)</f>
        <v>Gomphrena vermicularis</v>
      </c>
      <c r="M1610" s="18">
        <f>VLOOKUP(A1610,Revisión!$A$2:$L$703,11,FALSE)</f>
        <v>4</v>
      </c>
      <c r="N1610" s="30" t="str">
        <f>IF(E1610="Coinciden",D1610,IF(E1610="Revisar",VLOOKUP(A1610,Revisión!$A$2:$L$703,12,FALSE),""))</f>
        <v>Gomphrena vermicularis</v>
      </c>
    </row>
    <row r="1611" spans="1:14" x14ac:dyDescent="0.3">
      <c r="A1611" t="s">
        <v>3317</v>
      </c>
      <c r="C1611" t="s">
        <v>3318</v>
      </c>
      <c r="D1611" t="s">
        <v>3318</v>
      </c>
      <c r="E1611" t="s">
        <v>8</v>
      </c>
      <c r="F1611" t="s">
        <v>49</v>
      </c>
      <c r="H1611" s="23" t="str">
        <f>VLOOKUP(A1611,Revisión!$A$2:$L$703,6,FALSE)</f>
        <v>Phlomis fruticosa</v>
      </c>
      <c r="I1611" s="4" t="str">
        <f>VLOOKUP(A1611,Revisión!$A$2:$L$703,7,FALSE)</f>
        <v>-</v>
      </c>
      <c r="J1611" s="4" t="str">
        <f>VLOOKUP(A1611,Revisión!$A$2:$L$703,8,FALSE)</f>
        <v>Phlomis fruticosa</v>
      </c>
      <c r="K1611" s="4" t="str">
        <f>VLOOKUP(A1611,Revisión!$A$2:$L$703,9,FALSE)</f>
        <v>Phlomis fruticosa</v>
      </c>
      <c r="L1611" s="4" t="str">
        <f>VLOOKUP(A1611,Revisión!$A$2:$L$703,10,FALSE)</f>
        <v>Phlomis fruticosa</v>
      </c>
      <c r="M1611" s="18">
        <f>VLOOKUP(A1611,Revisión!$A$2:$L$703,11,FALSE)</f>
        <v>5</v>
      </c>
      <c r="N1611" s="30" t="str">
        <f>IF(E1611="Coinciden",D1611,IF(E1611="Revisar",VLOOKUP(A1611,Revisión!$A$2:$L$703,12,FALSE),""))</f>
        <v>Phlomis fruticosa</v>
      </c>
    </row>
    <row r="1612" spans="1:14" x14ac:dyDescent="0.3">
      <c r="A1612" t="s">
        <v>3319</v>
      </c>
      <c r="B1612" t="s">
        <v>3320</v>
      </c>
      <c r="C1612" t="s">
        <v>3320</v>
      </c>
      <c r="D1612" t="s">
        <v>3320</v>
      </c>
      <c r="E1612" t="s">
        <v>18</v>
      </c>
      <c r="F1612" t="s">
        <v>19</v>
      </c>
      <c r="H1612" s="23" t="e">
        <f>VLOOKUP(A1612,Revisión!$A$2:$L$703,6,FALSE)</f>
        <v>#N/A</v>
      </c>
      <c r="I1612" s="4" t="e">
        <f>VLOOKUP(A1612,Revisión!$A$2:$L$703,7,FALSE)</f>
        <v>#N/A</v>
      </c>
      <c r="J1612" s="4" t="e">
        <f>VLOOKUP(A1612,Revisión!$A$2:$L$703,8,FALSE)</f>
        <v>#N/A</v>
      </c>
      <c r="K1612" s="4" t="e">
        <f>VLOOKUP(A1612,Revisión!$A$2:$L$703,9,FALSE)</f>
        <v>#N/A</v>
      </c>
      <c r="L1612" s="4" t="e">
        <f>VLOOKUP(A1612,Revisión!$A$2:$L$703,10,FALSE)</f>
        <v>#N/A</v>
      </c>
      <c r="M1612" s="18" t="e">
        <f>VLOOKUP(A1612,Revisión!$A$2:$L$703,11,FALSE)</f>
        <v>#N/A</v>
      </c>
      <c r="N1612" s="30" t="str">
        <f>IF(E1612="Coinciden",D1612,IF(E1612="Revisar",VLOOKUP(A1612,Revisión!$A$2:$L$703,12,FALSE),""))</f>
        <v>Phlox subulata</v>
      </c>
    </row>
    <row r="1613" spans="1:14" x14ac:dyDescent="0.3">
      <c r="A1613" t="s">
        <v>3321</v>
      </c>
      <c r="B1613" t="s">
        <v>3322</v>
      </c>
      <c r="C1613" t="s">
        <v>3322</v>
      </c>
      <c r="D1613" t="s">
        <v>3322</v>
      </c>
      <c r="E1613" t="s">
        <v>18</v>
      </c>
      <c r="F1613" t="s">
        <v>19</v>
      </c>
      <c r="H1613" s="23" t="e">
        <f>VLOOKUP(A1613,Revisión!$A$2:$L$703,6,FALSE)</f>
        <v>#N/A</v>
      </c>
      <c r="I1613" s="4" t="e">
        <f>VLOOKUP(A1613,Revisión!$A$2:$L$703,7,FALSE)</f>
        <v>#N/A</v>
      </c>
      <c r="J1613" s="4" t="e">
        <f>VLOOKUP(A1613,Revisión!$A$2:$L$703,8,FALSE)</f>
        <v>#N/A</v>
      </c>
      <c r="K1613" s="4" t="e">
        <f>VLOOKUP(A1613,Revisión!$A$2:$L$703,9,FALSE)</f>
        <v>#N/A</v>
      </c>
      <c r="L1613" s="4" t="e">
        <f>VLOOKUP(A1613,Revisión!$A$2:$L$703,10,FALSE)</f>
        <v>#N/A</v>
      </c>
      <c r="M1613" s="18" t="e">
        <f>VLOOKUP(A1613,Revisión!$A$2:$L$703,11,FALSE)</f>
        <v>#N/A</v>
      </c>
      <c r="N1613" s="30" t="str">
        <f>IF(E1613="Coinciden",D1613,IF(E1613="Revisar",VLOOKUP(A1613,Revisión!$A$2:$L$703,12,FALSE),""))</f>
        <v>Phlox pilosa</v>
      </c>
    </row>
    <row r="1614" spans="1:14" x14ac:dyDescent="0.3">
      <c r="A1614" t="s">
        <v>3323</v>
      </c>
      <c r="B1614" t="s">
        <v>3324</v>
      </c>
      <c r="C1614" t="s">
        <v>3324</v>
      </c>
      <c r="D1614" t="s">
        <v>3324</v>
      </c>
      <c r="E1614" t="s">
        <v>18</v>
      </c>
      <c r="F1614" t="s">
        <v>19</v>
      </c>
      <c r="H1614" s="23" t="e">
        <f>VLOOKUP(A1614,Revisión!$A$2:$L$703,6,FALSE)</f>
        <v>#N/A</v>
      </c>
      <c r="I1614" s="4" t="e">
        <f>VLOOKUP(A1614,Revisión!$A$2:$L$703,7,FALSE)</f>
        <v>#N/A</v>
      </c>
      <c r="J1614" s="4" t="e">
        <f>VLOOKUP(A1614,Revisión!$A$2:$L$703,8,FALSE)</f>
        <v>#N/A</v>
      </c>
      <c r="K1614" s="4" t="e">
        <f>VLOOKUP(A1614,Revisión!$A$2:$L$703,9,FALSE)</f>
        <v>#N/A</v>
      </c>
      <c r="L1614" s="4" t="e">
        <f>VLOOKUP(A1614,Revisión!$A$2:$L$703,10,FALSE)</f>
        <v>#N/A</v>
      </c>
      <c r="M1614" s="18" t="e">
        <f>VLOOKUP(A1614,Revisión!$A$2:$L$703,11,FALSE)</f>
        <v>#N/A</v>
      </c>
      <c r="N1614" s="30" t="str">
        <f>IF(E1614="Coinciden",D1614,IF(E1614="Revisar",VLOOKUP(A1614,Revisión!$A$2:$L$703,12,FALSE),""))</f>
        <v>Phlox glaberrima</v>
      </c>
    </row>
    <row r="1615" spans="1:14" x14ac:dyDescent="0.3">
      <c r="A1615" t="s">
        <v>3325</v>
      </c>
      <c r="B1615" t="s">
        <v>3326</v>
      </c>
      <c r="C1615" t="s">
        <v>3326</v>
      </c>
      <c r="D1615" t="s">
        <v>3326</v>
      </c>
      <c r="E1615" t="s">
        <v>18</v>
      </c>
      <c r="F1615" t="s">
        <v>19</v>
      </c>
      <c r="H1615" s="23" t="e">
        <f>VLOOKUP(A1615,Revisión!$A$2:$L$703,6,FALSE)</f>
        <v>#N/A</v>
      </c>
      <c r="I1615" s="4" t="e">
        <f>VLOOKUP(A1615,Revisión!$A$2:$L$703,7,FALSE)</f>
        <v>#N/A</v>
      </c>
      <c r="J1615" s="4" t="e">
        <f>VLOOKUP(A1615,Revisión!$A$2:$L$703,8,FALSE)</f>
        <v>#N/A</v>
      </c>
      <c r="K1615" s="4" t="e">
        <f>VLOOKUP(A1615,Revisión!$A$2:$L$703,9,FALSE)</f>
        <v>#N/A</v>
      </c>
      <c r="L1615" s="4" t="e">
        <f>VLOOKUP(A1615,Revisión!$A$2:$L$703,10,FALSE)</f>
        <v>#N/A</v>
      </c>
      <c r="M1615" s="18" t="e">
        <f>VLOOKUP(A1615,Revisión!$A$2:$L$703,11,FALSE)</f>
        <v>#N/A</v>
      </c>
      <c r="N1615" s="30" t="str">
        <f>IF(E1615="Coinciden",D1615,IF(E1615="Revisar",VLOOKUP(A1615,Revisión!$A$2:$L$703,12,FALSE),""))</f>
        <v>Phlox divaricata</v>
      </c>
    </row>
    <row r="1616" spans="1:14" x14ac:dyDescent="0.3">
      <c r="A1616" t="s">
        <v>3327</v>
      </c>
      <c r="B1616" t="s">
        <v>3328</v>
      </c>
      <c r="C1616" t="s">
        <v>3328</v>
      </c>
      <c r="D1616" t="s">
        <v>3328</v>
      </c>
      <c r="E1616" t="s">
        <v>18</v>
      </c>
      <c r="F1616" t="s">
        <v>19</v>
      </c>
      <c r="H1616" s="23" t="e">
        <f>VLOOKUP(A1616,Revisión!$A$2:$L$703,6,FALSE)</f>
        <v>#N/A</v>
      </c>
      <c r="I1616" s="4" t="e">
        <f>VLOOKUP(A1616,Revisión!$A$2:$L$703,7,FALSE)</f>
        <v>#N/A</v>
      </c>
      <c r="J1616" s="4" t="e">
        <f>VLOOKUP(A1616,Revisión!$A$2:$L$703,8,FALSE)</f>
        <v>#N/A</v>
      </c>
      <c r="K1616" s="4" t="e">
        <f>VLOOKUP(A1616,Revisión!$A$2:$L$703,9,FALSE)</f>
        <v>#N/A</v>
      </c>
      <c r="L1616" s="4" t="e">
        <f>VLOOKUP(A1616,Revisión!$A$2:$L$703,10,FALSE)</f>
        <v>#N/A</v>
      </c>
      <c r="M1616" s="18" t="e">
        <f>VLOOKUP(A1616,Revisión!$A$2:$L$703,11,FALSE)</f>
        <v>#N/A</v>
      </c>
      <c r="N1616" s="30" t="str">
        <f>IF(E1616="Coinciden",D1616,IF(E1616="Revisar",VLOOKUP(A1616,Revisión!$A$2:$L$703,12,FALSE),""))</f>
        <v>Phoenicophorium borsigianum</v>
      </c>
    </row>
    <row r="1617" spans="1:14" x14ac:dyDescent="0.3">
      <c r="A1617" t="s">
        <v>3329</v>
      </c>
      <c r="B1617" t="s">
        <v>3330</v>
      </c>
      <c r="C1617" t="s">
        <v>3330</v>
      </c>
      <c r="D1617" t="s">
        <v>3330</v>
      </c>
      <c r="E1617" t="s">
        <v>18</v>
      </c>
      <c r="F1617" t="s">
        <v>19</v>
      </c>
      <c r="H1617" s="23" t="e">
        <f>VLOOKUP(A1617,Revisión!$A$2:$L$703,6,FALSE)</f>
        <v>#N/A</v>
      </c>
      <c r="I1617" s="4" t="e">
        <f>VLOOKUP(A1617,Revisión!$A$2:$L$703,7,FALSE)</f>
        <v>#N/A</v>
      </c>
      <c r="J1617" s="4" t="e">
        <f>VLOOKUP(A1617,Revisión!$A$2:$L$703,8,FALSE)</f>
        <v>#N/A</v>
      </c>
      <c r="K1617" s="4" t="e">
        <f>VLOOKUP(A1617,Revisión!$A$2:$L$703,9,FALSE)</f>
        <v>#N/A</v>
      </c>
      <c r="L1617" s="4" t="e">
        <f>VLOOKUP(A1617,Revisión!$A$2:$L$703,10,FALSE)</f>
        <v>#N/A</v>
      </c>
      <c r="M1617" s="18" t="e">
        <f>VLOOKUP(A1617,Revisión!$A$2:$L$703,11,FALSE)</f>
        <v>#N/A</v>
      </c>
      <c r="N1617" s="30" t="str">
        <f>IF(E1617="Coinciden",D1617,IF(E1617="Revisar",VLOOKUP(A1617,Revisión!$A$2:$L$703,12,FALSE),""))</f>
        <v>Photinia glabra</v>
      </c>
    </row>
    <row r="1618" spans="1:14" x14ac:dyDescent="0.3">
      <c r="A1618" t="s">
        <v>3331</v>
      </c>
      <c r="B1618" t="s">
        <v>3332</v>
      </c>
      <c r="C1618" t="s">
        <v>3332</v>
      </c>
      <c r="D1618" t="s">
        <v>3332</v>
      </c>
      <c r="E1618" t="s">
        <v>18</v>
      </c>
      <c r="F1618" t="s">
        <v>19</v>
      </c>
      <c r="H1618" s="23" t="e">
        <f>VLOOKUP(A1618,Revisión!$A$2:$L$703,6,FALSE)</f>
        <v>#N/A</v>
      </c>
      <c r="I1618" s="4" t="e">
        <f>VLOOKUP(A1618,Revisión!$A$2:$L$703,7,FALSE)</f>
        <v>#N/A</v>
      </c>
      <c r="J1618" s="4" t="e">
        <f>VLOOKUP(A1618,Revisión!$A$2:$L$703,8,FALSE)</f>
        <v>#N/A</v>
      </c>
      <c r="K1618" s="4" t="e">
        <f>VLOOKUP(A1618,Revisión!$A$2:$L$703,9,FALSE)</f>
        <v>#N/A</v>
      </c>
      <c r="L1618" s="4" t="e">
        <f>VLOOKUP(A1618,Revisión!$A$2:$L$703,10,FALSE)</f>
        <v>#N/A</v>
      </c>
      <c r="M1618" s="18" t="e">
        <f>VLOOKUP(A1618,Revisión!$A$2:$L$703,11,FALSE)</f>
        <v>#N/A</v>
      </c>
      <c r="N1618" s="30" t="str">
        <f>IF(E1618="Coinciden",D1618,IF(E1618="Revisar",VLOOKUP(A1618,Revisión!$A$2:$L$703,12,FALSE),""))</f>
        <v>Phragmites australis subsp. australis</v>
      </c>
    </row>
    <row r="1619" spans="1:14" x14ac:dyDescent="0.3">
      <c r="A1619" t="s">
        <v>3333</v>
      </c>
      <c r="B1619" t="s">
        <v>3334</v>
      </c>
      <c r="C1619" t="s">
        <v>3334</v>
      </c>
      <c r="D1619" t="s">
        <v>3334</v>
      </c>
      <c r="E1619" t="s">
        <v>18</v>
      </c>
      <c r="F1619" t="s">
        <v>19</v>
      </c>
      <c r="H1619" s="23" t="e">
        <f>VLOOKUP(A1619,Revisión!$A$2:$L$703,6,FALSE)</f>
        <v>#N/A</v>
      </c>
      <c r="I1619" s="4" t="e">
        <f>VLOOKUP(A1619,Revisión!$A$2:$L$703,7,FALSE)</f>
        <v>#N/A</v>
      </c>
      <c r="J1619" s="4" t="e">
        <f>VLOOKUP(A1619,Revisión!$A$2:$L$703,8,FALSE)</f>
        <v>#N/A</v>
      </c>
      <c r="K1619" s="4" t="e">
        <f>VLOOKUP(A1619,Revisión!$A$2:$L$703,9,FALSE)</f>
        <v>#N/A</v>
      </c>
      <c r="L1619" s="4" t="e">
        <f>VLOOKUP(A1619,Revisión!$A$2:$L$703,10,FALSE)</f>
        <v>#N/A</v>
      </c>
      <c r="M1619" s="18" t="e">
        <f>VLOOKUP(A1619,Revisión!$A$2:$L$703,11,FALSE)</f>
        <v>#N/A</v>
      </c>
      <c r="N1619" s="30" t="str">
        <f>IF(E1619="Coinciden",D1619,IF(E1619="Revisar",VLOOKUP(A1619,Revisión!$A$2:$L$703,12,FALSE),""))</f>
        <v>Phryma leptostachya</v>
      </c>
    </row>
    <row r="1620" spans="1:14" x14ac:dyDescent="0.3">
      <c r="A1620" t="s">
        <v>3335</v>
      </c>
      <c r="B1620" t="s">
        <v>3336</v>
      </c>
      <c r="C1620" t="s">
        <v>3336</v>
      </c>
      <c r="D1620" t="s">
        <v>3336</v>
      </c>
      <c r="E1620" t="s">
        <v>18</v>
      </c>
      <c r="F1620" t="s">
        <v>19</v>
      </c>
      <c r="H1620" s="23" t="e">
        <f>VLOOKUP(A1620,Revisión!$A$2:$L$703,6,FALSE)</f>
        <v>#N/A</v>
      </c>
      <c r="I1620" s="4" t="e">
        <f>VLOOKUP(A1620,Revisión!$A$2:$L$703,7,FALSE)</f>
        <v>#N/A</v>
      </c>
      <c r="J1620" s="4" t="e">
        <f>VLOOKUP(A1620,Revisión!$A$2:$L$703,8,FALSE)</f>
        <v>#N/A</v>
      </c>
      <c r="K1620" s="4" t="e">
        <f>VLOOKUP(A1620,Revisión!$A$2:$L$703,9,FALSE)</f>
        <v>#N/A</v>
      </c>
      <c r="L1620" s="4" t="e">
        <f>VLOOKUP(A1620,Revisión!$A$2:$L$703,10,FALSE)</f>
        <v>#N/A</v>
      </c>
      <c r="M1620" s="18" t="e">
        <f>VLOOKUP(A1620,Revisión!$A$2:$L$703,11,FALSE)</f>
        <v>#N/A</v>
      </c>
      <c r="N1620" s="30" t="str">
        <f>IF(E1620="Coinciden",D1620,IF(E1620="Revisar",VLOOKUP(A1620,Revisión!$A$2:$L$703,12,FALSE),""))</f>
        <v>Passovia pedunculata</v>
      </c>
    </row>
    <row r="1621" spans="1:14" x14ac:dyDescent="0.3">
      <c r="A1621" t="s">
        <v>3337</v>
      </c>
      <c r="E1621" t="s">
        <v>8</v>
      </c>
      <c r="F1621" t="s">
        <v>11</v>
      </c>
      <c r="H1621" s="23" t="e">
        <f>VLOOKUP(A1621,Revisión!$A$2:$L$703,6,FALSE)</f>
        <v>#N/A</v>
      </c>
      <c r="I1621" s="4" t="e">
        <f>VLOOKUP(A1621,Revisión!$A$2:$L$703,7,FALSE)</f>
        <v>#N/A</v>
      </c>
      <c r="J1621" s="4" t="e">
        <f>VLOOKUP(A1621,Revisión!$A$2:$L$703,8,FALSE)</f>
        <v>#N/A</v>
      </c>
      <c r="K1621" s="4" t="e">
        <f>VLOOKUP(A1621,Revisión!$A$2:$L$703,9,FALSE)</f>
        <v>#N/A</v>
      </c>
      <c r="L1621" s="4" t="e">
        <f>VLOOKUP(A1621,Revisión!$A$2:$L$703,10,FALSE)</f>
        <v>#N/A</v>
      </c>
      <c r="M1621" s="18" t="e">
        <f>VLOOKUP(A1621,Revisión!$A$2:$L$703,11,FALSE)</f>
        <v>#N/A</v>
      </c>
      <c r="N1621" s="30" t="e">
        <f>IF(E1621="Coinciden",D1621,IF(E1621="Revisar",VLOOKUP(A1621,Revisión!$A$2:$L$703,12,FALSE),""))</f>
        <v>#N/A</v>
      </c>
    </row>
    <row r="1622" spans="1:14" x14ac:dyDescent="0.3">
      <c r="A1622" t="s">
        <v>3338</v>
      </c>
      <c r="B1622" t="s">
        <v>3339</v>
      </c>
      <c r="C1622" t="s">
        <v>3339</v>
      </c>
      <c r="D1622" t="s">
        <v>3339</v>
      </c>
      <c r="E1622" t="s">
        <v>18</v>
      </c>
      <c r="F1622" t="s">
        <v>19</v>
      </c>
      <c r="H1622" s="23" t="e">
        <f>VLOOKUP(A1622,Revisión!$A$2:$L$703,6,FALSE)</f>
        <v>#N/A</v>
      </c>
      <c r="I1622" s="4" t="e">
        <f>VLOOKUP(A1622,Revisión!$A$2:$L$703,7,FALSE)</f>
        <v>#N/A</v>
      </c>
      <c r="J1622" s="4" t="e">
        <f>VLOOKUP(A1622,Revisión!$A$2:$L$703,8,FALSE)</f>
        <v>#N/A</v>
      </c>
      <c r="K1622" s="4" t="e">
        <f>VLOOKUP(A1622,Revisión!$A$2:$L$703,9,FALSE)</f>
        <v>#N/A</v>
      </c>
      <c r="L1622" s="4" t="e">
        <f>VLOOKUP(A1622,Revisión!$A$2:$L$703,10,FALSE)</f>
        <v>#N/A</v>
      </c>
      <c r="M1622" s="18" t="e">
        <f>VLOOKUP(A1622,Revisión!$A$2:$L$703,11,FALSE)</f>
        <v>#N/A</v>
      </c>
      <c r="N1622" s="30" t="str">
        <f>IF(E1622="Coinciden",D1622,IF(E1622="Revisar",VLOOKUP(A1622,Revisión!$A$2:$L$703,12,FALSE),""))</f>
        <v>Phyllachne colensoi</v>
      </c>
    </row>
    <row r="1623" spans="1:14" x14ac:dyDescent="0.3">
      <c r="A1623" t="s">
        <v>3340</v>
      </c>
      <c r="B1623" t="s">
        <v>3341</v>
      </c>
      <c r="C1623" t="s">
        <v>3341</v>
      </c>
      <c r="D1623" t="s">
        <v>3341</v>
      </c>
      <c r="E1623" t="s">
        <v>18</v>
      </c>
      <c r="F1623" t="s">
        <v>19</v>
      </c>
      <c r="H1623" s="23" t="e">
        <f>VLOOKUP(A1623,Revisión!$A$2:$L$703,6,FALSE)</f>
        <v>#N/A</v>
      </c>
      <c r="I1623" s="4" t="e">
        <f>VLOOKUP(A1623,Revisión!$A$2:$L$703,7,FALSE)</f>
        <v>#N/A</v>
      </c>
      <c r="J1623" s="4" t="e">
        <f>VLOOKUP(A1623,Revisión!$A$2:$L$703,8,FALSE)</f>
        <v>#N/A</v>
      </c>
      <c r="K1623" s="4" t="e">
        <f>VLOOKUP(A1623,Revisión!$A$2:$L$703,9,FALSE)</f>
        <v>#N/A</v>
      </c>
      <c r="L1623" s="4" t="e">
        <f>VLOOKUP(A1623,Revisión!$A$2:$L$703,10,FALSE)</f>
        <v>#N/A</v>
      </c>
      <c r="M1623" s="18" t="e">
        <f>VLOOKUP(A1623,Revisión!$A$2:$L$703,11,FALSE)</f>
        <v>#N/A</v>
      </c>
      <c r="N1623" s="30" t="str">
        <f>IF(E1623="Coinciden",D1623,IF(E1623="Revisar",VLOOKUP(A1623,Revisión!$A$2:$L$703,12,FALSE),""))</f>
        <v>Phyllanthus phillyreifolius var. telfairianus</v>
      </c>
    </row>
    <row r="1624" spans="1:14" x14ac:dyDescent="0.3">
      <c r="A1624" t="s">
        <v>3342</v>
      </c>
      <c r="B1624" t="s">
        <v>3343</v>
      </c>
      <c r="C1624" t="s">
        <v>3343</v>
      </c>
      <c r="D1624" t="s">
        <v>3343</v>
      </c>
      <c r="E1624" t="s">
        <v>18</v>
      </c>
      <c r="F1624" t="s">
        <v>19</v>
      </c>
      <c r="H1624" s="23" t="e">
        <f>VLOOKUP(A1624,Revisión!$A$2:$L$703,6,FALSE)</f>
        <v>#N/A</v>
      </c>
      <c r="I1624" s="4" t="e">
        <f>VLOOKUP(A1624,Revisión!$A$2:$L$703,7,FALSE)</f>
        <v>#N/A</v>
      </c>
      <c r="J1624" s="4" t="e">
        <f>VLOOKUP(A1624,Revisión!$A$2:$L$703,8,FALSE)</f>
        <v>#N/A</v>
      </c>
      <c r="K1624" s="4" t="e">
        <f>VLOOKUP(A1624,Revisión!$A$2:$L$703,9,FALSE)</f>
        <v>#N/A</v>
      </c>
      <c r="L1624" s="4" t="e">
        <f>VLOOKUP(A1624,Revisión!$A$2:$L$703,10,FALSE)</f>
        <v>#N/A</v>
      </c>
      <c r="M1624" s="18" t="e">
        <f>VLOOKUP(A1624,Revisión!$A$2:$L$703,11,FALSE)</f>
        <v>#N/A</v>
      </c>
      <c r="N1624" s="30" t="str">
        <f>IF(E1624="Coinciden",D1624,IF(E1624="Revisar",VLOOKUP(A1624,Revisión!$A$2:$L$703,12,FALSE),""))</f>
        <v>Phyllanthus phillyreifolius</v>
      </c>
    </row>
    <row r="1625" spans="1:14" x14ac:dyDescent="0.3">
      <c r="A1625" t="s">
        <v>3344</v>
      </c>
      <c r="B1625" t="s">
        <v>3345</v>
      </c>
      <c r="C1625" t="s">
        <v>3345</v>
      </c>
      <c r="D1625" t="s">
        <v>3345</v>
      </c>
      <c r="E1625" t="s">
        <v>18</v>
      </c>
      <c r="F1625" t="s">
        <v>19</v>
      </c>
      <c r="H1625" s="23" t="e">
        <f>VLOOKUP(A1625,Revisión!$A$2:$L$703,6,FALSE)</f>
        <v>#N/A</v>
      </c>
      <c r="I1625" s="4" t="e">
        <f>VLOOKUP(A1625,Revisión!$A$2:$L$703,7,FALSE)</f>
        <v>#N/A</v>
      </c>
      <c r="J1625" s="4" t="e">
        <f>VLOOKUP(A1625,Revisión!$A$2:$L$703,8,FALSE)</f>
        <v>#N/A</v>
      </c>
      <c r="K1625" s="4" t="e">
        <f>VLOOKUP(A1625,Revisión!$A$2:$L$703,9,FALSE)</f>
        <v>#N/A</v>
      </c>
      <c r="L1625" s="4" t="e">
        <f>VLOOKUP(A1625,Revisión!$A$2:$L$703,10,FALSE)</f>
        <v>#N/A</v>
      </c>
      <c r="M1625" s="18" t="e">
        <f>VLOOKUP(A1625,Revisión!$A$2:$L$703,11,FALSE)</f>
        <v>#N/A</v>
      </c>
      <c r="N1625" s="30" t="str">
        <f>IF(E1625="Coinciden",D1625,IF(E1625="Revisar",VLOOKUP(A1625,Revisión!$A$2:$L$703,12,FALSE),""))</f>
        <v>Physalis angulata</v>
      </c>
    </row>
    <row r="1626" spans="1:14" x14ac:dyDescent="0.3">
      <c r="A1626" t="s">
        <v>3346</v>
      </c>
      <c r="B1626" t="s">
        <v>3347</v>
      </c>
      <c r="C1626" t="s">
        <v>3347</v>
      </c>
      <c r="D1626" t="s">
        <v>3347</v>
      </c>
      <c r="E1626" t="s">
        <v>18</v>
      </c>
      <c r="F1626" t="s">
        <v>19</v>
      </c>
      <c r="H1626" s="23" t="e">
        <f>VLOOKUP(A1626,Revisión!$A$2:$L$703,6,FALSE)</f>
        <v>#N/A</v>
      </c>
      <c r="I1626" s="4" t="e">
        <f>VLOOKUP(A1626,Revisión!$A$2:$L$703,7,FALSE)</f>
        <v>#N/A</v>
      </c>
      <c r="J1626" s="4" t="e">
        <f>VLOOKUP(A1626,Revisión!$A$2:$L$703,8,FALSE)</f>
        <v>#N/A</v>
      </c>
      <c r="K1626" s="4" t="e">
        <f>VLOOKUP(A1626,Revisión!$A$2:$L$703,9,FALSE)</f>
        <v>#N/A</v>
      </c>
      <c r="L1626" s="4" t="e">
        <f>VLOOKUP(A1626,Revisión!$A$2:$L$703,10,FALSE)</f>
        <v>#N/A</v>
      </c>
      <c r="M1626" s="18" t="e">
        <f>VLOOKUP(A1626,Revisión!$A$2:$L$703,11,FALSE)</f>
        <v>#N/A</v>
      </c>
      <c r="N1626" s="30" t="str">
        <f>IF(E1626="Coinciden",D1626,IF(E1626="Revisar",VLOOKUP(A1626,Revisión!$A$2:$L$703,12,FALSE),""))</f>
        <v>Physalis virginiana</v>
      </c>
    </row>
    <row r="1627" spans="1:14" x14ac:dyDescent="0.3">
      <c r="A1627" t="s">
        <v>3348</v>
      </c>
      <c r="B1627" t="s">
        <v>3349</v>
      </c>
      <c r="C1627" t="s">
        <v>3349</v>
      </c>
      <c r="D1627" t="s">
        <v>3349</v>
      </c>
      <c r="E1627" t="s">
        <v>18</v>
      </c>
      <c r="F1627" t="s">
        <v>19</v>
      </c>
      <c r="H1627" s="23" t="e">
        <f>VLOOKUP(A1627,Revisión!$A$2:$L$703,6,FALSE)</f>
        <v>#N/A</v>
      </c>
      <c r="I1627" s="4" t="e">
        <f>VLOOKUP(A1627,Revisión!$A$2:$L$703,7,FALSE)</f>
        <v>#N/A</v>
      </c>
      <c r="J1627" s="4" t="e">
        <f>VLOOKUP(A1627,Revisión!$A$2:$L$703,8,FALSE)</f>
        <v>#N/A</v>
      </c>
      <c r="K1627" s="4" t="e">
        <f>VLOOKUP(A1627,Revisión!$A$2:$L$703,9,FALSE)</f>
        <v>#N/A</v>
      </c>
      <c r="L1627" s="4" t="e">
        <f>VLOOKUP(A1627,Revisión!$A$2:$L$703,10,FALSE)</f>
        <v>#N/A</v>
      </c>
      <c r="M1627" s="18" t="e">
        <f>VLOOKUP(A1627,Revisión!$A$2:$L$703,11,FALSE)</f>
        <v>#N/A</v>
      </c>
      <c r="N1627" s="30" t="str">
        <f>IF(E1627="Coinciden",D1627,IF(E1627="Revisar",VLOOKUP(A1627,Revisión!$A$2:$L$703,12,FALSE),""))</f>
        <v>Physalis lanceolata</v>
      </c>
    </row>
    <row r="1628" spans="1:14" x14ac:dyDescent="0.3">
      <c r="A1628" t="s">
        <v>3350</v>
      </c>
      <c r="B1628" t="s">
        <v>3351</v>
      </c>
      <c r="C1628" t="s">
        <v>3351</v>
      </c>
      <c r="D1628" t="s">
        <v>3351</v>
      </c>
      <c r="E1628" t="s">
        <v>18</v>
      </c>
      <c r="F1628" t="s">
        <v>19</v>
      </c>
      <c r="H1628" s="23" t="e">
        <f>VLOOKUP(A1628,Revisión!$A$2:$L$703,6,FALSE)</f>
        <v>#N/A</v>
      </c>
      <c r="I1628" s="4" t="e">
        <f>VLOOKUP(A1628,Revisión!$A$2:$L$703,7,FALSE)</f>
        <v>#N/A</v>
      </c>
      <c r="J1628" s="4" t="e">
        <f>VLOOKUP(A1628,Revisión!$A$2:$L$703,8,FALSE)</f>
        <v>#N/A</v>
      </c>
      <c r="K1628" s="4" t="e">
        <f>VLOOKUP(A1628,Revisión!$A$2:$L$703,9,FALSE)</f>
        <v>#N/A</v>
      </c>
      <c r="L1628" s="4" t="e">
        <f>VLOOKUP(A1628,Revisión!$A$2:$L$703,10,FALSE)</f>
        <v>#N/A</v>
      </c>
      <c r="M1628" s="18" t="e">
        <f>VLOOKUP(A1628,Revisión!$A$2:$L$703,11,FALSE)</f>
        <v>#N/A</v>
      </c>
      <c r="N1628" s="30" t="str">
        <f>IF(E1628="Coinciden",D1628,IF(E1628="Revisar",VLOOKUP(A1628,Revisión!$A$2:$L$703,12,FALSE),""))</f>
        <v>Physalis longifolia var. subglabrata</v>
      </c>
    </row>
    <row r="1629" spans="1:14" x14ac:dyDescent="0.3">
      <c r="A1629" t="s">
        <v>3352</v>
      </c>
      <c r="B1629" t="s">
        <v>3353</v>
      </c>
      <c r="D1629" t="s">
        <v>3353</v>
      </c>
      <c r="E1629" t="s">
        <v>8</v>
      </c>
      <c r="F1629" t="s">
        <v>34</v>
      </c>
      <c r="H1629" s="23" t="str">
        <f>VLOOKUP(A1629,Revisión!$A$2:$L$703,6,FALSE)</f>
        <v>Physalis pubescens</v>
      </c>
      <c r="I1629" s="4" t="str">
        <f>VLOOKUP(A1629,Revisión!$A$2:$L$703,7,FALSE)</f>
        <v>-</v>
      </c>
      <c r="J1629" s="4" t="str">
        <f>VLOOKUP(A1629,Revisión!$A$2:$L$703,8,FALSE)</f>
        <v>Physalis pubescens</v>
      </c>
      <c r="K1629" s="4" t="str">
        <f>VLOOKUP(A1629,Revisión!$A$2:$L$703,9,FALSE)</f>
        <v>Physalis pubescens</v>
      </c>
      <c r="L1629" s="4" t="str">
        <f>VLOOKUP(A1629,Revisión!$A$2:$L$703,10,FALSE)</f>
        <v>Physalis pubescens</v>
      </c>
      <c r="M1629" s="18">
        <f>VLOOKUP(A1629,Revisión!$A$2:$L$703,11,FALSE)</f>
        <v>5</v>
      </c>
      <c r="N1629" s="30" t="str">
        <f>IF(E1629="Coinciden",D1629,IF(E1629="Revisar",VLOOKUP(A1629,Revisión!$A$2:$L$703,12,FALSE),""))</f>
        <v>Physalis pubescens</v>
      </c>
    </row>
    <row r="1630" spans="1:14" x14ac:dyDescent="0.3">
      <c r="A1630" t="s">
        <v>3354</v>
      </c>
      <c r="B1630" t="s">
        <v>3355</v>
      </c>
      <c r="C1630" t="s">
        <v>3355</v>
      </c>
      <c r="D1630" t="s">
        <v>3355</v>
      </c>
      <c r="E1630" t="s">
        <v>18</v>
      </c>
      <c r="F1630" t="s">
        <v>19</v>
      </c>
      <c r="H1630" s="23" t="e">
        <f>VLOOKUP(A1630,Revisión!$A$2:$L$703,6,FALSE)</f>
        <v>#N/A</v>
      </c>
      <c r="I1630" s="4" t="e">
        <f>VLOOKUP(A1630,Revisión!$A$2:$L$703,7,FALSE)</f>
        <v>#N/A</v>
      </c>
      <c r="J1630" s="4" t="e">
        <f>VLOOKUP(A1630,Revisión!$A$2:$L$703,8,FALSE)</f>
        <v>#N/A</v>
      </c>
      <c r="K1630" s="4" t="e">
        <f>VLOOKUP(A1630,Revisión!$A$2:$L$703,9,FALSE)</f>
        <v>#N/A</v>
      </c>
      <c r="L1630" s="4" t="e">
        <f>VLOOKUP(A1630,Revisión!$A$2:$L$703,10,FALSE)</f>
        <v>#N/A</v>
      </c>
      <c r="M1630" s="18" t="e">
        <f>VLOOKUP(A1630,Revisión!$A$2:$L$703,11,FALSE)</f>
        <v>#N/A</v>
      </c>
      <c r="N1630" s="30" t="str">
        <f>IF(E1630="Coinciden",D1630,IF(E1630="Revisar",VLOOKUP(A1630,Revisión!$A$2:$L$703,12,FALSE),""))</f>
        <v>Physaria didymocarpa</v>
      </c>
    </row>
    <row r="1631" spans="1:14" x14ac:dyDescent="0.3">
      <c r="A1631" t="s">
        <v>3356</v>
      </c>
      <c r="B1631" t="s">
        <v>3357</v>
      </c>
      <c r="C1631" t="s">
        <v>3357</v>
      </c>
      <c r="D1631" t="s">
        <v>3357</v>
      </c>
      <c r="E1631" t="s">
        <v>18</v>
      </c>
      <c r="F1631" t="s">
        <v>19</v>
      </c>
      <c r="H1631" s="23" t="e">
        <f>VLOOKUP(A1631,Revisión!$A$2:$L$703,6,FALSE)</f>
        <v>#N/A</v>
      </c>
      <c r="I1631" s="4" t="e">
        <f>VLOOKUP(A1631,Revisión!$A$2:$L$703,7,FALSE)</f>
        <v>#N/A</v>
      </c>
      <c r="J1631" s="4" t="e">
        <f>VLOOKUP(A1631,Revisión!$A$2:$L$703,8,FALSE)</f>
        <v>#N/A</v>
      </c>
      <c r="K1631" s="4" t="e">
        <f>VLOOKUP(A1631,Revisión!$A$2:$L$703,9,FALSE)</f>
        <v>#N/A</v>
      </c>
      <c r="L1631" s="4" t="e">
        <f>VLOOKUP(A1631,Revisión!$A$2:$L$703,10,FALSE)</f>
        <v>#N/A</v>
      </c>
      <c r="M1631" s="18" t="e">
        <f>VLOOKUP(A1631,Revisión!$A$2:$L$703,11,FALSE)</f>
        <v>#N/A</v>
      </c>
      <c r="N1631" s="30" t="str">
        <f>IF(E1631="Coinciden",D1631,IF(E1631="Revisar",VLOOKUP(A1631,Revisión!$A$2:$L$703,12,FALSE),""))</f>
        <v>Physostegia virginiana</v>
      </c>
    </row>
    <row r="1632" spans="1:14" x14ac:dyDescent="0.3">
      <c r="A1632" t="s">
        <v>3358</v>
      </c>
      <c r="C1632" t="s">
        <v>3359</v>
      </c>
      <c r="D1632" t="s">
        <v>3360</v>
      </c>
      <c r="E1632" t="s">
        <v>8</v>
      </c>
      <c r="F1632" t="s">
        <v>9</v>
      </c>
      <c r="H1632" s="23" t="str">
        <f>VLOOKUP(A1632,Revisión!$A$2:$L$703,6,FALSE)</f>
        <v>Phytolacca americana</v>
      </c>
      <c r="I1632" s="4" t="str">
        <f>VLOOKUP(A1632,Revisión!$A$2:$L$703,7,FALSE)</f>
        <v>-</v>
      </c>
      <c r="J1632" s="4" t="str">
        <f>VLOOKUP(A1632,Revisión!$A$2:$L$703,8,FALSE)</f>
        <v>Phytolacca americana var. americana</v>
      </c>
      <c r="K1632" s="4" t="str">
        <f>VLOOKUP(A1632,Revisión!$A$2:$L$703,9,FALSE)</f>
        <v>Phytolacca americana</v>
      </c>
      <c r="L1632" s="4" t="str">
        <f>VLOOKUP(A1632,Revisión!$A$2:$L$703,10,FALSE)</f>
        <v>Phytolacca americana</v>
      </c>
      <c r="M1632" s="18">
        <f>VLOOKUP(A1632,Revisión!$A$2:$L$703,11,FALSE)</f>
        <v>4</v>
      </c>
      <c r="N1632" s="30" t="str">
        <f>IF(E1632="Coinciden",D1632,IF(E1632="Revisar",VLOOKUP(A1632,Revisión!$A$2:$L$703,12,FALSE),""))</f>
        <v>Phytolacca americana</v>
      </c>
    </row>
    <row r="1633" spans="1:14" x14ac:dyDescent="0.3">
      <c r="A1633" t="s">
        <v>3361</v>
      </c>
      <c r="B1633" t="s">
        <v>3360</v>
      </c>
      <c r="C1633" t="s">
        <v>3360</v>
      </c>
      <c r="D1633" t="s">
        <v>3360</v>
      </c>
      <c r="E1633" t="s">
        <v>18</v>
      </c>
      <c r="F1633" t="s">
        <v>19</v>
      </c>
      <c r="H1633" s="23" t="e">
        <f>VLOOKUP(A1633,Revisión!$A$2:$L$703,6,FALSE)</f>
        <v>#N/A</v>
      </c>
      <c r="I1633" s="4" t="e">
        <f>VLOOKUP(A1633,Revisión!$A$2:$L$703,7,FALSE)</f>
        <v>#N/A</v>
      </c>
      <c r="J1633" s="4" t="e">
        <f>VLOOKUP(A1633,Revisión!$A$2:$L$703,8,FALSE)</f>
        <v>#N/A</v>
      </c>
      <c r="K1633" s="4" t="e">
        <f>VLOOKUP(A1633,Revisión!$A$2:$L$703,9,FALSE)</f>
        <v>#N/A</v>
      </c>
      <c r="L1633" s="4" t="e">
        <f>VLOOKUP(A1633,Revisión!$A$2:$L$703,10,FALSE)</f>
        <v>#N/A</v>
      </c>
      <c r="M1633" s="18" t="e">
        <f>VLOOKUP(A1633,Revisión!$A$2:$L$703,11,FALSE)</f>
        <v>#N/A</v>
      </c>
      <c r="N1633" s="30" t="str">
        <f>IF(E1633="Coinciden",D1633,IF(E1633="Revisar",VLOOKUP(A1633,Revisión!$A$2:$L$703,12,FALSE),""))</f>
        <v>Phytolacca americana</v>
      </c>
    </row>
    <row r="1634" spans="1:14" x14ac:dyDescent="0.3">
      <c r="A1634" t="s">
        <v>3362</v>
      </c>
      <c r="B1634" t="s">
        <v>3363</v>
      </c>
      <c r="C1634" t="s">
        <v>3363</v>
      </c>
      <c r="D1634" t="s">
        <v>3363</v>
      </c>
      <c r="E1634" t="s">
        <v>18</v>
      </c>
      <c r="F1634" t="s">
        <v>19</v>
      </c>
      <c r="H1634" s="23" t="e">
        <f>VLOOKUP(A1634,Revisión!$A$2:$L$703,6,FALSE)</f>
        <v>#N/A</v>
      </c>
      <c r="I1634" s="4" t="e">
        <f>VLOOKUP(A1634,Revisión!$A$2:$L$703,7,FALSE)</f>
        <v>#N/A</v>
      </c>
      <c r="J1634" s="4" t="e">
        <f>VLOOKUP(A1634,Revisión!$A$2:$L$703,8,FALSE)</f>
        <v>#N/A</v>
      </c>
      <c r="K1634" s="4" t="e">
        <f>VLOOKUP(A1634,Revisión!$A$2:$L$703,9,FALSE)</f>
        <v>#N/A</v>
      </c>
      <c r="L1634" s="4" t="e">
        <f>VLOOKUP(A1634,Revisión!$A$2:$L$703,10,FALSE)</f>
        <v>#N/A</v>
      </c>
      <c r="M1634" s="18" t="e">
        <f>VLOOKUP(A1634,Revisión!$A$2:$L$703,11,FALSE)</f>
        <v>#N/A</v>
      </c>
      <c r="N1634" s="30" t="str">
        <f>IF(E1634="Coinciden",D1634,IF(E1634="Revisar",VLOOKUP(A1634,Revisión!$A$2:$L$703,12,FALSE),""))</f>
        <v>Picconia excelsa</v>
      </c>
    </row>
    <row r="1635" spans="1:14" x14ac:dyDescent="0.3">
      <c r="A1635" t="s">
        <v>3364</v>
      </c>
      <c r="B1635" t="s">
        <v>3365</v>
      </c>
      <c r="C1635" t="s">
        <v>3366</v>
      </c>
      <c r="D1635" t="s">
        <v>3367</v>
      </c>
      <c r="E1635" t="s">
        <v>8</v>
      </c>
      <c r="F1635" t="s">
        <v>295</v>
      </c>
      <c r="H1635" s="23" t="str">
        <f>VLOOKUP(A1635,Revisión!$A$2:$L$703,6,FALSE)</f>
        <v>Picris japonica subsp. japonica</v>
      </c>
      <c r="I1635" s="4" t="str">
        <f>VLOOKUP(A1635,Revisión!$A$2:$L$703,7,FALSE)</f>
        <v>-</v>
      </c>
      <c r="J1635" s="4" t="str">
        <f>VLOOKUP(A1635,Revisión!$A$2:$L$703,8,FALSE)</f>
        <v>-</v>
      </c>
      <c r="K1635" s="4" t="str">
        <f>VLOOKUP(A1635,Revisión!$A$2:$L$703,9,FALSE)</f>
        <v>Picris japonica subsp. japonica</v>
      </c>
      <c r="L1635" s="4" t="str">
        <f>VLOOKUP(A1635,Revisión!$A$2:$L$703,10,FALSE)</f>
        <v>Picris japonica subsp. japonica</v>
      </c>
      <c r="M1635" s="18">
        <f>VLOOKUP(A1635,Revisión!$A$2:$L$703,11,FALSE)</f>
        <v>3</v>
      </c>
      <c r="N1635" s="30" t="str">
        <f>IF(E1635="Coinciden",D1635,IF(E1635="Revisar",VLOOKUP(A1635,Revisión!$A$2:$L$703,12,FALSE),""))</f>
        <v>Picris japonica subsp. japonica</v>
      </c>
    </row>
    <row r="1636" spans="1:14" x14ac:dyDescent="0.3">
      <c r="A1636" t="s">
        <v>3368</v>
      </c>
      <c r="B1636" t="s">
        <v>3369</v>
      </c>
      <c r="C1636" t="s">
        <v>3369</v>
      </c>
      <c r="D1636" t="s">
        <v>3369</v>
      </c>
      <c r="E1636" t="s">
        <v>18</v>
      </c>
      <c r="F1636" t="s">
        <v>19</v>
      </c>
      <c r="H1636" s="23" t="e">
        <f>VLOOKUP(A1636,Revisión!$A$2:$L$703,6,FALSE)</f>
        <v>#N/A</v>
      </c>
      <c r="I1636" s="4" t="e">
        <f>VLOOKUP(A1636,Revisión!$A$2:$L$703,7,FALSE)</f>
        <v>#N/A</v>
      </c>
      <c r="J1636" s="4" t="e">
        <f>VLOOKUP(A1636,Revisión!$A$2:$L$703,8,FALSE)</f>
        <v>#N/A</v>
      </c>
      <c r="K1636" s="4" t="e">
        <f>VLOOKUP(A1636,Revisión!$A$2:$L$703,9,FALSE)</f>
        <v>#N/A</v>
      </c>
      <c r="L1636" s="4" t="e">
        <f>VLOOKUP(A1636,Revisión!$A$2:$L$703,10,FALSE)</f>
        <v>#N/A</v>
      </c>
      <c r="M1636" s="18" t="e">
        <f>VLOOKUP(A1636,Revisión!$A$2:$L$703,11,FALSE)</f>
        <v>#N/A</v>
      </c>
      <c r="N1636" s="30" t="str">
        <f>IF(E1636="Coinciden",D1636,IF(E1636="Revisar",VLOOKUP(A1636,Revisión!$A$2:$L$703,12,FALSE),""))</f>
        <v>Helminthotheca echioides</v>
      </c>
    </row>
    <row r="1637" spans="1:14" x14ac:dyDescent="0.3">
      <c r="A1637" t="s">
        <v>3370</v>
      </c>
      <c r="B1637" t="s">
        <v>3371</v>
      </c>
      <c r="C1637" t="s">
        <v>3371</v>
      </c>
      <c r="D1637" t="s">
        <v>3371</v>
      </c>
      <c r="E1637" t="s">
        <v>18</v>
      </c>
      <c r="F1637" t="s">
        <v>19</v>
      </c>
      <c r="H1637" s="23" t="e">
        <f>VLOOKUP(A1637,Revisión!$A$2:$L$703,6,FALSE)</f>
        <v>#N/A</v>
      </c>
      <c r="I1637" s="4" t="e">
        <f>VLOOKUP(A1637,Revisión!$A$2:$L$703,7,FALSE)</f>
        <v>#N/A</v>
      </c>
      <c r="J1637" s="4" t="e">
        <f>VLOOKUP(A1637,Revisión!$A$2:$L$703,8,FALSE)</f>
        <v>#N/A</v>
      </c>
      <c r="K1637" s="4" t="e">
        <f>VLOOKUP(A1637,Revisión!$A$2:$L$703,9,FALSE)</f>
        <v>#N/A</v>
      </c>
      <c r="L1637" s="4" t="e">
        <f>VLOOKUP(A1637,Revisión!$A$2:$L$703,10,FALSE)</f>
        <v>#N/A</v>
      </c>
      <c r="M1637" s="18" t="e">
        <f>VLOOKUP(A1637,Revisión!$A$2:$L$703,11,FALSE)</f>
        <v>#N/A</v>
      </c>
      <c r="N1637" s="30" t="str">
        <f>IF(E1637="Coinciden",D1637,IF(E1637="Revisar",VLOOKUP(A1637,Revisión!$A$2:$L$703,12,FALSE),""))</f>
        <v>Pieris japonica</v>
      </c>
    </row>
    <row r="1638" spans="1:14" x14ac:dyDescent="0.3">
      <c r="A1638" t="s">
        <v>3372</v>
      </c>
      <c r="E1638" t="s">
        <v>8</v>
      </c>
      <c r="F1638" t="s">
        <v>11</v>
      </c>
      <c r="H1638" s="23" t="e">
        <f>VLOOKUP(A1638,Revisión!$A$2:$L$703,6,FALSE)</f>
        <v>#N/A</v>
      </c>
      <c r="I1638" s="4" t="e">
        <f>VLOOKUP(A1638,Revisión!$A$2:$L$703,7,FALSE)</f>
        <v>#N/A</v>
      </c>
      <c r="J1638" s="4" t="e">
        <f>VLOOKUP(A1638,Revisión!$A$2:$L$703,8,FALSE)</f>
        <v>#N/A</v>
      </c>
      <c r="K1638" s="4" t="e">
        <f>VLOOKUP(A1638,Revisión!$A$2:$L$703,9,FALSE)</f>
        <v>#N/A</v>
      </c>
      <c r="L1638" s="4" t="e">
        <f>VLOOKUP(A1638,Revisión!$A$2:$L$703,10,FALSE)</f>
        <v>#N/A</v>
      </c>
      <c r="M1638" s="18" t="e">
        <f>VLOOKUP(A1638,Revisión!$A$2:$L$703,11,FALSE)</f>
        <v>#N/A</v>
      </c>
      <c r="N1638" s="30" t="e">
        <f>IF(E1638="Coinciden",D1638,IF(E1638="Revisar",VLOOKUP(A1638,Revisión!$A$2:$L$703,12,FALSE),""))</f>
        <v>#N/A</v>
      </c>
    </row>
    <row r="1639" spans="1:14" x14ac:dyDescent="0.3">
      <c r="A1639" t="s">
        <v>3373</v>
      </c>
      <c r="E1639" t="s">
        <v>8</v>
      </c>
      <c r="F1639" t="s">
        <v>11</v>
      </c>
      <c r="H1639" s="23" t="e">
        <f>VLOOKUP(A1639,Revisión!$A$2:$L$703,6,FALSE)</f>
        <v>#N/A</v>
      </c>
      <c r="I1639" s="4" t="e">
        <f>VLOOKUP(A1639,Revisión!$A$2:$L$703,7,FALSE)</f>
        <v>#N/A</v>
      </c>
      <c r="J1639" s="4" t="e">
        <f>VLOOKUP(A1639,Revisión!$A$2:$L$703,8,FALSE)</f>
        <v>#N/A</v>
      </c>
      <c r="K1639" s="4" t="e">
        <f>VLOOKUP(A1639,Revisión!$A$2:$L$703,9,FALSE)</f>
        <v>#N/A</v>
      </c>
      <c r="L1639" s="4" t="e">
        <f>VLOOKUP(A1639,Revisión!$A$2:$L$703,10,FALSE)</f>
        <v>#N/A</v>
      </c>
      <c r="M1639" s="18" t="e">
        <f>VLOOKUP(A1639,Revisión!$A$2:$L$703,11,FALSE)</f>
        <v>#N/A</v>
      </c>
      <c r="N1639" s="30" t="e">
        <f>IF(E1639="Coinciden",D1639,IF(E1639="Revisar",VLOOKUP(A1639,Revisión!$A$2:$L$703,12,FALSE),""))</f>
        <v>#N/A</v>
      </c>
    </row>
    <row r="1640" spans="1:14" x14ac:dyDescent="0.3">
      <c r="A1640" t="s">
        <v>3374</v>
      </c>
      <c r="B1640" t="s">
        <v>3375</v>
      </c>
      <c r="C1640" t="s">
        <v>3375</v>
      </c>
      <c r="D1640" t="s">
        <v>3375</v>
      </c>
      <c r="E1640" t="s">
        <v>18</v>
      </c>
      <c r="F1640" t="s">
        <v>19</v>
      </c>
      <c r="H1640" s="23" t="e">
        <f>VLOOKUP(A1640,Revisión!$A$2:$L$703,6,FALSE)</f>
        <v>#N/A</v>
      </c>
      <c r="I1640" s="4" t="e">
        <f>VLOOKUP(A1640,Revisión!$A$2:$L$703,7,FALSE)</f>
        <v>#N/A</v>
      </c>
      <c r="J1640" s="4" t="e">
        <f>VLOOKUP(A1640,Revisión!$A$2:$L$703,8,FALSE)</f>
        <v>#N/A</v>
      </c>
      <c r="K1640" s="4" t="e">
        <f>VLOOKUP(A1640,Revisión!$A$2:$L$703,9,FALSE)</f>
        <v>#N/A</v>
      </c>
      <c r="L1640" s="4" t="e">
        <f>VLOOKUP(A1640,Revisión!$A$2:$L$703,10,FALSE)</f>
        <v>#N/A</v>
      </c>
      <c r="M1640" s="18" t="e">
        <f>VLOOKUP(A1640,Revisión!$A$2:$L$703,11,FALSE)</f>
        <v>#N/A</v>
      </c>
      <c r="N1640" s="30" t="str">
        <f>IF(E1640="Coinciden",D1640,IF(E1640="Revisar",VLOOKUP(A1640,Revisión!$A$2:$L$703,12,FALSE),""))</f>
        <v>Pimelea sericeovillosa</v>
      </c>
    </row>
    <row r="1641" spans="1:14" x14ac:dyDescent="0.3">
      <c r="A1641" t="s">
        <v>3376</v>
      </c>
      <c r="B1641" t="s">
        <v>3377</v>
      </c>
      <c r="C1641" t="s">
        <v>3377</v>
      </c>
      <c r="D1641" t="s">
        <v>3377</v>
      </c>
      <c r="E1641" t="s">
        <v>18</v>
      </c>
      <c r="F1641" t="s">
        <v>19</v>
      </c>
      <c r="H1641" s="23" t="e">
        <f>VLOOKUP(A1641,Revisión!$A$2:$L$703,6,FALSE)</f>
        <v>#N/A</v>
      </c>
      <c r="I1641" s="4" t="e">
        <f>VLOOKUP(A1641,Revisión!$A$2:$L$703,7,FALSE)</f>
        <v>#N/A</v>
      </c>
      <c r="J1641" s="4" t="e">
        <f>VLOOKUP(A1641,Revisión!$A$2:$L$703,8,FALSE)</f>
        <v>#N/A</v>
      </c>
      <c r="K1641" s="4" t="e">
        <f>VLOOKUP(A1641,Revisión!$A$2:$L$703,9,FALSE)</f>
        <v>#N/A</v>
      </c>
      <c r="L1641" s="4" t="e">
        <f>VLOOKUP(A1641,Revisión!$A$2:$L$703,10,FALSE)</f>
        <v>#N/A</v>
      </c>
      <c r="M1641" s="18" t="e">
        <f>VLOOKUP(A1641,Revisión!$A$2:$L$703,11,FALSE)</f>
        <v>#N/A</v>
      </c>
      <c r="N1641" s="30" t="str">
        <f>IF(E1641="Coinciden",D1641,IF(E1641="Revisar",VLOOKUP(A1641,Revisión!$A$2:$L$703,12,FALSE),""))</f>
        <v>Pimelea traversii</v>
      </c>
    </row>
    <row r="1642" spans="1:14" x14ac:dyDescent="0.3">
      <c r="A1642" t="s">
        <v>3378</v>
      </c>
      <c r="B1642" t="s">
        <v>3379</v>
      </c>
      <c r="C1642" t="s">
        <v>3379</v>
      </c>
      <c r="D1642" t="s">
        <v>3379</v>
      </c>
      <c r="E1642" t="s">
        <v>18</v>
      </c>
      <c r="F1642" t="s">
        <v>19</v>
      </c>
      <c r="H1642" s="23" t="e">
        <f>VLOOKUP(A1642,Revisión!$A$2:$L$703,6,FALSE)</f>
        <v>#N/A</v>
      </c>
      <c r="I1642" s="4" t="e">
        <f>VLOOKUP(A1642,Revisión!$A$2:$L$703,7,FALSE)</f>
        <v>#N/A</v>
      </c>
      <c r="J1642" s="4" t="e">
        <f>VLOOKUP(A1642,Revisión!$A$2:$L$703,8,FALSE)</f>
        <v>#N/A</v>
      </c>
      <c r="K1642" s="4" t="e">
        <f>VLOOKUP(A1642,Revisión!$A$2:$L$703,9,FALSE)</f>
        <v>#N/A</v>
      </c>
      <c r="L1642" s="4" t="e">
        <f>VLOOKUP(A1642,Revisión!$A$2:$L$703,10,FALSE)</f>
        <v>#N/A</v>
      </c>
      <c r="M1642" s="18" t="e">
        <f>VLOOKUP(A1642,Revisión!$A$2:$L$703,11,FALSE)</f>
        <v>#N/A</v>
      </c>
      <c r="N1642" s="30" t="str">
        <f>IF(E1642="Coinciden",D1642,IF(E1642="Revisar",VLOOKUP(A1642,Revisión!$A$2:$L$703,12,FALSE),""))</f>
        <v>Pimelea ligustrina</v>
      </c>
    </row>
    <row r="1643" spans="1:14" x14ac:dyDescent="0.3">
      <c r="A1643" t="s">
        <v>3380</v>
      </c>
      <c r="B1643" t="s">
        <v>3381</v>
      </c>
      <c r="C1643" t="s">
        <v>3381</v>
      </c>
      <c r="D1643" t="s">
        <v>3381</v>
      </c>
      <c r="E1643" t="s">
        <v>18</v>
      </c>
      <c r="F1643" t="s">
        <v>19</v>
      </c>
      <c r="H1643" s="23" t="e">
        <f>VLOOKUP(A1643,Revisión!$A$2:$L$703,6,FALSE)</f>
        <v>#N/A</v>
      </c>
      <c r="I1643" s="4" t="e">
        <f>VLOOKUP(A1643,Revisión!$A$2:$L$703,7,FALSE)</f>
        <v>#N/A</v>
      </c>
      <c r="J1643" s="4" t="e">
        <f>VLOOKUP(A1643,Revisión!$A$2:$L$703,8,FALSE)</f>
        <v>#N/A</v>
      </c>
      <c r="K1643" s="4" t="e">
        <f>VLOOKUP(A1643,Revisión!$A$2:$L$703,9,FALSE)</f>
        <v>#N/A</v>
      </c>
      <c r="L1643" s="4" t="e">
        <f>VLOOKUP(A1643,Revisión!$A$2:$L$703,10,FALSE)</f>
        <v>#N/A</v>
      </c>
      <c r="M1643" s="18" t="e">
        <f>VLOOKUP(A1643,Revisión!$A$2:$L$703,11,FALSE)</f>
        <v>#N/A</v>
      </c>
      <c r="N1643" s="30" t="str">
        <f>IF(E1643="Coinciden",D1643,IF(E1643="Revisar",VLOOKUP(A1643,Revisión!$A$2:$L$703,12,FALSE),""))</f>
        <v>Pimpinella cumbrae</v>
      </c>
    </row>
    <row r="1644" spans="1:14" x14ac:dyDescent="0.3">
      <c r="A1644" t="s">
        <v>3382</v>
      </c>
      <c r="B1644" t="s">
        <v>3383</v>
      </c>
      <c r="C1644" t="s">
        <v>3383</v>
      </c>
      <c r="D1644" t="s">
        <v>3383</v>
      </c>
      <c r="E1644" t="s">
        <v>18</v>
      </c>
      <c r="F1644" t="s">
        <v>19</v>
      </c>
      <c r="H1644" s="23" t="e">
        <f>VLOOKUP(A1644,Revisión!$A$2:$L$703,6,FALSE)</f>
        <v>#N/A</v>
      </c>
      <c r="I1644" s="4" t="e">
        <f>VLOOKUP(A1644,Revisión!$A$2:$L$703,7,FALSE)</f>
        <v>#N/A</v>
      </c>
      <c r="J1644" s="4" t="e">
        <f>VLOOKUP(A1644,Revisión!$A$2:$L$703,8,FALSE)</f>
        <v>#N/A</v>
      </c>
      <c r="K1644" s="4" t="e">
        <f>VLOOKUP(A1644,Revisión!$A$2:$L$703,9,FALSE)</f>
        <v>#N/A</v>
      </c>
      <c r="L1644" s="4" t="e">
        <f>VLOOKUP(A1644,Revisión!$A$2:$L$703,10,FALSE)</f>
        <v>#N/A</v>
      </c>
      <c r="M1644" s="18" t="e">
        <f>VLOOKUP(A1644,Revisión!$A$2:$L$703,11,FALSE)</f>
        <v>#N/A</v>
      </c>
      <c r="N1644" s="30" t="str">
        <f>IF(E1644="Coinciden",D1644,IF(E1644="Revisar",VLOOKUP(A1644,Revisión!$A$2:$L$703,12,FALSE),""))</f>
        <v>Pimpinella major</v>
      </c>
    </row>
    <row r="1645" spans="1:14" x14ac:dyDescent="0.3">
      <c r="A1645" t="s">
        <v>3384</v>
      </c>
      <c r="B1645" t="s">
        <v>3385</v>
      </c>
      <c r="C1645" t="s">
        <v>3385</v>
      </c>
      <c r="D1645" t="s">
        <v>3385</v>
      </c>
      <c r="E1645" t="s">
        <v>18</v>
      </c>
      <c r="F1645" t="s">
        <v>19</v>
      </c>
      <c r="H1645" s="23" t="e">
        <f>VLOOKUP(A1645,Revisión!$A$2:$L$703,6,FALSE)</f>
        <v>#N/A</v>
      </c>
      <c r="I1645" s="4" t="e">
        <f>VLOOKUP(A1645,Revisión!$A$2:$L$703,7,FALSE)</f>
        <v>#N/A</v>
      </c>
      <c r="J1645" s="4" t="e">
        <f>VLOOKUP(A1645,Revisión!$A$2:$L$703,8,FALSE)</f>
        <v>#N/A</v>
      </c>
      <c r="K1645" s="4" t="e">
        <f>VLOOKUP(A1645,Revisión!$A$2:$L$703,9,FALSE)</f>
        <v>#N/A</v>
      </c>
      <c r="L1645" s="4" t="e">
        <f>VLOOKUP(A1645,Revisión!$A$2:$L$703,10,FALSE)</f>
        <v>#N/A</v>
      </c>
      <c r="M1645" s="18" t="e">
        <f>VLOOKUP(A1645,Revisión!$A$2:$L$703,11,FALSE)</f>
        <v>#N/A</v>
      </c>
      <c r="N1645" s="30" t="str">
        <f>IF(E1645="Coinciden",D1645,IF(E1645="Revisar",VLOOKUP(A1645,Revisión!$A$2:$L$703,12,FALSE),""))</f>
        <v>Pinguicula alpina</v>
      </c>
    </row>
    <row r="1646" spans="1:14" x14ac:dyDescent="0.3">
      <c r="A1646" t="s">
        <v>3386</v>
      </c>
      <c r="B1646" t="s">
        <v>3387</v>
      </c>
      <c r="C1646" t="s">
        <v>3387</v>
      </c>
      <c r="D1646" t="s">
        <v>3387</v>
      </c>
      <c r="E1646" t="s">
        <v>18</v>
      </c>
      <c r="F1646" t="s">
        <v>19</v>
      </c>
      <c r="H1646" s="23" t="e">
        <f>VLOOKUP(A1646,Revisión!$A$2:$L$703,6,FALSE)</f>
        <v>#N/A</v>
      </c>
      <c r="I1646" s="4" t="e">
        <f>VLOOKUP(A1646,Revisión!$A$2:$L$703,7,FALSE)</f>
        <v>#N/A</v>
      </c>
      <c r="J1646" s="4" t="e">
        <f>VLOOKUP(A1646,Revisión!$A$2:$L$703,8,FALSE)</f>
        <v>#N/A</v>
      </c>
      <c r="K1646" s="4" t="e">
        <f>VLOOKUP(A1646,Revisión!$A$2:$L$703,9,FALSE)</f>
        <v>#N/A</v>
      </c>
      <c r="L1646" s="4" t="e">
        <f>VLOOKUP(A1646,Revisión!$A$2:$L$703,10,FALSE)</f>
        <v>#N/A</v>
      </c>
      <c r="M1646" s="18" t="e">
        <f>VLOOKUP(A1646,Revisión!$A$2:$L$703,11,FALSE)</f>
        <v>#N/A</v>
      </c>
      <c r="N1646" s="30" t="str">
        <f>IF(E1646="Coinciden",D1646,IF(E1646="Revisar",VLOOKUP(A1646,Revisión!$A$2:$L$703,12,FALSE),""))</f>
        <v>Pinus luchuensis</v>
      </c>
    </row>
    <row r="1647" spans="1:14" x14ac:dyDescent="0.3">
      <c r="A1647" t="s">
        <v>3388</v>
      </c>
      <c r="C1647" t="s">
        <v>3389</v>
      </c>
      <c r="D1647" t="s">
        <v>3389</v>
      </c>
      <c r="E1647" t="s">
        <v>8</v>
      </c>
      <c r="F1647" t="s">
        <v>49</v>
      </c>
      <c r="H1647" s="23" t="str">
        <f>VLOOKUP(A1647,Revisión!$A$2:$L$703,6,FALSE)</f>
        <v>Piper kadsura</v>
      </c>
      <c r="I1647" s="4" t="str">
        <f>VLOOKUP(A1647,Revisión!$A$2:$L$703,7,FALSE)</f>
        <v>-</v>
      </c>
      <c r="J1647" s="4" t="str">
        <f>VLOOKUP(A1647,Revisión!$A$2:$L$703,8,FALSE)</f>
        <v>Piper kadsura</v>
      </c>
      <c r="K1647" s="4" t="str">
        <f>VLOOKUP(A1647,Revisión!$A$2:$L$703,9,FALSE)</f>
        <v>Piper kadsura</v>
      </c>
      <c r="L1647" s="4" t="str">
        <f>VLOOKUP(A1647,Revisión!$A$2:$L$703,10,FALSE)</f>
        <v>Piper kadsura</v>
      </c>
      <c r="M1647" s="18">
        <f>VLOOKUP(A1647,Revisión!$A$2:$L$703,11,FALSE)</f>
        <v>5</v>
      </c>
      <c r="N1647" s="30" t="str">
        <f>IF(E1647="Coinciden",D1647,IF(E1647="Revisar",VLOOKUP(A1647,Revisión!$A$2:$L$703,12,FALSE),""))</f>
        <v>Piper kadsura</v>
      </c>
    </row>
    <row r="1648" spans="1:14" x14ac:dyDescent="0.3">
      <c r="A1648" t="s">
        <v>3390</v>
      </c>
      <c r="C1648" t="s">
        <v>3391</v>
      </c>
      <c r="D1648" t="s">
        <v>3391</v>
      </c>
      <c r="E1648" t="s">
        <v>8</v>
      </c>
      <c r="F1648" t="s">
        <v>49</v>
      </c>
      <c r="H1648" s="23" t="str">
        <f>VLOOKUP(A1648,Revisión!$A$2:$L$703,6,FALSE)</f>
        <v>Piscidia carthagenensis</v>
      </c>
      <c r="I1648" s="4" t="str">
        <f>VLOOKUP(A1648,Revisión!$A$2:$L$703,7,FALSE)</f>
        <v>-</v>
      </c>
      <c r="J1648" s="4" t="str">
        <f>VLOOKUP(A1648,Revisión!$A$2:$L$703,8,FALSE)</f>
        <v>Piscidia carthagenensis</v>
      </c>
      <c r="K1648" s="4" t="str">
        <f>VLOOKUP(A1648,Revisión!$A$2:$L$703,9,FALSE)</f>
        <v>Piscidia carthagenensis</v>
      </c>
      <c r="L1648" s="4" t="str">
        <f>VLOOKUP(A1648,Revisión!$A$2:$L$703,10,FALSE)</f>
        <v>Piscidia carthagenensis</v>
      </c>
      <c r="M1648" s="18">
        <f>VLOOKUP(A1648,Revisión!$A$2:$L$703,11,FALSE)</f>
        <v>4</v>
      </c>
      <c r="N1648" s="30" t="str">
        <f>IF(E1648="Coinciden",D1648,IF(E1648="Revisar",VLOOKUP(A1648,Revisión!$A$2:$L$703,12,FALSE),""))</f>
        <v>Piscidia carthagenensis</v>
      </c>
    </row>
    <row r="1649" spans="1:14" x14ac:dyDescent="0.3">
      <c r="A1649" t="s">
        <v>3392</v>
      </c>
      <c r="B1649" t="s">
        <v>3393</v>
      </c>
      <c r="C1649" t="s">
        <v>3393</v>
      </c>
      <c r="D1649" t="s">
        <v>3393</v>
      </c>
      <c r="E1649" t="s">
        <v>18</v>
      </c>
      <c r="F1649" t="s">
        <v>19</v>
      </c>
      <c r="H1649" s="23" t="e">
        <f>VLOOKUP(A1649,Revisión!$A$2:$L$703,6,FALSE)</f>
        <v>#N/A</v>
      </c>
      <c r="I1649" s="4" t="e">
        <f>VLOOKUP(A1649,Revisión!$A$2:$L$703,7,FALSE)</f>
        <v>#N/A</v>
      </c>
      <c r="J1649" s="4" t="e">
        <f>VLOOKUP(A1649,Revisión!$A$2:$L$703,8,FALSE)</f>
        <v>#N/A</v>
      </c>
      <c r="K1649" s="4" t="e">
        <f>VLOOKUP(A1649,Revisión!$A$2:$L$703,9,FALSE)</f>
        <v>#N/A</v>
      </c>
      <c r="L1649" s="4" t="e">
        <f>VLOOKUP(A1649,Revisión!$A$2:$L$703,10,FALSE)</f>
        <v>#N/A</v>
      </c>
      <c r="M1649" s="18" t="e">
        <f>VLOOKUP(A1649,Revisión!$A$2:$L$703,11,FALSE)</f>
        <v>#N/A</v>
      </c>
      <c r="N1649" s="30" t="str">
        <f>IF(E1649="Coinciden",D1649,IF(E1649="Revisar",VLOOKUP(A1649,Revisión!$A$2:$L$703,12,FALSE),""))</f>
        <v>Piscidia piscipula</v>
      </c>
    </row>
    <row r="1650" spans="1:14" x14ac:dyDescent="0.3">
      <c r="A1650" t="s">
        <v>3394</v>
      </c>
      <c r="C1650" t="s">
        <v>3395</v>
      </c>
      <c r="D1650" t="s">
        <v>3395</v>
      </c>
      <c r="E1650" t="s">
        <v>8</v>
      </c>
      <c r="F1650" t="s">
        <v>49</v>
      </c>
      <c r="H1650" s="23" t="str">
        <f>VLOOKUP(A1650,Revisión!$A$2:$L$703,6,FALSE)</f>
        <v>Pittosporum tobira</v>
      </c>
      <c r="I1650" s="4" t="str">
        <f>VLOOKUP(A1650,Revisión!$A$2:$L$703,7,FALSE)</f>
        <v>-</v>
      </c>
      <c r="J1650" s="4" t="str">
        <f>VLOOKUP(A1650,Revisión!$A$2:$L$703,8,FALSE)</f>
        <v>Pittosporum tobira</v>
      </c>
      <c r="K1650" s="4" t="str">
        <f>VLOOKUP(A1650,Revisión!$A$2:$L$703,9,FALSE)</f>
        <v>Pittosporum tobira</v>
      </c>
      <c r="L1650" s="4" t="str">
        <f>VLOOKUP(A1650,Revisión!$A$2:$L$703,10,FALSE)</f>
        <v>Pittosporum tobira</v>
      </c>
      <c r="M1650" s="18">
        <f>VLOOKUP(A1650,Revisión!$A$2:$L$703,11,FALSE)</f>
        <v>4</v>
      </c>
      <c r="N1650" s="30" t="str">
        <f>IF(E1650="Coinciden",D1650,IF(E1650="Revisar",VLOOKUP(A1650,Revisión!$A$2:$L$703,12,FALSE),""))</f>
        <v>Pittosporum tobira</v>
      </c>
    </row>
    <row r="1651" spans="1:14" x14ac:dyDescent="0.3">
      <c r="A1651" t="s">
        <v>3396</v>
      </c>
      <c r="B1651" t="s">
        <v>3397</v>
      </c>
      <c r="C1651" t="s">
        <v>3397</v>
      </c>
      <c r="D1651" t="s">
        <v>3397</v>
      </c>
      <c r="E1651" t="s">
        <v>18</v>
      </c>
      <c r="F1651" t="s">
        <v>19</v>
      </c>
      <c r="H1651" s="23" t="e">
        <f>VLOOKUP(A1651,Revisión!$A$2:$L$703,6,FALSE)</f>
        <v>#N/A</v>
      </c>
      <c r="I1651" s="4" t="e">
        <f>VLOOKUP(A1651,Revisión!$A$2:$L$703,7,FALSE)</f>
        <v>#N/A</v>
      </c>
      <c r="J1651" s="4" t="e">
        <f>VLOOKUP(A1651,Revisión!$A$2:$L$703,8,FALSE)</f>
        <v>#N/A</v>
      </c>
      <c r="K1651" s="4" t="e">
        <f>VLOOKUP(A1651,Revisión!$A$2:$L$703,9,FALSE)</f>
        <v>#N/A</v>
      </c>
      <c r="L1651" s="4" t="e">
        <f>VLOOKUP(A1651,Revisión!$A$2:$L$703,10,FALSE)</f>
        <v>#N/A</v>
      </c>
      <c r="M1651" s="18" t="e">
        <f>VLOOKUP(A1651,Revisión!$A$2:$L$703,11,FALSE)</f>
        <v>#N/A</v>
      </c>
      <c r="N1651" s="30" t="str">
        <f>IF(E1651="Coinciden",D1651,IF(E1651="Revisar",VLOOKUP(A1651,Revisión!$A$2:$L$703,12,FALSE),""))</f>
        <v>Pittosporum senacia</v>
      </c>
    </row>
    <row r="1652" spans="1:14" x14ac:dyDescent="0.3">
      <c r="A1652" t="s">
        <v>3398</v>
      </c>
      <c r="B1652" t="s">
        <v>3399</v>
      </c>
      <c r="C1652" t="s">
        <v>3399</v>
      </c>
      <c r="D1652" t="s">
        <v>3399</v>
      </c>
      <c r="E1652" t="s">
        <v>18</v>
      </c>
      <c r="F1652" t="s">
        <v>19</v>
      </c>
      <c r="H1652" s="23" t="e">
        <f>VLOOKUP(A1652,Revisión!$A$2:$L$703,6,FALSE)</f>
        <v>#N/A</v>
      </c>
      <c r="I1652" s="4" t="e">
        <f>VLOOKUP(A1652,Revisión!$A$2:$L$703,7,FALSE)</f>
        <v>#N/A</v>
      </c>
      <c r="J1652" s="4" t="e">
        <f>VLOOKUP(A1652,Revisión!$A$2:$L$703,8,FALSE)</f>
        <v>#N/A</v>
      </c>
      <c r="K1652" s="4" t="e">
        <f>VLOOKUP(A1652,Revisión!$A$2:$L$703,9,FALSE)</f>
        <v>#N/A</v>
      </c>
      <c r="L1652" s="4" t="e">
        <f>VLOOKUP(A1652,Revisión!$A$2:$L$703,10,FALSE)</f>
        <v>#N/A</v>
      </c>
      <c r="M1652" s="18" t="e">
        <f>VLOOKUP(A1652,Revisión!$A$2:$L$703,11,FALSE)</f>
        <v>#N/A</v>
      </c>
      <c r="N1652" s="30" t="str">
        <f>IF(E1652="Coinciden",D1652,IF(E1652="Revisar",VLOOKUP(A1652,Revisión!$A$2:$L$703,12,FALSE),""))</f>
        <v>Plantago major</v>
      </c>
    </row>
    <row r="1653" spans="1:14" x14ac:dyDescent="0.3">
      <c r="A1653" t="s">
        <v>3400</v>
      </c>
      <c r="B1653" t="s">
        <v>3401</v>
      </c>
      <c r="C1653" t="s">
        <v>3401</v>
      </c>
      <c r="D1653" t="s">
        <v>3401</v>
      </c>
      <c r="E1653" t="s">
        <v>18</v>
      </c>
      <c r="F1653" t="s">
        <v>19</v>
      </c>
      <c r="H1653" s="23" t="e">
        <f>VLOOKUP(A1653,Revisión!$A$2:$L$703,6,FALSE)</f>
        <v>#N/A</v>
      </c>
      <c r="I1653" s="4" t="e">
        <f>VLOOKUP(A1653,Revisión!$A$2:$L$703,7,FALSE)</f>
        <v>#N/A</v>
      </c>
      <c r="J1653" s="4" t="e">
        <f>VLOOKUP(A1653,Revisión!$A$2:$L$703,8,FALSE)</f>
        <v>#N/A</v>
      </c>
      <c r="K1653" s="4" t="e">
        <f>VLOOKUP(A1653,Revisión!$A$2:$L$703,9,FALSE)</f>
        <v>#N/A</v>
      </c>
      <c r="L1653" s="4" t="e">
        <f>VLOOKUP(A1653,Revisión!$A$2:$L$703,10,FALSE)</f>
        <v>#N/A</v>
      </c>
      <c r="M1653" s="18" t="e">
        <f>VLOOKUP(A1653,Revisión!$A$2:$L$703,11,FALSE)</f>
        <v>#N/A</v>
      </c>
      <c r="N1653" s="30" t="str">
        <f>IF(E1653="Coinciden",D1653,IF(E1653="Revisar",VLOOKUP(A1653,Revisión!$A$2:$L$703,12,FALSE),""))</f>
        <v>Plantago lanceolata</v>
      </c>
    </row>
    <row r="1654" spans="1:14" x14ac:dyDescent="0.3">
      <c r="A1654" t="s">
        <v>3402</v>
      </c>
      <c r="B1654" t="s">
        <v>3403</v>
      </c>
      <c r="C1654" t="s">
        <v>3403</v>
      </c>
      <c r="D1654" t="s">
        <v>3403</v>
      </c>
      <c r="E1654" t="s">
        <v>18</v>
      </c>
      <c r="F1654" t="s">
        <v>19</v>
      </c>
      <c r="H1654" s="23" t="e">
        <f>VLOOKUP(A1654,Revisión!$A$2:$L$703,6,FALSE)</f>
        <v>#N/A</v>
      </c>
      <c r="I1654" s="4" t="e">
        <f>VLOOKUP(A1654,Revisión!$A$2:$L$703,7,FALSE)</f>
        <v>#N/A</v>
      </c>
      <c r="J1654" s="4" t="e">
        <f>VLOOKUP(A1654,Revisión!$A$2:$L$703,8,FALSE)</f>
        <v>#N/A</v>
      </c>
      <c r="K1654" s="4" t="e">
        <f>VLOOKUP(A1654,Revisión!$A$2:$L$703,9,FALSE)</f>
        <v>#N/A</v>
      </c>
      <c r="L1654" s="4" t="e">
        <f>VLOOKUP(A1654,Revisión!$A$2:$L$703,10,FALSE)</f>
        <v>#N/A</v>
      </c>
      <c r="M1654" s="18" t="e">
        <f>VLOOKUP(A1654,Revisión!$A$2:$L$703,11,FALSE)</f>
        <v>#N/A</v>
      </c>
      <c r="N1654" s="30" t="str">
        <f>IF(E1654="Coinciden",D1654,IF(E1654="Revisar",VLOOKUP(A1654,Revisión!$A$2:$L$703,12,FALSE),""))</f>
        <v>Plantago asiatica</v>
      </c>
    </row>
    <row r="1655" spans="1:14" x14ac:dyDescent="0.3">
      <c r="A1655" t="s">
        <v>3404</v>
      </c>
      <c r="B1655" t="s">
        <v>3405</v>
      </c>
      <c r="C1655" t="s">
        <v>3405</v>
      </c>
      <c r="D1655" t="s">
        <v>3405</v>
      </c>
      <c r="E1655" t="s">
        <v>18</v>
      </c>
      <c r="F1655" t="s">
        <v>19</v>
      </c>
      <c r="H1655" s="23" t="e">
        <f>VLOOKUP(A1655,Revisión!$A$2:$L$703,6,FALSE)</f>
        <v>#N/A</v>
      </c>
      <c r="I1655" s="4" t="e">
        <f>VLOOKUP(A1655,Revisión!$A$2:$L$703,7,FALSE)</f>
        <v>#N/A</v>
      </c>
      <c r="J1655" s="4" t="e">
        <f>VLOOKUP(A1655,Revisión!$A$2:$L$703,8,FALSE)</f>
        <v>#N/A</v>
      </c>
      <c r="K1655" s="4" t="e">
        <f>VLOOKUP(A1655,Revisión!$A$2:$L$703,9,FALSE)</f>
        <v>#N/A</v>
      </c>
      <c r="L1655" s="4" t="e">
        <f>VLOOKUP(A1655,Revisión!$A$2:$L$703,10,FALSE)</f>
        <v>#N/A</v>
      </c>
      <c r="M1655" s="18" t="e">
        <f>VLOOKUP(A1655,Revisión!$A$2:$L$703,11,FALSE)</f>
        <v>#N/A</v>
      </c>
      <c r="N1655" s="30" t="str">
        <f>IF(E1655="Coinciden",D1655,IF(E1655="Revisar",VLOOKUP(A1655,Revisión!$A$2:$L$703,12,FALSE),""))</f>
        <v>Plantago lagopus</v>
      </c>
    </row>
    <row r="1656" spans="1:14" x14ac:dyDescent="0.3">
      <c r="A1656" t="s">
        <v>3406</v>
      </c>
      <c r="B1656" t="s">
        <v>3407</v>
      </c>
      <c r="C1656" t="s">
        <v>3407</v>
      </c>
      <c r="D1656" t="s">
        <v>3407</v>
      </c>
      <c r="E1656" t="s">
        <v>18</v>
      </c>
      <c r="F1656" t="s">
        <v>19</v>
      </c>
      <c r="H1656" s="23" t="e">
        <f>VLOOKUP(A1656,Revisión!$A$2:$L$703,6,FALSE)</f>
        <v>#N/A</v>
      </c>
      <c r="I1656" s="4" t="e">
        <f>VLOOKUP(A1656,Revisión!$A$2:$L$703,7,FALSE)</f>
        <v>#N/A</v>
      </c>
      <c r="J1656" s="4" t="e">
        <f>VLOOKUP(A1656,Revisión!$A$2:$L$703,8,FALSE)</f>
        <v>#N/A</v>
      </c>
      <c r="K1656" s="4" t="e">
        <f>VLOOKUP(A1656,Revisión!$A$2:$L$703,9,FALSE)</f>
        <v>#N/A</v>
      </c>
      <c r="L1656" s="4" t="e">
        <f>VLOOKUP(A1656,Revisión!$A$2:$L$703,10,FALSE)</f>
        <v>#N/A</v>
      </c>
      <c r="M1656" s="18" t="e">
        <f>VLOOKUP(A1656,Revisión!$A$2:$L$703,11,FALSE)</f>
        <v>#N/A</v>
      </c>
      <c r="N1656" s="30" t="str">
        <f>IF(E1656="Coinciden",D1656,IF(E1656="Revisar",VLOOKUP(A1656,Revisión!$A$2:$L$703,12,FALSE),""))</f>
        <v>Pleurostylia leucocarpa</v>
      </c>
    </row>
    <row r="1657" spans="1:14" x14ac:dyDescent="0.3">
      <c r="A1657" t="s">
        <v>3408</v>
      </c>
      <c r="B1657" t="s">
        <v>3409</v>
      </c>
      <c r="C1657" t="s">
        <v>3409</v>
      </c>
      <c r="D1657" t="s">
        <v>3409</v>
      </c>
      <c r="E1657" t="s">
        <v>18</v>
      </c>
      <c r="F1657" t="s">
        <v>19</v>
      </c>
      <c r="H1657" s="23" t="e">
        <f>VLOOKUP(A1657,Revisión!$A$2:$L$703,6,FALSE)</f>
        <v>#N/A</v>
      </c>
      <c r="I1657" s="4" t="e">
        <f>VLOOKUP(A1657,Revisión!$A$2:$L$703,7,FALSE)</f>
        <v>#N/A</v>
      </c>
      <c r="J1657" s="4" t="e">
        <f>VLOOKUP(A1657,Revisión!$A$2:$L$703,8,FALSE)</f>
        <v>#N/A</v>
      </c>
      <c r="K1657" s="4" t="e">
        <f>VLOOKUP(A1657,Revisión!$A$2:$L$703,9,FALSE)</f>
        <v>#N/A</v>
      </c>
      <c r="L1657" s="4" t="e">
        <f>VLOOKUP(A1657,Revisión!$A$2:$L$703,10,FALSE)</f>
        <v>#N/A</v>
      </c>
      <c r="M1657" s="18" t="e">
        <f>VLOOKUP(A1657,Revisión!$A$2:$L$703,11,FALSE)</f>
        <v>#N/A</v>
      </c>
      <c r="N1657" s="30" t="str">
        <f>IF(E1657="Coinciden",D1657,IF(E1657="Revisar",VLOOKUP(A1657,Revisión!$A$2:$L$703,12,FALSE),""))</f>
        <v>Plocama pendula</v>
      </c>
    </row>
    <row r="1658" spans="1:14" x14ac:dyDescent="0.3">
      <c r="A1658" t="s">
        <v>3410</v>
      </c>
      <c r="B1658" t="s">
        <v>3411</v>
      </c>
      <c r="C1658" t="s">
        <v>3411</v>
      </c>
      <c r="D1658" t="s">
        <v>3411</v>
      </c>
      <c r="E1658" t="s">
        <v>18</v>
      </c>
      <c r="F1658" t="s">
        <v>19</v>
      </c>
      <c r="H1658" s="23" t="e">
        <f>VLOOKUP(A1658,Revisión!$A$2:$L$703,6,FALSE)</f>
        <v>#N/A</v>
      </c>
      <c r="I1658" s="4" t="e">
        <f>VLOOKUP(A1658,Revisión!$A$2:$L$703,7,FALSE)</f>
        <v>#N/A</v>
      </c>
      <c r="J1658" s="4" t="e">
        <f>VLOOKUP(A1658,Revisión!$A$2:$L$703,8,FALSE)</f>
        <v>#N/A</v>
      </c>
      <c r="K1658" s="4" t="e">
        <f>VLOOKUP(A1658,Revisión!$A$2:$L$703,9,FALSE)</f>
        <v>#N/A</v>
      </c>
      <c r="L1658" s="4" t="e">
        <f>VLOOKUP(A1658,Revisión!$A$2:$L$703,10,FALSE)</f>
        <v>#N/A</v>
      </c>
      <c r="M1658" s="18" t="e">
        <f>VLOOKUP(A1658,Revisión!$A$2:$L$703,11,FALSE)</f>
        <v>#N/A</v>
      </c>
      <c r="N1658" s="30" t="str">
        <f>IF(E1658="Coinciden",D1658,IF(E1658="Revisar",VLOOKUP(A1658,Revisión!$A$2:$L$703,12,FALSE),""))</f>
        <v>Plumbago zeylanica</v>
      </c>
    </row>
    <row r="1659" spans="1:14" x14ac:dyDescent="0.3">
      <c r="A1659" t="s">
        <v>3412</v>
      </c>
      <c r="B1659" t="s">
        <v>3413</v>
      </c>
      <c r="C1659" t="s">
        <v>3413</v>
      </c>
      <c r="D1659" t="s">
        <v>3413</v>
      </c>
      <c r="E1659" t="s">
        <v>18</v>
      </c>
      <c r="F1659" t="s">
        <v>19</v>
      </c>
      <c r="H1659" s="23" t="e">
        <f>VLOOKUP(A1659,Revisión!$A$2:$L$703,6,FALSE)</f>
        <v>#N/A</v>
      </c>
      <c r="I1659" s="4" t="e">
        <f>VLOOKUP(A1659,Revisión!$A$2:$L$703,7,FALSE)</f>
        <v>#N/A</v>
      </c>
      <c r="J1659" s="4" t="e">
        <f>VLOOKUP(A1659,Revisión!$A$2:$L$703,8,FALSE)</f>
        <v>#N/A</v>
      </c>
      <c r="K1659" s="4" t="e">
        <f>VLOOKUP(A1659,Revisión!$A$2:$L$703,9,FALSE)</f>
        <v>#N/A</v>
      </c>
      <c r="L1659" s="4" t="e">
        <f>VLOOKUP(A1659,Revisión!$A$2:$L$703,10,FALSE)</f>
        <v>#N/A</v>
      </c>
      <c r="M1659" s="18" t="e">
        <f>VLOOKUP(A1659,Revisión!$A$2:$L$703,11,FALSE)</f>
        <v>#N/A</v>
      </c>
      <c r="N1659" s="30" t="str">
        <f>IF(E1659="Coinciden",D1659,IF(E1659="Revisar",VLOOKUP(A1659,Revisión!$A$2:$L$703,12,FALSE),""))</f>
        <v>Poa pratensis</v>
      </c>
    </row>
    <row r="1660" spans="1:14" x14ac:dyDescent="0.3">
      <c r="A1660" t="s">
        <v>3414</v>
      </c>
      <c r="B1660" t="s">
        <v>3415</v>
      </c>
      <c r="C1660" t="s">
        <v>3415</v>
      </c>
      <c r="D1660" t="s">
        <v>3415</v>
      </c>
      <c r="E1660" t="s">
        <v>18</v>
      </c>
      <c r="F1660" t="s">
        <v>19</v>
      </c>
      <c r="H1660" s="23" t="e">
        <f>VLOOKUP(A1660,Revisión!$A$2:$L$703,6,FALSE)</f>
        <v>#N/A</v>
      </c>
      <c r="I1660" s="4" t="e">
        <f>VLOOKUP(A1660,Revisión!$A$2:$L$703,7,FALSE)</f>
        <v>#N/A</v>
      </c>
      <c r="J1660" s="4" t="e">
        <f>VLOOKUP(A1660,Revisión!$A$2:$L$703,8,FALSE)</f>
        <v>#N/A</v>
      </c>
      <c r="K1660" s="4" t="e">
        <f>VLOOKUP(A1660,Revisión!$A$2:$L$703,9,FALSE)</f>
        <v>#N/A</v>
      </c>
      <c r="L1660" s="4" t="e">
        <f>VLOOKUP(A1660,Revisión!$A$2:$L$703,10,FALSE)</f>
        <v>#N/A</v>
      </c>
      <c r="M1660" s="18" t="e">
        <f>VLOOKUP(A1660,Revisión!$A$2:$L$703,11,FALSE)</f>
        <v>#N/A</v>
      </c>
      <c r="N1660" s="30" t="str">
        <f>IF(E1660="Coinciden",D1660,IF(E1660="Revisar",VLOOKUP(A1660,Revisión!$A$2:$L$703,12,FALSE),""))</f>
        <v>Podophyllum peltatum</v>
      </c>
    </row>
    <row r="1661" spans="1:14" x14ac:dyDescent="0.3">
      <c r="A1661" t="s">
        <v>3416</v>
      </c>
      <c r="B1661" t="s">
        <v>3417</v>
      </c>
      <c r="C1661" t="s">
        <v>3417</v>
      </c>
      <c r="D1661" t="s">
        <v>3417</v>
      </c>
      <c r="E1661" t="s">
        <v>18</v>
      </c>
      <c r="F1661" t="s">
        <v>19</v>
      </c>
      <c r="H1661" s="23" t="e">
        <f>VLOOKUP(A1661,Revisión!$A$2:$L$703,6,FALSE)</f>
        <v>#N/A</v>
      </c>
      <c r="I1661" s="4" t="e">
        <f>VLOOKUP(A1661,Revisión!$A$2:$L$703,7,FALSE)</f>
        <v>#N/A</v>
      </c>
      <c r="J1661" s="4" t="e">
        <f>VLOOKUP(A1661,Revisión!$A$2:$L$703,8,FALSE)</f>
        <v>#N/A</v>
      </c>
      <c r="K1661" s="4" t="e">
        <f>VLOOKUP(A1661,Revisión!$A$2:$L$703,9,FALSE)</f>
        <v>#N/A</v>
      </c>
      <c r="L1661" s="4" t="e">
        <f>VLOOKUP(A1661,Revisión!$A$2:$L$703,10,FALSE)</f>
        <v>#N/A</v>
      </c>
      <c r="M1661" s="18" t="e">
        <f>VLOOKUP(A1661,Revisión!$A$2:$L$703,11,FALSE)</f>
        <v>#N/A</v>
      </c>
      <c r="N1661" s="30" t="str">
        <f>IF(E1661="Coinciden",D1661,IF(E1661="Revisar",VLOOKUP(A1661,Revisión!$A$2:$L$703,12,FALSE),""))</f>
        <v>Poecilandra retusa</v>
      </c>
    </row>
    <row r="1662" spans="1:14" x14ac:dyDescent="0.3">
      <c r="A1662" t="s">
        <v>3418</v>
      </c>
      <c r="B1662" t="s">
        <v>3419</v>
      </c>
      <c r="C1662" t="s">
        <v>3419</v>
      </c>
      <c r="D1662" t="s">
        <v>3419</v>
      </c>
      <c r="E1662" t="s">
        <v>18</v>
      </c>
      <c r="F1662" t="s">
        <v>19</v>
      </c>
      <c r="H1662" s="23" t="e">
        <f>VLOOKUP(A1662,Revisión!$A$2:$L$703,6,FALSE)</f>
        <v>#N/A</v>
      </c>
      <c r="I1662" s="4" t="e">
        <f>VLOOKUP(A1662,Revisión!$A$2:$L$703,7,FALSE)</f>
        <v>#N/A</v>
      </c>
      <c r="J1662" s="4" t="e">
        <f>VLOOKUP(A1662,Revisión!$A$2:$L$703,8,FALSE)</f>
        <v>#N/A</v>
      </c>
      <c r="K1662" s="4" t="e">
        <f>VLOOKUP(A1662,Revisión!$A$2:$L$703,9,FALSE)</f>
        <v>#N/A</v>
      </c>
      <c r="L1662" s="4" t="e">
        <f>VLOOKUP(A1662,Revisión!$A$2:$L$703,10,FALSE)</f>
        <v>#N/A</v>
      </c>
      <c r="M1662" s="18" t="e">
        <f>VLOOKUP(A1662,Revisión!$A$2:$L$703,11,FALSE)</f>
        <v>#N/A</v>
      </c>
      <c r="N1662" s="30" t="str">
        <f>IF(E1662="Coinciden",D1662,IF(E1662="Revisar",VLOOKUP(A1662,Revisión!$A$2:$L$703,12,FALSE),""))</f>
        <v>Cleistes stricta</v>
      </c>
    </row>
    <row r="1663" spans="1:14" x14ac:dyDescent="0.3">
      <c r="A1663" t="s">
        <v>3420</v>
      </c>
      <c r="B1663" t="s">
        <v>3421</v>
      </c>
      <c r="C1663" t="s">
        <v>3421</v>
      </c>
      <c r="D1663" t="s">
        <v>3422</v>
      </c>
      <c r="E1663" t="s">
        <v>8</v>
      </c>
      <c r="F1663" t="s">
        <v>15</v>
      </c>
      <c r="H1663" s="23" t="str">
        <f>VLOOKUP(A1663,Revisión!$A$2:$L$703,6,FALSE)</f>
        <v>Polemonium caeruleum subsp. yezoense</v>
      </c>
      <c r="I1663" s="4" t="str">
        <f>VLOOKUP(A1663,Revisión!$A$2:$L$703,7,FALSE)</f>
        <v>-</v>
      </c>
      <c r="J1663" s="4" t="str">
        <f>VLOOKUP(A1663,Revisión!$A$2:$L$703,8,FALSE)</f>
        <v>Polemonium caeruleum subsp. yezoense</v>
      </c>
      <c r="K1663" s="4" t="str">
        <f>VLOOKUP(A1663,Revisión!$A$2:$L$703,9,FALSE)</f>
        <v>Polemonium caeruleum subsp. yezoense</v>
      </c>
      <c r="L1663" s="4" t="str">
        <f>VLOOKUP(A1663,Revisión!$A$2:$L$703,10,FALSE)</f>
        <v>Polemonium caeruleum subsp. yezoense</v>
      </c>
      <c r="M1663" s="18">
        <f>VLOOKUP(A1663,Revisión!$A$2:$L$703,11,FALSE)</f>
        <v>4</v>
      </c>
      <c r="N1663" s="30" t="str">
        <f>IF(E1663="Coinciden",D1663,IF(E1663="Revisar",VLOOKUP(A1663,Revisión!$A$2:$L$703,12,FALSE),""))</f>
        <v>Polemonium caeruleum subsp. yezoense</v>
      </c>
    </row>
    <row r="1664" spans="1:14" x14ac:dyDescent="0.3">
      <c r="A1664" t="s">
        <v>3423</v>
      </c>
      <c r="B1664" t="s">
        <v>3424</v>
      </c>
      <c r="C1664" t="s">
        <v>3424</v>
      </c>
      <c r="D1664" t="s">
        <v>3424</v>
      </c>
      <c r="E1664" t="s">
        <v>18</v>
      </c>
      <c r="F1664" t="s">
        <v>19</v>
      </c>
      <c r="H1664" s="23" t="e">
        <f>VLOOKUP(A1664,Revisión!$A$2:$L$703,6,FALSE)</f>
        <v>#N/A</v>
      </c>
      <c r="I1664" s="4" t="e">
        <f>VLOOKUP(A1664,Revisión!$A$2:$L$703,7,FALSE)</f>
        <v>#N/A</v>
      </c>
      <c r="J1664" s="4" t="e">
        <f>VLOOKUP(A1664,Revisión!$A$2:$L$703,8,FALSE)</f>
        <v>#N/A</v>
      </c>
      <c r="K1664" s="4" t="e">
        <f>VLOOKUP(A1664,Revisión!$A$2:$L$703,9,FALSE)</f>
        <v>#N/A</v>
      </c>
      <c r="L1664" s="4" t="e">
        <f>VLOOKUP(A1664,Revisión!$A$2:$L$703,10,FALSE)</f>
        <v>#N/A</v>
      </c>
      <c r="M1664" s="18" t="e">
        <f>VLOOKUP(A1664,Revisión!$A$2:$L$703,11,FALSE)</f>
        <v>#N/A</v>
      </c>
      <c r="N1664" s="30" t="str">
        <f>IF(E1664="Coinciden",D1664,IF(E1664="Revisar",VLOOKUP(A1664,Revisión!$A$2:$L$703,12,FALSE),""))</f>
        <v>Polemonium reptans</v>
      </c>
    </row>
    <row r="1665" spans="1:14" x14ac:dyDescent="0.3">
      <c r="A1665" t="s">
        <v>3425</v>
      </c>
      <c r="B1665" t="s">
        <v>3426</v>
      </c>
      <c r="C1665" t="s">
        <v>3426</v>
      </c>
      <c r="D1665" t="s">
        <v>3426</v>
      </c>
      <c r="E1665" t="s">
        <v>18</v>
      </c>
      <c r="F1665" t="s">
        <v>19</v>
      </c>
      <c r="H1665" s="23" t="e">
        <f>VLOOKUP(A1665,Revisión!$A$2:$L$703,6,FALSE)</f>
        <v>#N/A</v>
      </c>
      <c r="I1665" s="4" t="e">
        <f>VLOOKUP(A1665,Revisión!$A$2:$L$703,7,FALSE)</f>
        <v>#N/A</v>
      </c>
      <c r="J1665" s="4" t="e">
        <f>VLOOKUP(A1665,Revisión!$A$2:$L$703,8,FALSE)</f>
        <v>#N/A</v>
      </c>
      <c r="K1665" s="4" t="e">
        <f>VLOOKUP(A1665,Revisión!$A$2:$L$703,9,FALSE)</f>
        <v>#N/A</v>
      </c>
      <c r="L1665" s="4" t="e">
        <f>VLOOKUP(A1665,Revisión!$A$2:$L$703,10,FALSE)</f>
        <v>#N/A</v>
      </c>
      <c r="M1665" s="18" t="e">
        <f>VLOOKUP(A1665,Revisión!$A$2:$L$703,11,FALSE)</f>
        <v>#N/A</v>
      </c>
      <c r="N1665" s="30" t="str">
        <f>IF(E1665="Coinciden",D1665,IF(E1665="Revisar",VLOOKUP(A1665,Revisión!$A$2:$L$703,12,FALSE),""))</f>
        <v>Pollia japonica</v>
      </c>
    </row>
    <row r="1666" spans="1:14" x14ac:dyDescent="0.3">
      <c r="A1666" t="s">
        <v>3427</v>
      </c>
      <c r="B1666" t="s">
        <v>3428</v>
      </c>
      <c r="C1666" t="s">
        <v>3428</v>
      </c>
      <c r="D1666" t="s">
        <v>3428</v>
      </c>
      <c r="E1666" t="s">
        <v>18</v>
      </c>
      <c r="F1666" t="s">
        <v>19</v>
      </c>
      <c r="H1666" s="23" t="e">
        <f>VLOOKUP(A1666,Revisión!$A$2:$L$703,6,FALSE)</f>
        <v>#N/A</v>
      </c>
      <c r="I1666" s="4" t="e">
        <f>VLOOKUP(A1666,Revisión!$A$2:$L$703,7,FALSE)</f>
        <v>#N/A</v>
      </c>
      <c r="J1666" s="4" t="e">
        <f>VLOOKUP(A1666,Revisión!$A$2:$L$703,8,FALSE)</f>
        <v>#N/A</v>
      </c>
      <c r="K1666" s="4" t="e">
        <f>VLOOKUP(A1666,Revisión!$A$2:$L$703,9,FALSE)</f>
        <v>#N/A</v>
      </c>
      <c r="L1666" s="4" t="e">
        <f>VLOOKUP(A1666,Revisión!$A$2:$L$703,10,FALSE)</f>
        <v>#N/A</v>
      </c>
      <c r="M1666" s="18" t="e">
        <f>VLOOKUP(A1666,Revisión!$A$2:$L$703,11,FALSE)</f>
        <v>#N/A</v>
      </c>
      <c r="N1666" s="30" t="str">
        <f>IF(E1666="Coinciden",D1666,IF(E1666="Revisar",VLOOKUP(A1666,Revisión!$A$2:$L$703,12,FALSE),""))</f>
        <v>Polygala japonica</v>
      </c>
    </row>
    <row r="1667" spans="1:14" x14ac:dyDescent="0.3">
      <c r="A1667" t="s">
        <v>3429</v>
      </c>
      <c r="B1667" t="s">
        <v>3430</v>
      </c>
      <c r="D1667" t="s">
        <v>3430</v>
      </c>
      <c r="E1667" t="s">
        <v>8</v>
      </c>
      <c r="F1667" t="s">
        <v>34</v>
      </c>
      <c r="H1667" s="23" t="str">
        <f>VLOOKUP(A1667,Revisión!$A$2:$L$703,6,FALSE)</f>
        <v>Senega sanguinea</v>
      </c>
      <c r="I1667" s="4" t="str">
        <f>VLOOKUP(A1667,Revisión!$A$2:$L$703,7,FALSE)</f>
        <v>-</v>
      </c>
      <c r="J1667" s="4" t="str">
        <f>VLOOKUP(A1667,Revisión!$A$2:$L$703,8,FALSE)</f>
        <v>Senega sanguinea</v>
      </c>
      <c r="K1667" s="4" t="str">
        <f>VLOOKUP(A1667,Revisión!$A$2:$L$703,9,FALSE)</f>
        <v>Senega sanguinea</v>
      </c>
      <c r="L1667" s="4" t="str">
        <f>VLOOKUP(A1667,Revisión!$A$2:$L$703,10,FALSE)</f>
        <v>Senega sanguinea</v>
      </c>
      <c r="M1667" s="18">
        <f>VLOOKUP(A1667,Revisión!$A$2:$L$703,11,FALSE)</f>
        <v>4</v>
      </c>
      <c r="N1667" s="30" t="str">
        <f>IF(E1667="Coinciden",D1667,IF(E1667="Revisar",VLOOKUP(A1667,Revisión!$A$2:$L$703,12,FALSE),""))</f>
        <v>Senega sanguinea</v>
      </c>
    </row>
    <row r="1668" spans="1:14" x14ac:dyDescent="0.3">
      <c r="A1668" t="s">
        <v>3431</v>
      </c>
      <c r="B1668" t="s">
        <v>3432</v>
      </c>
      <c r="D1668" t="s">
        <v>3432</v>
      </c>
      <c r="E1668" t="s">
        <v>8</v>
      </c>
      <c r="F1668" t="s">
        <v>34</v>
      </c>
      <c r="H1668" s="23" t="str">
        <f>VLOOKUP(A1668,Revisión!$A$2:$L$703,6,FALSE)</f>
        <v>Senega stenophylla </v>
      </c>
      <c r="I1668" s="4" t="str">
        <f>VLOOKUP(A1668,Revisión!$A$2:$L$703,7,FALSE)</f>
        <v>-</v>
      </c>
      <c r="J1668" s="4" t="str">
        <f>VLOOKUP(A1668,Revisión!$A$2:$L$703,8,FALSE)</f>
        <v>Senega stenophylla </v>
      </c>
      <c r="K1668" s="4" t="str">
        <f>VLOOKUP(A1668,Revisión!$A$2:$L$703,9,FALSE)</f>
        <v>Senega stenophylla </v>
      </c>
      <c r="L1668" s="4" t="str">
        <f>VLOOKUP(A1668,Revisión!$A$2:$L$703,10,FALSE)</f>
        <v>Senega stenophylla </v>
      </c>
      <c r="M1668" s="18">
        <f>VLOOKUP(A1668,Revisión!$A$2:$L$703,11,FALSE)</f>
        <v>4</v>
      </c>
      <c r="N1668" s="30" t="str">
        <f>IF(E1668="Coinciden",D1668,IF(E1668="Revisar",VLOOKUP(A1668,Revisión!$A$2:$L$703,12,FALSE),""))</f>
        <v>Senega stenophylla </v>
      </c>
    </row>
    <row r="1669" spans="1:14" x14ac:dyDescent="0.3">
      <c r="A1669" t="s">
        <v>3433</v>
      </c>
      <c r="B1669" t="s">
        <v>3434</v>
      </c>
      <c r="C1669" t="s">
        <v>3434</v>
      </c>
      <c r="D1669" t="s">
        <v>3434</v>
      </c>
      <c r="E1669" t="s">
        <v>18</v>
      </c>
      <c r="F1669" t="s">
        <v>19</v>
      </c>
      <c r="H1669" s="23" t="e">
        <f>VLOOKUP(A1669,Revisión!$A$2:$L$703,6,FALSE)</f>
        <v>#N/A</v>
      </c>
      <c r="I1669" s="4" t="e">
        <f>VLOOKUP(A1669,Revisión!$A$2:$L$703,7,FALSE)</f>
        <v>#N/A</v>
      </c>
      <c r="J1669" s="4" t="e">
        <f>VLOOKUP(A1669,Revisión!$A$2:$L$703,8,FALSE)</f>
        <v>#N/A</v>
      </c>
      <c r="K1669" s="4" t="e">
        <f>VLOOKUP(A1669,Revisión!$A$2:$L$703,9,FALSE)</f>
        <v>#N/A</v>
      </c>
      <c r="L1669" s="4" t="e">
        <f>VLOOKUP(A1669,Revisión!$A$2:$L$703,10,FALSE)</f>
        <v>#N/A</v>
      </c>
      <c r="M1669" s="18" t="e">
        <f>VLOOKUP(A1669,Revisión!$A$2:$L$703,11,FALSE)</f>
        <v>#N/A</v>
      </c>
      <c r="N1669" s="30" t="str">
        <f>IF(E1669="Coinciden",D1669,IF(E1669="Revisar",VLOOKUP(A1669,Revisión!$A$2:$L$703,12,FALSE),""))</f>
        <v>Polygonatum macranthum</v>
      </c>
    </row>
    <row r="1670" spans="1:14" x14ac:dyDescent="0.3">
      <c r="A1670" t="s">
        <v>3435</v>
      </c>
      <c r="B1670" t="s">
        <v>3436</v>
      </c>
      <c r="C1670" t="s">
        <v>3436</v>
      </c>
      <c r="D1670" t="s">
        <v>3436</v>
      </c>
      <c r="E1670" t="s">
        <v>18</v>
      </c>
      <c r="F1670" t="s">
        <v>19</v>
      </c>
      <c r="H1670" s="23" t="e">
        <f>VLOOKUP(A1670,Revisión!$A$2:$L$703,6,FALSE)</f>
        <v>#N/A</v>
      </c>
      <c r="I1670" s="4" t="e">
        <f>VLOOKUP(A1670,Revisión!$A$2:$L$703,7,FALSE)</f>
        <v>#N/A</v>
      </c>
      <c r="J1670" s="4" t="e">
        <f>VLOOKUP(A1670,Revisión!$A$2:$L$703,8,FALSE)</f>
        <v>#N/A</v>
      </c>
      <c r="K1670" s="4" t="e">
        <f>VLOOKUP(A1670,Revisión!$A$2:$L$703,9,FALSE)</f>
        <v>#N/A</v>
      </c>
      <c r="L1670" s="4" t="e">
        <f>VLOOKUP(A1670,Revisión!$A$2:$L$703,10,FALSE)</f>
        <v>#N/A</v>
      </c>
      <c r="M1670" s="18" t="e">
        <f>VLOOKUP(A1670,Revisión!$A$2:$L$703,11,FALSE)</f>
        <v>#N/A</v>
      </c>
      <c r="N1670" s="30" t="str">
        <f>IF(E1670="Coinciden",D1670,IF(E1670="Revisar",VLOOKUP(A1670,Revisión!$A$2:$L$703,12,FALSE),""))</f>
        <v>Polygonatum biflorum</v>
      </c>
    </row>
    <row r="1671" spans="1:14" x14ac:dyDescent="0.3">
      <c r="A1671" t="s">
        <v>3437</v>
      </c>
      <c r="B1671" t="s">
        <v>3438</v>
      </c>
      <c r="C1671" t="s">
        <v>3438</v>
      </c>
      <c r="D1671" t="s">
        <v>3438</v>
      </c>
      <c r="E1671" t="s">
        <v>18</v>
      </c>
      <c r="F1671" t="s">
        <v>19</v>
      </c>
      <c r="H1671" s="23" t="e">
        <f>VLOOKUP(A1671,Revisión!$A$2:$L$703,6,FALSE)</f>
        <v>#N/A</v>
      </c>
      <c r="I1671" s="4" t="e">
        <f>VLOOKUP(A1671,Revisión!$A$2:$L$703,7,FALSE)</f>
        <v>#N/A</v>
      </c>
      <c r="J1671" s="4" t="e">
        <f>VLOOKUP(A1671,Revisión!$A$2:$L$703,8,FALSE)</f>
        <v>#N/A</v>
      </c>
      <c r="K1671" s="4" t="e">
        <f>VLOOKUP(A1671,Revisión!$A$2:$L$703,9,FALSE)</f>
        <v>#N/A</v>
      </c>
      <c r="L1671" s="4" t="e">
        <f>VLOOKUP(A1671,Revisión!$A$2:$L$703,10,FALSE)</f>
        <v>#N/A</v>
      </c>
      <c r="M1671" s="18" t="e">
        <f>VLOOKUP(A1671,Revisión!$A$2:$L$703,11,FALSE)</f>
        <v>#N/A</v>
      </c>
      <c r="N1671" s="30" t="str">
        <f>IF(E1671="Coinciden",D1671,IF(E1671="Revisar",VLOOKUP(A1671,Revisión!$A$2:$L$703,12,FALSE),""))</f>
        <v>Polygonatum lasianthum</v>
      </c>
    </row>
    <row r="1672" spans="1:14" x14ac:dyDescent="0.3">
      <c r="A1672" t="s">
        <v>3439</v>
      </c>
      <c r="B1672" t="s">
        <v>3440</v>
      </c>
      <c r="C1672" t="s">
        <v>3441</v>
      </c>
      <c r="D1672" t="s">
        <v>3441</v>
      </c>
      <c r="E1672" t="s">
        <v>8</v>
      </c>
      <c r="F1672" t="s">
        <v>23</v>
      </c>
      <c r="H1672" s="23" t="str">
        <f>VLOOKUP(A1672,Revisión!$A$2:$L$703,6,FALSE)</f>
        <v>Persicaria maculosa</v>
      </c>
      <c r="I1672" s="4" t="str">
        <f>VLOOKUP(A1672,Revisión!$A$2:$L$703,7,FALSE)</f>
        <v>-</v>
      </c>
      <c r="J1672" s="4" t="str">
        <f>VLOOKUP(A1672,Revisión!$A$2:$L$703,8,FALSE)</f>
        <v>Persicaria maculosa</v>
      </c>
      <c r="K1672" s="4" t="str">
        <f>VLOOKUP(A1672,Revisión!$A$2:$L$703,9,FALSE)</f>
        <v>Persicaria maculosa</v>
      </c>
      <c r="L1672" s="4" t="str">
        <f>VLOOKUP(A1672,Revisión!$A$2:$L$703,10,FALSE)</f>
        <v>Persicaria maculosa</v>
      </c>
      <c r="M1672" s="18">
        <f>VLOOKUP(A1672,Revisión!$A$2:$L$703,11,FALSE)</f>
        <v>5</v>
      </c>
      <c r="N1672" s="30" t="str">
        <f>IF(E1672="Coinciden",D1672,IF(E1672="Revisar",VLOOKUP(A1672,Revisión!$A$2:$L$703,12,FALSE),""))</f>
        <v>Persicaria maculosa</v>
      </c>
    </row>
    <row r="1673" spans="1:14" x14ac:dyDescent="0.3">
      <c r="A1673" t="s">
        <v>3442</v>
      </c>
      <c r="B1673" t="s">
        <v>3443</v>
      </c>
      <c r="C1673" t="s">
        <v>3443</v>
      </c>
      <c r="D1673" t="s">
        <v>3444</v>
      </c>
      <c r="E1673" t="s">
        <v>8</v>
      </c>
      <c r="F1673" t="s">
        <v>15</v>
      </c>
      <c r="H1673" s="23" t="str">
        <f>VLOOKUP(A1673,Revisión!$A$2:$L$703,6,FALSE)</f>
        <v>Persicaria hydropiperoides</v>
      </c>
      <c r="I1673" s="4" t="str">
        <f>VLOOKUP(A1673,Revisión!$A$2:$L$703,7,FALSE)</f>
        <v>-</v>
      </c>
      <c r="J1673" s="4" t="str">
        <f>VLOOKUP(A1673,Revisión!$A$2:$L$703,8,FALSE)</f>
        <v>Persicaria hydropiperoides</v>
      </c>
      <c r="K1673" s="4" t="str">
        <f>VLOOKUP(A1673,Revisión!$A$2:$L$703,9,FALSE)</f>
        <v>Persicaria hydropiperoides</v>
      </c>
      <c r="L1673" s="4" t="str">
        <f>VLOOKUP(A1673,Revisión!$A$2:$L$703,10,FALSE)</f>
        <v>Persicaria hydropiperoides</v>
      </c>
      <c r="M1673" s="18">
        <f>VLOOKUP(A1673,Revisión!$A$2:$L$703,11,FALSE)</f>
        <v>5</v>
      </c>
      <c r="N1673" s="30" t="str">
        <f>IF(E1673="Coinciden",D1673,IF(E1673="Revisar",VLOOKUP(A1673,Revisión!$A$2:$L$703,12,FALSE),""))</f>
        <v>Persicaria hydropiperoides</v>
      </c>
    </row>
    <row r="1674" spans="1:14" x14ac:dyDescent="0.3">
      <c r="A1674" t="s">
        <v>3445</v>
      </c>
      <c r="B1674" t="s">
        <v>3446</v>
      </c>
      <c r="C1674" t="s">
        <v>3446</v>
      </c>
      <c r="D1674" t="s">
        <v>3446</v>
      </c>
      <c r="E1674" t="s">
        <v>18</v>
      </c>
      <c r="F1674" t="s">
        <v>19</v>
      </c>
      <c r="H1674" s="23" t="e">
        <f>VLOOKUP(A1674,Revisión!$A$2:$L$703,6,FALSE)</f>
        <v>#N/A</v>
      </c>
      <c r="I1674" s="4" t="e">
        <f>VLOOKUP(A1674,Revisión!$A$2:$L$703,7,FALSE)</f>
        <v>#N/A</v>
      </c>
      <c r="J1674" s="4" t="e">
        <f>VLOOKUP(A1674,Revisión!$A$2:$L$703,8,FALSE)</f>
        <v>#N/A</v>
      </c>
      <c r="K1674" s="4" t="e">
        <f>VLOOKUP(A1674,Revisión!$A$2:$L$703,9,FALSE)</f>
        <v>#N/A</v>
      </c>
      <c r="L1674" s="4" t="e">
        <f>VLOOKUP(A1674,Revisión!$A$2:$L$703,10,FALSE)</f>
        <v>#N/A</v>
      </c>
      <c r="M1674" s="18" t="e">
        <f>VLOOKUP(A1674,Revisión!$A$2:$L$703,11,FALSE)</f>
        <v>#N/A</v>
      </c>
      <c r="N1674" s="30" t="str">
        <f>IF(E1674="Coinciden",D1674,IF(E1674="Revisar",VLOOKUP(A1674,Revisión!$A$2:$L$703,12,FALSE),""))</f>
        <v>Fallopia scandens</v>
      </c>
    </row>
    <row r="1675" spans="1:14" x14ac:dyDescent="0.3">
      <c r="A1675" t="s">
        <v>3447</v>
      </c>
      <c r="D1675" t="s">
        <v>3448</v>
      </c>
      <c r="E1675" t="s">
        <v>8</v>
      </c>
      <c r="F1675" t="s">
        <v>9</v>
      </c>
      <c r="H1675" s="23" t="str">
        <f>VLOOKUP(A1675,Revisión!$A$2:$L$703,6,FALSE)</f>
        <v>Persicaria lapathifolia</v>
      </c>
      <c r="I1675" s="4" t="str">
        <f>VLOOKUP(A1675,Revisión!$A$2:$L$703,7,FALSE)</f>
        <v>-</v>
      </c>
      <c r="J1675" s="4" t="str">
        <f>VLOOKUP(A1675,Revisión!$A$2:$L$703,8,FALSE)</f>
        <v>Persicaria lapathifolia</v>
      </c>
      <c r="K1675" s="4" t="str">
        <f>VLOOKUP(A1675,Revisión!$A$2:$L$703,9,FALSE)</f>
        <v>Persicaria lapathifolia</v>
      </c>
      <c r="L1675" s="4" t="str">
        <f>VLOOKUP(A1675,Revisión!$A$2:$L$703,10,FALSE)</f>
        <v>Persicaria lapathifolia</v>
      </c>
      <c r="M1675" s="18">
        <f>VLOOKUP(A1675,Revisión!$A$2:$L$703,11,FALSE)</f>
        <v>5</v>
      </c>
      <c r="N1675" s="30" t="str">
        <f>IF(E1675="Coinciden",D1675,IF(E1675="Revisar",VLOOKUP(A1675,Revisión!$A$2:$L$703,12,FALSE),""))</f>
        <v>Persicaria lapathifolia</v>
      </c>
    </row>
    <row r="1676" spans="1:14" x14ac:dyDescent="0.3">
      <c r="A1676" t="s">
        <v>3449</v>
      </c>
      <c r="B1676" t="s">
        <v>3450</v>
      </c>
      <c r="D1676" t="s">
        <v>3451</v>
      </c>
      <c r="E1676" t="s">
        <v>8</v>
      </c>
      <c r="F1676" t="s">
        <v>9</v>
      </c>
      <c r="H1676" s="23" t="str">
        <f>VLOOKUP(A1676,Revisión!$A$2:$L$703,6,FALSE)</f>
        <v>Persicaria pensylvanica</v>
      </c>
      <c r="I1676" s="4" t="str">
        <f>VLOOKUP(A1676,Revisión!$A$2:$L$703,7,FALSE)</f>
        <v>-</v>
      </c>
      <c r="J1676" s="4" t="str">
        <f>VLOOKUP(A1676,Revisión!$A$2:$L$703,8,FALSE)</f>
        <v>Persicaria pensylvanica</v>
      </c>
      <c r="K1676" s="4" t="str">
        <f>VLOOKUP(A1676,Revisión!$A$2:$L$703,9,FALSE)</f>
        <v>Persicaria pensylvanica</v>
      </c>
      <c r="L1676" s="4" t="str">
        <f>VLOOKUP(A1676,Revisión!$A$2:$L$703,10,FALSE)</f>
        <v>Persicaria pensylvanica</v>
      </c>
      <c r="M1676" s="18">
        <f>VLOOKUP(A1676,Revisión!$A$2:$L$703,11,FALSE)</f>
        <v>5</v>
      </c>
      <c r="N1676" s="30" t="str">
        <f>IF(E1676="Coinciden",D1676,IF(E1676="Revisar",VLOOKUP(A1676,Revisión!$A$2:$L$703,12,FALSE),""))</f>
        <v>Persicaria pensylvanica</v>
      </c>
    </row>
    <row r="1677" spans="1:14" x14ac:dyDescent="0.3">
      <c r="A1677" t="s">
        <v>3452</v>
      </c>
      <c r="C1677" t="s">
        <v>3453</v>
      </c>
      <c r="D1677" t="s">
        <v>3453</v>
      </c>
      <c r="E1677" t="s">
        <v>8</v>
      </c>
      <c r="F1677" t="s">
        <v>49</v>
      </c>
      <c r="H1677" s="23" t="str">
        <f>VLOOKUP(A1677,Revisión!$A$2:$L$703,6,FALSE)</f>
        <v>Persicaria hydropiper</v>
      </c>
      <c r="I1677" s="4" t="str">
        <f>VLOOKUP(A1677,Revisión!$A$2:$L$703,7,FALSE)</f>
        <v>-</v>
      </c>
      <c r="J1677" s="4" t="str">
        <f>VLOOKUP(A1677,Revisión!$A$2:$L$703,8,FALSE)</f>
        <v>Persicaria hydropiper</v>
      </c>
      <c r="K1677" s="4" t="str">
        <f>VLOOKUP(A1677,Revisión!$A$2:$L$703,9,FALSE)</f>
        <v>Persicaria hydropiper</v>
      </c>
      <c r="L1677" s="4" t="str">
        <f>VLOOKUP(A1677,Revisión!$A$2:$L$703,10,FALSE)</f>
        <v>Persicaria hydropiper</v>
      </c>
      <c r="M1677" s="18">
        <f>VLOOKUP(A1677,Revisión!$A$2:$L$703,11,FALSE)</f>
        <v>5</v>
      </c>
      <c r="N1677" s="30" t="str">
        <f>IF(E1677="Coinciden",D1677,IF(E1677="Revisar",VLOOKUP(A1677,Revisión!$A$2:$L$703,12,FALSE),""))</f>
        <v>Persicaria hydropiper</v>
      </c>
    </row>
    <row r="1678" spans="1:14" x14ac:dyDescent="0.3">
      <c r="A1678" t="s">
        <v>3454</v>
      </c>
      <c r="B1678" t="s">
        <v>3455</v>
      </c>
      <c r="C1678" t="s">
        <v>3456</v>
      </c>
      <c r="D1678" t="s">
        <v>3456</v>
      </c>
      <c r="E1678" t="s">
        <v>8</v>
      </c>
      <c r="F1678" t="s">
        <v>23</v>
      </c>
      <c r="H1678" s="23" t="str">
        <f>VLOOKUP(A1678,Revisión!$A$2:$L$703,6,FALSE)</f>
        <v>Fallopia baldschuanica</v>
      </c>
      <c r="I1678" s="4" t="str">
        <f>VLOOKUP(A1678,Revisión!$A$2:$L$703,7,FALSE)</f>
        <v>-</v>
      </c>
      <c r="J1678" s="4" t="str">
        <f>VLOOKUP(A1678,Revisión!$A$2:$L$703,8,FALSE)</f>
        <v>Fallopia aubertii</v>
      </c>
      <c r="K1678" s="4" t="str">
        <f>VLOOKUP(A1678,Revisión!$A$2:$L$703,9,FALSE)</f>
        <v>Fallopia baldschuanica</v>
      </c>
      <c r="L1678" s="4" t="str">
        <f>VLOOKUP(A1678,Revisión!$A$2:$L$703,10,FALSE)</f>
        <v>Fallopia baldschuanica</v>
      </c>
      <c r="M1678" s="18">
        <f>VLOOKUP(A1678,Revisión!$A$2:$L$703,11,FALSE)</f>
        <v>3</v>
      </c>
      <c r="N1678" s="30" t="str">
        <f>IF(E1678="Coinciden",D1678,IF(E1678="Revisar",VLOOKUP(A1678,Revisión!$A$2:$L$703,12,FALSE),""))</f>
        <v>Fallopia baldschuanica</v>
      </c>
    </row>
    <row r="1679" spans="1:14" x14ac:dyDescent="0.3">
      <c r="A1679" t="s">
        <v>3457</v>
      </c>
      <c r="B1679" t="s">
        <v>3458</v>
      </c>
      <c r="C1679" t="s">
        <v>3459</v>
      </c>
      <c r="D1679" t="s">
        <v>3460</v>
      </c>
      <c r="E1679" t="s">
        <v>8</v>
      </c>
      <c r="F1679" t="s">
        <v>295</v>
      </c>
      <c r="H1679" s="23" t="str">
        <f>VLOOKUP(A1679,Revisión!$A$2:$L$703,6,FALSE)</f>
        <v>Bistorta officinalis subsp. Officinalis</v>
      </c>
      <c r="I1679" s="4" t="str">
        <f>VLOOKUP(A1679,Revisión!$A$2:$L$703,7,FALSE)</f>
        <v>-</v>
      </c>
      <c r="J1679" s="4" t="str">
        <f>VLOOKUP(A1679,Revisión!$A$2:$L$703,8,FALSE)</f>
        <v>Bistorta officinalis</v>
      </c>
      <c r="K1679" s="4" t="str">
        <f>VLOOKUP(A1679,Revisión!$A$2:$L$703,9,FALSE)</f>
        <v>-</v>
      </c>
      <c r="L1679" s="4" t="str">
        <f>VLOOKUP(A1679,Revisión!$A$2:$L$703,10,FALSE)</f>
        <v>Bistorta officinalis subsp. officinalis</v>
      </c>
      <c r="M1679" s="18">
        <f>VLOOKUP(A1679,Revisión!$A$2:$L$703,11,FALSE)</f>
        <v>3</v>
      </c>
      <c r="N1679" s="30" t="str">
        <f>IF(E1679="Coinciden",D1679,IF(E1679="Revisar",VLOOKUP(A1679,Revisión!$A$2:$L$703,12,FALSE),""))</f>
        <v>Bistorta officinalis</v>
      </c>
    </row>
    <row r="1680" spans="1:14" x14ac:dyDescent="0.3">
      <c r="A1680" t="s">
        <v>3461</v>
      </c>
      <c r="B1680" t="s">
        <v>3462</v>
      </c>
      <c r="C1680" t="s">
        <v>3462</v>
      </c>
      <c r="D1680" t="s">
        <v>3462</v>
      </c>
      <c r="E1680" t="s">
        <v>18</v>
      </c>
      <c r="F1680" t="s">
        <v>19</v>
      </c>
      <c r="H1680" s="23" t="e">
        <f>VLOOKUP(A1680,Revisión!$A$2:$L$703,6,FALSE)</f>
        <v>#N/A</v>
      </c>
      <c r="I1680" s="4" t="e">
        <f>VLOOKUP(A1680,Revisión!$A$2:$L$703,7,FALSE)</f>
        <v>#N/A</v>
      </c>
      <c r="J1680" s="4" t="e">
        <f>VLOOKUP(A1680,Revisión!$A$2:$L$703,8,FALSE)</f>
        <v>#N/A</v>
      </c>
      <c r="K1680" s="4" t="e">
        <f>VLOOKUP(A1680,Revisión!$A$2:$L$703,9,FALSE)</f>
        <v>#N/A</v>
      </c>
      <c r="L1680" s="4" t="e">
        <f>VLOOKUP(A1680,Revisión!$A$2:$L$703,10,FALSE)</f>
        <v>#N/A</v>
      </c>
      <c r="M1680" s="18" t="e">
        <f>VLOOKUP(A1680,Revisión!$A$2:$L$703,11,FALSE)</f>
        <v>#N/A</v>
      </c>
      <c r="N1680" s="30" t="str">
        <f>IF(E1680="Coinciden",D1680,IF(E1680="Revisar",VLOOKUP(A1680,Revisión!$A$2:$L$703,12,FALSE),""))</f>
        <v>Persicaria amphibia</v>
      </c>
    </row>
    <row r="1681" spans="1:14" x14ac:dyDescent="0.3">
      <c r="A1681" t="s">
        <v>3463</v>
      </c>
      <c r="B1681" t="s">
        <v>3464</v>
      </c>
      <c r="C1681" t="s">
        <v>3443</v>
      </c>
      <c r="D1681" t="s">
        <v>3443</v>
      </c>
      <c r="E1681" t="s">
        <v>8</v>
      </c>
      <c r="F1681" t="s">
        <v>23</v>
      </c>
      <c r="H1681" s="23" t="str">
        <f>VLOOKUP(A1681,Revisión!$A$2:$L$703,6,FALSE)</f>
        <v>Polygonum hydropiperoides</v>
      </c>
      <c r="I1681" s="4" t="str">
        <f>VLOOKUP(A1681,Revisión!$A$2:$L$703,7,FALSE)</f>
        <v>-</v>
      </c>
      <c r="J1681" s="4" t="str">
        <f>VLOOKUP(A1681,Revisión!$A$2:$L$703,8,FALSE)</f>
        <v>Persicaria hydropiperoides</v>
      </c>
      <c r="K1681" s="4" t="str">
        <f>VLOOKUP(A1681,Revisión!$A$2:$L$703,9,FALSE)</f>
        <v>-</v>
      </c>
      <c r="L1681" s="4" t="str">
        <f>VLOOKUP(A1681,Revisión!$A$2:$L$703,10,FALSE)</f>
        <v>Persicaria hydropiperoides</v>
      </c>
      <c r="M1681" s="18">
        <f>VLOOKUP(A1681,Revisión!$A$2:$L$703,11,FALSE)</f>
        <v>4</v>
      </c>
      <c r="N1681" s="30" t="str">
        <f>IF(E1681="Coinciden",D1681,IF(E1681="Revisar",VLOOKUP(A1681,Revisión!$A$2:$L$703,12,FALSE),""))</f>
        <v>Persicaria hydropiperoides</v>
      </c>
    </row>
    <row r="1682" spans="1:14" x14ac:dyDescent="0.3">
      <c r="A1682" t="s">
        <v>3465</v>
      </c>
      <c r="D1682" t="s">
        <v>3466</v>
      </c>
      <c r="E1682" t="s">
        <v>8</v>
      </c>
      <c r="F1682" t="s">
        <v>9</v>
      </c>
      <c r="H1682" s="23" t="str">
        <f>VLOOKUP(A1682,Revisión!$A$2:$L$703,6,FALSE)</f>
        <v>Reynoutria japonica</v>
      </c>
      <c r="I1682" s="4" t="str">
        <f>VLOOKUP(A1682,Revisión!$A$2:$L$703,7,FALSE)</f>
        <v>-</v>
      </c>
      <c r="J1682" s="4" t="str">
        <f>VLOOKUP(A1682,Revisión!$A$2:$L$703,8,FALSE)</f>
        <v>Reynoutria japonica</v>
      </c>
      <c r="K1682" s="4" t="str">
        <f>VLOOKUP(A1682,Revisión!$A$2:$L$703,9,FALSE)</f>
        <v>-</v>
      </c>
      <c r="L1682" s="4" t="str">
        <f>VLOOKUP(A1682,Revisión!$A$2:$L$703,10,FALSE)</f>
        <v>Reynoutria japonica</v>
      </c>
      <c r="M1682" s="18">
        <f>VLOOKUP(A1682,Revisión!$A$2:$L$703,11,FALSE)</f>
        <v>4</v>
      </c>
      <c r="N1682" s="30" t="str">
        <f>IF(E1682="Coinciden",D1682,IF(E1682="Revisar",VLOOKUP(A1682,Revisión!$A$2:$L$703,12,FALSE),""))</f>
        <v>Reynoutria japonica</v>
      </c>
    </row>
    <row r="1683" spans="1:14" x14ac:dyDescent="0.3">
      <c r="A1683" t="s">
        <v>3467</v>
      </c>
      <c r="C1683" t="s">
        <v>3468</v>
      </c>
      <c r="D1683" t="s">
        <v>3469</v>
      </c>
      <c r="E1683" t="s">
        <v>8</v>
      </c>
      <c r="F1683" t="s">
        <v>9</v>
      </c>
      <c r="H1683" s="23" t="str">
        <f>VLOOKUP(A1683,Revisión!$A$2:$L$703,6,FALSE)</f>
        <v>Bistorta vivipara</v>
      </c>
      <c r="I1683" s="4" t="str">
        <f>VLOOKUP(A1683,Revisión!$A$2:$L$703,7,FALSE)</f>
        <v>-</v>
      </c>
      <c r="J1683" s="4" t="str">
        <f>VLOOKUP(A1683,Revisión!$A$2:$L$703,8,FALSE)</f>
        <v>Bistorta vivipara</v>
      </c>
      <c r="K1683" s="4" t="str">
        <f>VLOOKUP(A1683,Revisión!$A$2:$L$703,9,FALSE)</f>
        <v>-</v>
      </c>
      <c r="L1683" s="4" t="str">
        <f>VLOOKUP(A1683,Revisión!$A$2:$L$703,10,FALSE)</f>
        <v>Bistorta vivipara</v>
      </c>
      <c r="M1683" s="18">
        <f>VLOOKUP(A1683,Revisión!$A$2:$L$703,11,FALSE)</f>
        <v>4</v>
      </c>
      <c r="N1683" s="30" t="str">
        <f>IF(E1683="Coinciden",D1683,IF(E1683="Revisar",VLOOKUP(A1683,Revisión!$A$2:$L$703,12,FALSE),""))</f>
        <v>Bistorta vivipara</v>
      </c>
    </row>
    <row r="1684" spans="1:14" x14ac:dyDescent="0.3">
      <c r="A1684" t="s">
        <v>3470</v>
      </c>
      <c r="D1684" t="s">
        <v>3471</v>
      </c>
      <c r="E1684" t="s">
        <v>8</v>
      </c>
      <c r="F1684" t="s">
        <v>9</v>
      </c>
      <c r="H1684" s="23" t="str">
        <f>VLOOKUP(A1684,Revisión!$A$2:$L$703,6,FALSE)</f>
        <v>Persicaria punctata</v>
      </c>
      <c r="I1684" s="4" t="str">
        <f>VLOOKUP(A1684,Revisión!$A$2:$L$703,7,FALSE)</f>
        <v>-</v>
      </c>
      <c r="J1684" s="4" t="str">
        <f>VLOOKUP(A1684,Revisión!$A$2:$L$703,8,FALSE)</f>
        <v>Persicaria punctata</v>
      </c>
      <c r="K1684" s="4" t="str">
        <f>VLOOKUP(A1684,Revisión!$A$2:$L$703,9,FALSE)</f>
        <v>-</v>
      </c>
      <c r="L1684" s="4" t="str">
        <f>VLOOKUP(A1684,Revisión!$A$2:$L$703,10,FALSE)</f>
        <v>Persicaria punctata</v>
      </c>
      <c r="M1684" s="18">
        <f>VLOOKUP(A1684,Revisión!$A$2:$L$703,11,FALSE)</f>
        <v>4</v>
      </c>
      <c r="N1684" s="30" t="str">
        <f>IF(E1684="Coinciden",D1684,IF(E1684="Revisar",VLOOKUP(A1684,Revisión!$A$2:$L$703,12,FALSE),""))</f>
        <v>Persicaria punctata</v>
      </c>
    </row>
    <row r="1685" spans="1:14" x14ac:dyDescent="0.3">
      <c r="A1685" t="s">
        <v>3472</v>
      </c>
      <c r="B1685" t="s">
        <v>3473</v>
      </c>
      <c r="C1685" t="s">
        <v>3473</v>
      </c>
      <c r="D1685" t="s">
        <v>3473</v>
      </c>
      <c r="E1685" t="s">
        <v>18</v>
      </c>
      <c r="F1685" t="s">
        <v>19</v>
      </c>
      <c r="H1685" s="23" t="e">
        <f>VLOOKUP(A1685,Revisión!$A$2:$L$703,6,FALSE)</f>
        <v>#N/A</v>
      </c>
      <c r="I1685" s="4" t="e">
        <f>VLOOKUP(A1685,Revisión!$A$2:$L$703,7,FALSE)</f>
        <v>#N/A</v>
      </c>
      <c r="J1685" s="4" t="e">
        <f>VLOOKUP(A1685,Revisión!$A$2:$L$703,8,FALSE)</f>
        <v>#N/A</v>
      </c>
      <c r="K1685" s="4" t="e">
        <f>VLOOKUP(A1685,Revisión!$A$2:$L$703,9,FALSE)</f>
        <v>#N/A</v>
      </c>
      <c r="L1685" s="4" t="e">
        <f>VLOOKUP(A1685,Revisión!$A$2:$L$703,10,FALSE)</f>
        <v>#N/A</v>
      </c>
      <c r="M1685" s="18" t="e">
        <f>VLOOKUP(A1685,Revisión!$A$2:$L$703,11,FALSE)</f>
        <v>#N/A</v>
      </c>
      <c r="N1685" s="30" t="str">
        <f>IF(E1685="Coinciden",D1685,IF(E1685="Revisar",VLOOKUP(A1685,Revisión!$A$2:$L$703,12,FALSE),""))</f>
        <v>Smallanthus uvedalia</v>
      </c>
    </row>
    <row r="1686" spans="1:14" x14ac:dyDescent="0.3">
      <c r="A1686" t="s">
        <v>3474</v>
      </c>
      <c r="B1686" t="s">
        <v>3475</v>
      </c>
      <c r="C1686" t="s">
        <v>3475</v>
      </c>
      <c r="D1686" t="s">
        <v>3475</v>
      </c>
      <c r="E1686" t="s">
        <v>18</v>
      </c>
      <c r="F1686" t="s">
        <v>19</v>
      </c>
      <c r="H1686" s="23" t="e">
        <f>VLOOKUP(A1686,Revisión!$A$2:$L$703,6,FALSE)</f>
        <v>#N/A</v>
      </c>
      <c r="I1686" s="4" t="e">
        <f>VLOOKUP(A1686,Revisión!$A$2:$L$703,7,FALSE)</f>
        <v>#N/A</v>
      </c>
      <c r="J1686" s="4" t="e">
        <f>VLOOKUP(A1686,Revisión!$A$2:$L$703,8,FALSE)</f>
        <v>#N/A</v>
      </c>
      <c r="K1686" s="4" t="e">
        <f>VLOOKUP(A1686,Revisión!$A$2:$L$703,9,FALSE)</f>
        <v>#N/A</v>
      </c>
      <c r="L1686" s="4" t="e">
        <f>VLOOKUP(A1686,Revisión!$A$2:$L$703,10,FALSE)</f>
        <v>#N/A</v>
      </c>
      <c r="M1686" s="18" t="e">
        <f>VLOOKUP(A1686,Revisión!$A$2:$L$703,11,FALSE)</f>
        <v>#N/A</v>
      </c>
      <c r="N1686" s="30" t="str">
        <f>IF(E1686="Coinciden",D1686,IF(E1686="Revisar",VLOOKUP(A1686,Revisión!$A$2:$L$703,12,FALSE),""))</f>
        <v>Polyscias mauritiana</v>
      </c>
    </row>
    <row r="1687" spans="1:14" x14ac:dyDescent="0.3">
      <c r="A1687" t="s">
        <v>3476</v>
      </c>
      <c r="B1687" t="s">
        <v>3477</v>
      </c>
      <c r="C1687" t="s">
        <v>3477</v>
      </c>
      <c r="D1687" t="s">
        <v>3477</v>
      </c>
      <c r="E1687" t="s">
        <v>18</v>
      </c>
      <c r="F1687" t="s">
        <v>19</v>
      </c>
      <c r="H1687" s="23" t="e">
        <f>VLOOKUP(A1687,Revisión!$A$2:$L$703,6,FALSE)</f>
        <v>#N/A</v>
      </c>
      <c r="I1687" s="4" t="e">
        <f>VLOOKUP(A1687,Revisión!$A$2:$L$703,7,FALSE)</f>
        <v>#N/A</v>
      </c>
      <c r="J1687" s="4" t="e">
        <f>VLOOKUP(A1687,Revisión!$A$2:$L$703,8,FALSE)</f>
        <v>#N/A</v>
      </c>
      <c r="K1687" s="4" t="e">
        <f>VLOOKUP(A1687,Revisión!$A$2:$L$703,9,FALSE)</f>
        <v>#N/A</v>
      </c>
      <c r="L1687" s="4" t="e">
        <f>VLOOKUP(A1687,Revisión!$A$2:$L$703,10,FALSE)</f>
        <v>#N/A</v>
      </c>
      <c r="M1687" s="18" t="e">
        <f>VLOOKUP(A1687,Revisión!$A$2:$L$703,11,FALSE)</f>
        <v>#N/A</v>
      </c>
      <c r="N1687" s="30" t="str">
        <f>IF(E1687="Coinciden",D1687,IF(E1687="Revisar",VLOOKUP(A1687,Revisión!$A$2:$L$703,12,FALSE),""))</f>
        <v>Polytaenia nuttallii</v>
      </c>
    </row>
    <row r="1688" spans="1:14" x14ac:dyDescent="0.3">
      <c r="A1688" t="s">
        <v>3478</v>
      </c>
      <c r="B1688" t="s">
        <v>3479</v>
      </c>
      <c r="D1688" t="s">
        <v>3479</v>
      </c>
      <c r="E1688" t="s">
        <v>8</v>
      </c>
      <c r="F1688" t="s">
        <v>34</v>
      </c>
      <c r="H1688" s="23" t="str">
        <f>VLOOKUP(A1688,Revisión!$A$2:$L$703,6,FALSE)</f>
        <v>Pontederia cordata</v>
      </c>
      <c r="I1688" s="4" t="str">
        <f>VLOOKUP(A1688,Revisión!$A$2:$L$703,7,FALSE)</f>
        <v>-</v>
      </c>
      <c r="J1688" s="4" t="str">
        <f>VLOOKUP(A1688,Revisión!$A$2:$L$703,8,FALSE)</f>
        <v>Pontederia cordata</v>
      </c>
      <c r="K1688" s="4" t="str">
        <f>VLOOKUP(A1688,Revisión!$A$2:$L$703,9,FALSE)</f>
        <v>-</v>
      </c>
      <c r="L1688" s="4" t="str">
        <f>VLOOKUP(A1688,Revisión!$A$2:$L$703,10,FALSE)</f>
        <v>Pontederia cordata</v>
      </c>
      <c r="M1688" s="18">
        <f>VLOOKUP(A1688,Revisión!$A$2:$L$703,11,FALSE)</f>
        <v>4</v>
      </c>
      <c r="N1688" s="30" t="str">
        <f>IF(E1688="Coinciden",D1688,IF(E1688="Revisar",VLOOKUP(A1688,Revisión!$A$2:$L$703,12,FALSE),""))</f>
        <v>Pontederia cordata</v>
      </c>
    </row>
    <row r="1689" spans="1:14" x14ac:dyDescent="0.3">
      <c r="A1689" t="s">
        <v>3480</v>
      </c>
      <c r="B1689" t="s">
        <v>3481</v>
      </c>
      <c r="C1689" t="s">
        <v>3481</v>
      </c>
      <c r="D1689" t="s">
        <v>3481</v>
      </c>
      <c r="E1689" t="s">
        <v>18</v>
      </c>
      <c r="F1689" t="s">
        <v>19</v>
      </c>
      <c r="H1689" s="23" t="e">
        <f>VLOOKUP(A1689,Revisión!$A$2:$L$703,6,FALSE)</f>
        <v>#N/A</v>
      </c>
      <c r="I1689" s="4" t="e">
        <f>VLOOKUP(A1689,Revisión!$A$2:$L$703,7,FALSE)</f>
        <v>#N/A</v>
      </c>
      <c r="J1689" s="4" t="e">
        <f>VLOOKUP(A1689,Revisión!$A$2:$L$703,8,FALSE)</f>
        <v>#N/A</v>
      </c>
      <c r="K1689" s="4" t="e">
        <f>VLOOKUP(A1689,Revisión!$A$2:$L$703,9,FALSE)</f>
        <v>#N/A</v>
      </c>
      <c r="L1689" s="4" t="e">
        <f>VLOOKUP(A1689,Revisión!$A$2:$L$703,10,FALSE)</f>
        <v>#N/A</v>
      </c>
      <c r="M1689" s="18" t="e">
        <f>VLOOKUP(A1689,Revisión!$A$2:$L$703,11,FALSE)</f>
        <v>#N/A</v>
      </c>
      <c r="N1689" s="30" t="str">
        <f>IF(E1689="Coinciden",D1689,IF(E1689="Revisar",VLOOKUP(A1689,Revisión!$A$2:$L$703,12,FALSE),""))</f>
        <v>Populus deltoides</v>
      </c>
    </row>
    <row r="1690" spans="1:14" x14ac:dyDescent="0.3">
      <c r="A1690" t="s">
        <v>3482</v>
      </c>
      <c r="B1690" t="s">
        <v>3483</v>
      </c>
      <c r="C1690" t="s">
        <v>3483</v>
      </c>
      <c r="D1690" t="s">
        <v>3483</v>
      </c>
      <c r="E1690" t="s">
        <v>18</v>
      </c>
      <c r="F1690" t="s">
        <v>19</v>
      </c>
      <c r="H1690" s="23" t="e">
        <f>VLOOKUP(A1690,Revisión!$A$2:$L$703,6,FALSE)</f>
        <v>#N/A</v>
      </c>
      <c r="I1690" s="4" t="e">
        <f>VLOOKUP(A1690,Revisión!$A$2:$L$703,7,FALSE)</f>
        <v>#N/A</v>
      </c>
      <c r="J1690" s="4" t="e">
        <f>VLOOKUP(A1690,Revisión!$A$2:$L$703,8,FALSE)</f>
        <v>#N/A</v>
      </c>
      <c r="K1690" s="4" t="e">
        <f>VLOOKUP(A1690,Revisión!$A$2:$L$703,9,FALSE)</f>
        <v>#N/A</v>
      </c>
      <c r="L1690" s="4" t="e">
        <f>VLOOKUP(A1690,Revisión!$A$2:$L$703,10,FALSE)</f>
        <v>#N/A</v>
      </c>
      <c r="M1690" s="18" t="e">
        <f>VLOOKUP(A1690,Revisión!$A$2:$L$703,11,FALSE)</f>
        <v>#N/A</v>
      </c>
      <c r="N1690" s="30" t="str">
        <f>IF(E1690="Coinciden",D1690,IF(E1690="Revisar",VLOOKUP(A1690,Revisión!$A$2:$L$703,12,FALSE),""))</f>
        <v>Populus tremuloides</v>
      </c>
    </row>
    <row r="1691" spans="1:14" x14ac:dyDescent="0.3">
      <c r="A1691" t="s">
        <v>3484</v>
      </c>
      <c r="B1691" t="s">
        <v>3485</v>
      </c>
      <c r="C1691" t="s">
        <v>3485</v>
      </c>
      <c r="D1691" t="s">
        <v>3485</v>
      </c>
      <c r="E1691" t="s">
        <v>18</v>
      </c>
      <c r="F1691" t="s">
        <v>19</v>
      </c>
      <c r="H1691" s="23" t="e">
        <f>VLOOKUP(A1691,Revisión!$A$2:$L$703,6,FALSE)</f>
        <v>#N/A</v>
      </c>
      <c r="I1691" s="4" t="e">
        <f>VLOOKUP(A1691,Revisión!$A$2:$L$703,7,FALSE)</f>
        <v>#N/A</v>
      </c>
      <c r="J1691" s="4" t="e">
        <f>VLOOKUP(A1691,Revisión!$A$2:$L$703,8,FALSE)</f>
        <v>#N/A</v>
      </c>
      <c r="K1691" s="4" t="e">
        <f>VLOOKUP(A1691,Revisión!$A$2:$L$703,9,FALSE)</f>
        <v>#N/A</v>
      </c>
      <c r="L1691" s="4" t="e">
        <f>VLOOKUP(A1691,Revisión!$A$2:$L$703,10,FALSE)</f>
        <v>#N/A</v>
      </c>
      <c r="M1691" s="18" t="e">
        <f>VLOOKUP(A1691,Revisión!$A$2:$L$703,11,FALSE)</f>
        <v>#N/A</v>
      </c>
      <c r="N1691" s="30" t="str">
        <f>IF(E1691="Coinciden",D1691,IF(E1691="Revisar",VLOOKUP(A1691,Revisión!$A$2:$L$703,12,FALSE),""))</f>
        <v>Portlandia grandiflora</v>
      </c>
    </row>
    <row r="1692" spans="1:14" x14ac:dyDescent="0.3">
      <c r="A1692" t="s">
        <v>3486</v>
      </c>
      <c r="B1692" t="s">
        <v>3487</v>
      </c>
      <c r="C1692" t="s">
        <v>3487</v>
      </c>
      <c r="D1692" t="s">
        <v>3487</v>
      </c>
      <c r="E1692" t="s">
        <v>18</v>
      </c>
      <c r="F1692" t="s">
        <v>19</v>
      </c>
      <c r="H1692" s="23" t="e">
        <f>VLOOKUP(A1692,Revisión!$A$2:$L$703,6,FALSE)</f>
        <v>#N/A</v>
      </c>
      <c r="I1692" s="4" t="e">
        <f>VLOOKUP(A1692,Revisión!$A$2:$L$703,7,FALSE)</f>
        <v>#N/A</v>
      </c>
      <c r="J1692" s="4" t="e">
        <f>VLOOKUP(A1692,Revisión!$A$2:$L$703,8,FALSE)</f>
        <v>#N/A</v>
      </c>
      <c r="K1692" s="4" t="e">
        <f>VLOOKUP(A1692,Revisión!$A$2:$L$703,9,FALSE)</f>
        <v>#N/A</v>
      </c>
      <c r="L1692" s="4" t="e">
        <f>VLOOKUP(A1692,Revisión!$A$2:$L$703,10,FALSE)</f>
        <v>#N/A</v>
      </c>
      <c r="M1692" s="18" t="e">
        <f>VLOOKUP(A1692,Revisión!$A$2:$L$703,11,FALSE)</f>
        <v>#N/A</v>
      </c>
      <c r="N1692" s="30" t="str">
        <f>IF(E1692="Coinciden",D1692,IF(E1692="Revisar",VLOOKUP(A1692,Revisión!$A$2:$L$703,12,FALSE),""))</f>
        <v>Portulaca oleracea</v>
      </c>
    </row>
    <row r="1693" spans="1:14" x14ac:dyDescent="0.3">
      <c r="A1693" t="s">
        <v>3488</v>
      </c>
      <c r="B1693" t="s">
        <v>3489</v>
      </c>
      <c r="D1693" t="s">
        <v>3489</v>
      </c>
      <c r="E1693" t="s">
        <v>8</v>
      </c>
      <c r="F1693" t="s">
        <v>34</v>
      </c>
      <c r="H1693" s="23" t="str">
        <f>VLOOKUP(A1693,Revisión!$A$2:$L$703,6,FALSE)</f>
        <v>Potentilla erecta</v>
      </c>
      <c r="I1693" s="4" t="str">
        <f>VLOOKUP(A1693,Revisión!$A$2:$L$703,7,FALSE)</f>
        <v>-</v>
      </c>
      <c r="J1693" s="4" t="str">
        <f>VLOOKUP(A1693,Revisión!$A$2:$L$703,8,FALSE)</f>
        <v>Potentilla erecta</v>
      </c>
      <c r="K1693" s="4" t="str">
        <f>VLOOKUP(A1693,Revisión!$A$2:$L$703,9,FALSE)</f>
        <v>-</v>
      </c>
      <c r="L1693" s="4" t="str">
        <f>VLOOKUP(A1693,Revisión!$A$2:$L$703,10,FALSE)</f>
        <v>Potentilla erecta</v>
      </c>
      <c r="M1693" s="18">
        <f>VLOOKUP(A1693,Revisión!$A$2:$L$703,11,FALSE)</f>
        <v>4</v>
      </c>
      <c r="N1693" s="30" t="str">
        <f>IF(E1693="Coinciden",D1693,IF(E1693="Revisar",VLOOKUP(A1693,Revisión!$A$2:$L$703,12,FALSE),""))</f>
        <v>Potentilla erecta</v>
      </c>
    </row>
    <row r="1694" spans="1:14" x14ac:dyDescent="0.3">
      <c r="A1694" t="s">
        <v>3490</v>
      </c>
      <c r="B1694" t="s">
        <v>3491</v>
      </c>
      <c r="C1694" t="s">
        <v>3491</v>
      </c>
      <c r="D1694" t="s">
        <v>3491</v>
      </c>
      <c r="E1694" t="s">
        <v>18</v>
      </c>
      <c r="F1694" t="s">
        <v>19</v>
      </c>
      <c r="H1694" s="23" t="e">
        <f>VLOOKUP(A1694,Revisión!$A$2:$L$703,6,FALSE)</f>
        <v>#N/A</v>
      </c>
      <c r="I1694" s="4" t="e">
        <f>VLOOKUP(A1694,Revisión!$A$2:$L$703,7,FALSE)</f>
        <v>#N/A</v>
      </c>
      <c r="J1694" s="4" t="e">
        <f>VLOOKUP(A1694,Revisión!$A$2:$L$703,8,FALSE)</f>
        <v>#N/A</v>
      </c>
      <c r="K1694" s="4" t="e">
        <f>VLOOKUP(A1694,Revisión!$A$2:$L$703,9,FALSE)</f>
        <v>#N/A</v>
      </c>
      <c r="L1694" s="4" t="e">
        <f>VLOOKUP(A1694,Revisión!$A$2:$L$703,10,FALSE)</f>
        <v>#N/A</v>
      </c>
      <c r="M1694" s="18" t="e">
        <f>VLOOKUP(A1694,Revisión!$A$2:$L$703,11,FALSE)</f>
        <v>#N/A</v>
      </c>
      <c r="N1694" s="30" t="str">
        <f>IF(E1694="Coinciden",D1694,IF(E1694="Revisar",VLOOKUP(A1694,Revisión!$A$2:$L$703,12,FALSE),""))</f>
        <v>Potentilla freyniana</v>
      </c>
    </row>
    <row r="1695" spans="1:14" x14ac:dyDescent="0.3">
      <c r="A1695" t="s">
        <v>3492</v>
      </c>
      <c r="B1695" t="s">
        <v>3493</v>
      </c>
      <c r="C1695" t="s">
        <v>3493</v>
      </c>
      <c r="D1695" t="s">
        <v>3493</v>
      </c>
      <c r="E1695" t="s">
        <v>18</v>
      </c>
      <c r="F1695" t="s">
        <v>19</v>
      </c>
      <c r="H1695" s="23" t="e">
        <f>VLOOKUP(A1695,Revisión!$A$2:$L$703,6,FALSE)</f>
        <v>#N/A</v>
      </c>
      <c r="I1695" s="4" t="e">
        <f>VLOOKUP(A1695,Revisión!$A$2:$L$703,7,FALSE)</f>
        <v>#N/A</v>
      </c>
      <c r="J1695" s="4" t="e">
        <f>VLOOKUP(A1695,Revisión!$A$2:$L$703,8,FALSE)</f>
        <v>#N/A</v>
      </c>
      <c r="K1695" s="4" t="e">
        <f>VLOOKUP(A1695,Revisión!$A$2:$L$703,9,FALSE)</f>
        <v>#N/A</v>
      </c>
      <c r="L1695" s="4" t="e">
        <f>VLOOKUP(A1695,Revisión!$A$2:$L$703,10,FALSE)</f>
        <v>#N/A</v>
      </c>
      <c r="M1695" s="18" t="e">
        <f>VLOOKUP(A1695,Revisión!$A$2:$L$703,11,FALSE)</f>
        <v>#N/A</v>
      </c>
      <c r="N1695" s="30" t="str">
        <f>IF(E1695="Coinciden",D1695,IF(E1695="Revisar",VLOOKUP(A1695,Revisión!$A$2:$L$703,12,FALSE),""))</f>
        <v>Potentilla gracilis</v>
      </c>
    </row>
    <row r="1696" spans="1:14" x14ac:dyDescent="0.3">
      <c r="A1696" t="s">
        <v>3494</v>
      </c>
      <c r="B1696" t="s">
        <v>3495</v>
      </c>
      <c r="C1696" t="s">
        <v>3495</v>
      </c>
      <c r="D1696" t="s">
        <v>3495</v>
      </c>
      <c r="E1696" t="s">
        <v>18</v>
      </c>
      <c r="F1696" t="s">
        <v>19</v>
      </c>
      <c r="H1696" s="23" t="e">
        <f>VLOOKUP(A1696,Revisión!$A$2:$L$703,6,FALSE)</f>
        <v>#N/A</v>
      </c>
      <c r="I1696" s="4" t="e">
        <f>VLOOKUP(A1696,Revisión!$A$2:$L$703,7,FALSE)</f>
        <v>#N/A</v>
      </c>
      <c r="J1696" s="4" t="e">
        <f>VLOOKUP(A1696,Revisión!$A$2:$L$703,8,FALSE)</f>
        <v>#N/A</v>
      </c>
      <c r="K1696" s="4" t="e">
        <f>VLOOKUP(A1696,Revisión!$A$2:$L$703,9,FALSE)</f>
        <v>#N/A</v>
      </c>
      <c r="L1696" s="4" t="e">
        <f>VLOOKUP(A1696,Revisión!$A$2:$L$703,10,FALSE)</f>
        <v>#N/A</v>
      </c>
      <c r="M1696" s="18" t="e">
        <f>VLOOKUP(A1696,Revisión!$A$2:$L$703,11,FALSE)</f>
        <v>#N/A</v>
      </c>
      <c r="N1696" s="30" t="str">
        <f>IF(E1696="Coinciden",D1696,IF(E1696="Revisar",VLOOKUP(A1696,Revisión!$A$2:$L$703,12,FALSE),""))</f>
        <v>Potentilla crantzii</v>
      </c>
    </row>
    <row r="1697" spans="1:14" x14ac:dyDescent="0.3">
      <c r="A1697" t="s">
        <v>3496</v>
      </c>
      <c r="B1697" t="s">
        <v>3497</v>
      </c>
      <c r="C1697" t="s">
        <v>3497</v>
      </c>
      <c r="D1697" t="s">
        <v>3497</v>
      </c>
      <c r="E1697" t="s">
        <v>18</v>
      </c>
      <c r="F1697" t="s">
        <v>19</v>
      </c>
      <c r="H1697" s="23" t="e">
        <f>VLOOKUP(A1697,Revisión!$A$2:$L$703,6,FALSE)</f>
        <v>#N/A</v>
      </c>
      <c r="I1697" s="4" t="e">
        <f>VLOOKUP(A1697,Revisión!$A$2:$L$703,7,FALSE)</f>
        <v>#N/A</v>
      </c>
      <c r="J1697" s="4" t="e">
        <f>VLOOKUP(A1697,Revisión!$A$2:$L$703,8,FALSE)</f>
        <v>#N/A</v>
      </c>
      <c r="K1697" s="4" t="e">
        <f>VLOOKUP(A1697,Revisión!$A$2:$L$703,9,FALSE)</f>
        <v>#N/A</v>
      </c>
      <c r="L1697" s="4" t="e">
        <f>VLOOKUP(A1697,Revisión!$A$2:$L$703,10,FALSE)</f>
        <v>#N/A</v>
      </c>
      <c r="M1697" s="18" t="e">
        <f>VLOOKUP(A1697,Revisión!$A$2:$L$703,11,FALSE)</f>
        <v>#N/A</v>
      </c>
      <c r="N1697" s="30" t="str">
        <f>IF(E1697="Coinciden",D1697,IF(E1697="Revisar",VLOOKUP(A1697,Revisión!$A$2:$L$703,12,FALSE),""))</f>
        <v>Argentina anserina subsp. groenlandica</v>
      </c>
    </row>
    <row r="1698" spans="1:14" x14ac:dyDescent="0.3">
      <c r="A1698" t="s">
        <v>3498</v>
      </c>
      <c r="B1698" t="s">
        <v>3499</v>
      </c>
      <c r="C1698" t="s">
        <v>3499</v>
      </c>
      <c r="D1698" t="s">
        <v>3499</v>
      </c>
      <c r="E1698" t="s">
        <v>18</v>
      </c>
      <c r="F1698" t="s">
        <v>19</v>
      </c>
      <c r="H1698" s="23" t="e">
        <f>VLOOKUP(A1698,Revisión!$A$2:$L$703,6,FALSE)</f>
        <v>#N/A</v>
      </c>
      <c r="I1698" s="4" t="e">
        <f>VLOOKUP(A1698,Revisión!$A$2:$L$703,7,FALSE)</f>
        <v>#N/A</v>
      </c>
      <c r="J1698" s="4" t="e">
        <f>VLOOKUP(A1698,Revisión!$A$2:$L$703,8,FALSE)</f>
        <v>#N/A</v>
      </c>
      <c r="K1698" s="4" t="e">
        <f>VLOOKUP(A1698,Revisión!$A$2:$L$703,9,FALSE)</f>
        <v>#N/A</v>
      </c>
      <c r="L1698" s="4" t="e">
        <f>VLOOKUP(A1698,Revisión!$A$2:$L$703,10,FALSE)</f>
        <v>#N/A</v>
      </c>
      <c r="M1698" s="18" t="e">
        <f>VLOOKUP(A1698,Revisión!$A$2:$L$703,11,FALSE)</f>
        <v>#N/A</v>
      </c>
      <c r="N1698" s="30" t="str">
        <f>IF(E1698="Coinciden",D1698,IF(E1698="Revisar",VLOOKUP(A1698,Revisión!$A$2:$L$703,12,FALSE),""))</f>
        <v>Potentilla norvegica</v>
      </c>
    </row>
    <row r="1699" spans="1:14" x14ac:dyDescent="0.3">
      <c r="A1699" t="s">
        <v>3500</v>
      </c>
      <c r="B1699" t="s">
        <v>3501</v>
      </c>
      <c r="C1699" t="s">
        <v>3501</v>
      </c>
      <c r="D1699" t="s">
        <v>3501</v>
      </c>
      <c r="E1699" t="s">
        <v>18</v>
      </c>
      <c r="F1699" t="s">
        <v>19</v>
      </c>
      <c r="H1699" s="23" t="e">
        <f>VLOOKUP(A1699,Revisión!$A$2:$L$703,6,FALSE)</f>
        <v>#N/A</v>
      </c>
      <c r="I1699" s="4" t="e">
        <f>VLOOKUP(A1699,Revisión!$A$2:$L$703,7,FALSE)</f>
        <v>#N/A</v>
      </c>
      <c r="J1699" s="4" t="e">
        <f>VLOOKUP(A1699,Revisión!$A$2:$L$703,8,FALSE)</f>
        <v>#N/A</v>
      </c>
      <c r="K1699" s="4" t="e">
        <f>VLOOKUP(A1699,Revisión!$A$2:$L$703,9,FALSE)</f>
        <v>#N/A</v>
      </c>
      <c r="L1699" s="4" t="e">
        <f>VLOOKUP(A1699,Revisión!$A$2:$L$703,10,FALSE)</f>
        <v>#N/A</v>
      </c>
      <c r="M1699" s="18" t="e">
        <f>VLOOKUP(A1699,Revisión!$A$2:$L$703,11,FALSE)</f>
        <v>#N/A</v>
      </c>
      <c r="N1699" s="30" t="str">
        <f>IF(E1699="Coinciden",D1699,IF(E1699="Revisar",VLOOKUP(A1699,Revisión!$A$2:$L$703,12,FALSE),""))</f>
        <v>Potentilla pulcherrima</v>
      </c>
    </row>
    <row r="1700" spans="1:14" x14ac:dyDescent="0.3">
      <c r="A1700" t="s">
        <v>3502</v>
      </c>
      <c r="B1700" t="s">
        <v>3503</v>
      </c>
      <c r="C1700" t="s">
        <v>3503</v>
      </c>
      <c r="D1700" t="s">
        <v>3503</v>
      </c>
      <c r="E1700" t="s">
        <v>18</v>
      </c>
      <c r="F1700" t="s">
        <v>19</v>
      </c>
      <c r="H1700" s="23" t="e">
        <f>VLOOKUP(A1700,Revisión!$A$2:$L$703,6,FALSE)</f>
        <v>#N/A</v>
      </c>
      <c r="I1700" s="4" t="e">
        <f>VLOOKUP(A1700,Revisión!$A$2:$L$703,7,FALSE)</f>
        <v>#N/A</v>
      </c>
      <c r="J1700" s="4" t="e">
        <f>VLOOKUP(A1700,Revisión!$A$2:$L$703,8,FALSE)</f>
        <v>#N/A</v>
      </c>
      <c r="K1700" s="4" t="e">
        <f>VLOOKUP(A1700,Revisión!$A$2:$L$703,9,FALSE)</f>
        <v>#N/A</v>
      </c>
      <c r="L1700" s="4" t="e">
        <f>VLOOKUP(A1700,Revisión!$A$2:$L$703,10,FALSE)</f>
        <v>#N/A</v>
      </c>
      <c r="M1700" s="18" t="e">
        <f>VLOOKUP(A1700,Revisión!$A$2:$L$703,11,FALSE)</f>
        <v>#N/A</v>
      </c>
      <c r="N1700" s="30" t="str">
        <f>IF(E1700="Coinciden",D1700,IF(E1700="Revisar",VLOOKUP(A1700,Revisión!$A$2:$L$703,12,FALSE),""))</f>
        <v>Potentilla nivea</v>
      </c>
    </row>
    <row r="1701" spans="1:14" x14ac:dyDescent="0.3">
      <c r="A1701" t="s">
        <v>3504</v>
      </c>
      <c r="B1701" t="s">
        <v>3505</v>
      </c>
      <c r="C1701" t="s">
        <v>3505</v>
      </c>
      <c r="D1701" t="s">
        <v>3505</v>
      </c>
      <c r="E1701" t="s">
        <v>18</v>
      </c>
      <c r="F1701" t="s">
        <v>19</v>
      </c>
      <c r="H1701" s="23" t="e">
        <f>VLOOKUP(A1701,Revisión!$A$2:$L$703,6,FALSE)</f>
        <v>#N/A</v>
      </c>
      <c r="I1701" s="4" t="e">
        <f>VLOOKUP(A1701,Revisión!$A$2:$L$703,7,FALSE)</f>
        <v>#N/A</v>
      </c>
      <c r="J1701" s="4" t="e">
        <f>VLOOKUP(A1701,Revisión!$A$2:$L$703,8,FALSE)</f>
        <v>#N/A</v>
      </c>
      <c r="K1701" s="4" t="e">
        <f>VLOOKUP(A1701,Revisión!$A$2:$L$703,9,FALSE)</f>
        <v>#N/A</v>
      </c>
      <c r="L1701" s="4" t="e">
        <f>VLOOKUP(A1701,Revisión!$A$2:$L$703,10,FALSE)</f>
        <v>#N/A</v>
      </c>
      <c r="M1701" s="18" t="e">
        <f>VLOOKUP(A1701,Revisión!$A$2:$L$703,11,FALSE)</f>
        <v>#N/A</v>
      </c>
      <c r="N1701" s="30" t="str">
        <f>IF(E1701="Coinciden",D1701,IF(E1701="Revisar",VLOOKUP(A1701,Revisión!$A$2:$L$703,12,FALSE),""))</f>
        <v>Potentilla canadensis</v>
      </c>
    </row>
    <row r="1702" spans="1:14" x14ac:dyDescent="0.3">
      <c r="A1702" t="s">
        <v>3506</v>
      </c>
      <c r="C1702" t="s">
        <v>3507</v>
      </c>
      <c r="D1702" t="s">
        <v>3507</v>
      </c>
      <c r="E1702" t="s">
        <v>8</v>
      </c>
      <c r="F1702" t="s">
        <v>49</v>
      </c>
      <c r="H1702" s="23" t="str">
        <f>VLOOKUP(A1702,Revisión!$A$2:$L$703,6,FALSE)</f>
        <v>Drymocallis arguta</v>
      </c>
      <c r="I1702" s="4" t="str">
        <f>VLOOKUP(A1702,Revisión!$A$2:$L$703,7,FALSE)</f>
        <v>-</v>
      </c>
      <c r="J1702" s="4" t="str">
        <f>VLOOKUP(A1702,Revisión!$A$2:$L$703,8,FALSE)</f>
        <v>Drymocallis arguta</v>
      </c>
      <c r="K1702" s="4" t="str">
        <f>VLOOKUP(A1702,Revisión!$A$2:$L$703,9,FALSE)</f>
        <v>-</v>
      </c>
      <c r="L1702" s="4" t="str">
        <f>VLOOKUP(A1702,Revisión!$A$2:$L$703,10,FALSE)</f>
        <v>Drymocallis arguta</v>
      </c>
      <c r="M1702" s="18">
        <f>VLOOKUP(A1702,Revisión!$A$2:$L$703,11,FALSE)</f>
        <v>4</v>
      </c>
      <c r="N1702" s="30" t="str">
        <f>IF(E1702="Coinciden",D1702,IF(E1702="Revisar",VLOOKUP(A1702,Revisión!$A$2:$L$703,12,FALSE),""))</f>
        <v>Drymocallis arguta</v>
      </c>
    </row>
    <row r="1703" spans="1:14" x14ac:dyDescent="0.3">
      <c r="A1703" t="s">
        <v>3508</v>
      </c>
      <c r="B1703" t="s">
        <v>3509</v>
      </c>
      <c r="C1703" t="s">
        <v>3509</v>
      </c>
      <c r="D1703" t="s">
        <v>3509</v>
      </c>
      <c r="E1703" t="s">
        <v>18</v>
      </c>
      <c r="F1703" t="s">
        <v>19</v>
      </c>
      <c r="H1703" s="23" t="e">
        <f>VLOOKUP(A1703,Revisión!$A$2:$L$703,6,FALSE)</f>
        <v>#N/A</v>
      </c>
      <c r="I1703" s="4" t="e">
        <f>VLOOKUP(A1703,Revisión!$A$2:$L$703,7,FALSE)</f>
        <v>#N/A</v>
      </c>
      <c r="J1703" s="4" t="e">
        <f>VLOOKUP(A1703,Revisión!$A$2:$L$703,8,FALSE)</f>
        <v>#N/A</v>
      </c>
      <c r="K1703" s="4" t="e">
        <f>VLOOKUP(A1703,Revisión!$A$2:$L$703,9,FALSE)</f>
        <v>#N/A</v>
      </c>
      <c r="L1703" s="4" t="e">
        <f>VLOOKUP(A1703,Revisión!$A$2:$L$703,10,FALSE)</f>
        <v>#N/A</v>
      </c>
      <c r="M1703" s="18" t="e">
        <f>VLOOKUP(A1703,Revisión!$A$2:$L$703,11,FALSE)</f>
        <v>#N/A</v>
      </c>
      <c r="N1703" s="30" t="str">
        <f>IF(E1703="Coinciden",D1703,IF(E1703="Revisar",VLOOKUP(A1703,Revisión!$A$2:$L$703,12,FALSE),""))</f>
        <v>Potentilla hyparctica</v>
      </c>
    </row>
    <row r="1704" spans="1:14" x14ac:dyDescent="0.3">
      <c r="A1704" t="s">
        <v>3510</v>
      </c>
      <c r="B1704" t="s">
        <v>3511</v>
      </c>
      <c r="C1704" t="s">
        <v>3512</v>
      </c>
      <c r="D1704" t="s">
        <v>3512</v>
      </c>
      <c r="E1704" t="s">
        <v>8</v>
      </c>
      <c r="F1704" t="s">
        <v>23</v>
      </c>
      <c r="H1704" s="23" t="str">
        <f>VLOOKUP(A1704,Revisión!$A$2:$L$703,6,FALSE)</f>
        <v>Argentina anserina subsp. anserina</v>
      </c>
      <c r="I1704" s="4" t="str">
        <f>VLOOKUP(A1704,Revisión!$A$2:$L$703,7,FALSE)</f>
        <v>-</v>
      </c>
      <c r="J1704" s="4" t="str">
        <f>VLOOKUP(A1704,Revisión!$A$2:$L$703,8,FALSE)</f>
        <v>Argentina anserina</v>
      </c>
      <c r="K1704" s="4" t="str">
        <f>VLOOKUP(A1704,Revisión!$A$2:$L$703,9,FALSE)</f>
        <v>-</v>
      </c>
      <c r="L1704" s="4" t="str">
        <f>VLOOKUP(A1704,Revisión!$A$2:$L$703,10,FALSE)</f>
        <v>Argentina anserina subsp. anserina</v>
      </c>
      <c r="M1704" s="18">
        <f>VLOOKUP(A1704,Revisión!$A$2:$L$703,11,FALSE)</f>
        <v>3</v>
      </c>
      <c r="N1704" s="30" t="str">
        <f>IF(E1704="Coinciden",D1704,IF(E1704="Revisar",VLOOKUP(A1704,Revisión!$A$2:$L$703,12,FALSE),""))</f>
        <v>Argentina anserina</v>
      </c>
    </row>
    <row r="1705" spans="1:14" x14ac:dyDescent="0.3">
      <c r="A1705" t="s">
        <v>3513</v>
      </c>
      <c r="E1705" t="s">
        <v>8</v>
      </c>
      <c r="F1705" t="s">
        <v>11</v>
      </c>
      <c r="H1705" s="23" t="e">
        <f>VLOOKUP(A1705,Revisión!$A$2:$L$703,6,FALSE)</f>
        <v>#N/A</v>
      </c>
      <c r="I1705" s="4" t="e">
        <f>VLOOKUP(A1705,Revisión!$A$2:$L$703,7,FALSE)</f>
        <v>#N/A</v>
      </c>
      <c r="J1705" s="4" t="e">
        <f>VLOOKUP(A1705,Revisión!$A$2:$L$703,8,FALSE)</f>
        <v>#N/A</v>
      </c>
      <c r="K1705" s="4" t="e">
        <f>VLOOKUP(A1705,Revisión!$A$2:$L$703,9,FALSE)</f>
        <v>#N/A</v>
      </c>
      <c r="L1705" s="4" t="e">
        <f>VLOOKUP(A1705,Revisión!$A$2:$L$703,10,FALSE)</f>
        <v>#N/A</v>
      </c>
      <c r="M1705" s="18" t="e">
        <f>VLOOKUP(A1705,Revisión!$A$2:$L$703,11,FALSE)</f>
        <v>#N/A</v>
      </c>
      <c r="N1705" s="30" t="e">
        <f>IF(E1705="Coinciden",D1705,IF(E1705="Revisar",VLOOKUP(A1705,Revisión!$A$2:$L$703,12,FALSE),""))</f>
        <v>#N/A</v>
      </c>
    </row>
    <row r="1706" spans="1:14" x14ac:dyDescent="0.3">
      <c r="A1706" t="s">
        <v>3514</v>
      </c>
      <c r="B1706" t="s">
        <v>3515</v>
      </c>
      <c r="C1706" t="s">
        <v>3515</v>
      </c>
      <c r="D1706" t="s">
        <v>3515</v>
      </c>
      <c r="E1706" t="s">
        <v>18</v>
      </c>
      <c r="F1706" t="s">
        <v>19</v>
      </c>
      <c r="H1706" s="23" t="e">
        <f>VLOOKUP(A1706,Revisión!$A$2:$L$703,6,FALSE)</f>
        <v>#N/A</v>
      </c>
      <c r="I1706" s="4" t="e">
        <f>VLOOKUP(A1706,Revisión!$A$2:$L$703,7,FALSE)</f>
        <v>#N/A</v>
      </c>
      <c r="J1706" s="4" t="e">
        <f>VLOOKUP(A1706,Revisión!$A$2:$L$703,8,FALSE)</f>
        <v>#N/A</v>
      </c>
      <c r="K1706" s="4" t="e">
        <f>VLOOKUP(A1706,Revisión!$A$2:$L$703,9,FALSE)</f>
        <v>#N/A</v>
      </c>
      <c r="L1706" s="4" t="e">
        <f>VLOOKUP(A1706,Revisión!$A$2:$L$703,10,FALSE)</f>
        <v>#N/A</v>
      </c>
      <c r="M1706" s="18" t="e">
        <f>VLOOKUP(A1706,Revisión!$A$2:$L$703,11,FALSE)</f>
        <v>#N/A</v>
      </c>
      <c r="N1706" s="30" t="str">
        <f>IF(E1706="Coinciden",D1706,IF(E1706="Revisar",VLOOKUP(A1706,Revisión!$A$2:$L$703,12,FALSE),""))</f>
        <v>Potentilla sundaica</v>
      </c>
    </row>
    <row r="1707" spans="1:14" x14ac:dyDescent="0.3">
      <c r="A1707" t="s">
        <v>3516</v>
      </c>
      <c r="B1707" t="s">
        <v>3517</v>
      </c>
      <c r="D1707" t="s">
        <v>3517</v>
      </c>
      <c r="E1707" t="s">
        <v>8</v>
      </c>
      <c r="F1707" t="s">
        <v>34</v>
      </c>
      <c r="H1707" s="23" t="str">
        <f>VLOOKUP(A1707,Revisión!$A$2:$L$703,6,FALSE)</f>
        <v>Potentilla vahliana</v>
      </c>
      <c r="I1707" s="4" t="str">
        <f>VLOOKUP(A1707,Revisión!$A$2:$L$703,7,FALSE)</f>
        <v>-</v>
      </c>
      <c r="J1707" s="4" t="str">
        <f>VLOOKUP(A1707,Revisión!$A$2:$L$703,8,FALSE)</f>
        <v>Potentilla vahliana</v>
      </c>
      <c r="K1707" s="4" t="str">
        <f>VLOOKUP(A1707,Revisión!$A$2:$L$703,9,FALSE)</f>
        <v>-</v>
      </c>
      <c r="L1707" s="4" t="str">
        <f>VLOOKUP(A1707,Revisión!$A$2:$L$703,10,FALSE)</f>
        <v>Potentilla vahliana</v>
      </c>
      <c r="M1707" s="18">
        <f>VLOOKUP(A1707,Revisión!$A$2:$L$703,11,FALSE)</f>
        <v>3</v>
      </c>
      <c r="N1707" s="30" t="str">
        <f>IF(E1707="Coinciden",D1707,IF(E1707="Revisar",VLOOKUP(A1707,Revisión!$A$2:$L$703,12,FALSE),""))</f>
        <v>Potentilla vahliana</v>
      </c>
    </row>
    <row r="1708" spans="1:14" x14ac:dyDescent="0.3">
      <c r="A1708" t="s">
        <v>3518</v>
      </c>
      <c r="B1708" t="s">
        <v>3519</v>
      </c>
      <c r="D1708" t="s">
        <v>3519</v>
      </c>
      <c r="E1708" t="s">
        <v>8</v>
      </c>
      <c r="F1708" t="s">
        <v>34</v>
      </c>
      <c r="H1708" s="23" t="str">
        <f>VLOOKUP(A1708,Revisión!$A$2:$L$703,6,FALSE)</f>
        <v>Potentilla rubricaulis</v>
      </c>
      <c r="I1708" s="4" t="str">
        <f>VLOOKUP(A1708,Revisión!$A$2:$L$703,7,FALSE)</f>
        <v>-</v>
      </c>
      <c r="J1708" s="4" t="str">
        <f>VLOOKUP(A1708,Revisión!$A$2:$L$703,8,FALSE)</f>
        <v>Potentilla rubricaulis</v>
      </c>
      <c r="K1708" s="4" t="str">
        <f>VLOOKUP(A1708,Revisión!$A$2:$L$703,9,FALSE)</f>
        <v>-</v>
      </c>
      <c r="L1708" s="4" t="str">
        <f>VLOOKUP(A1708,Revisión!$A$2:$L$703,10,FALSE)</f>
        <v>Potentilla rubricaulis</v>
      </c>
      <c r="M1708" s="18">
        <f>VLOOKUP(A1708,Revisión!$A$2:$L$703,11,FALSE)</f>
        <v>3</v>
      </c>
      <c r="N1708" s="30" t="str">
        <f>IF(E1708="Coinciden",D1708,IF(E1708="Revisar",VLOOKUP(A1708,Revisión!$A$2:$L$703,12,FALSE),""))</f>
        <v>Potentilla rubricaulis</v>
      </c>
    </row>
    <row r="1709" spans="1:14" x14ac:dyDescent="0.3">
      <c r="A1709" t="s">
        <v>3520</v>
      </c>
      <c r="B1709" t="s">
        <v>3521</v>
      </c>
      <c r="C1709" t="s">
        <v>3521</v>
      </c>
      <c r="D1709" t="s">
        <v>3521</v>
      </c>
      <c r="E1709" t="s">
        <v>18</v>
      </c>
      <c r="F1709" t="s">
        <v>19</v>
      </c>
      <c r="H1709" s="23" t="e">
        <f>VLOOKUP(A1709,Revisión!$A$2:$L$703,6,FALSE)</f>
        <v>#N/A</v>
      </c>
      <c r="I1709" s="4" t="e">
        <f>VLOOKUP(A1709,Revisión!$A$2:$L$703,7,FALSE)</f>
        <v>#N/A</v>
      </c>
      <c r="J1709" s="4" t="e">
        <f>VLOOKUP(A1709,Revisión!$A$2:$L$703,8,FALSE)</f>
        <v>#N/A</v>
      </c>
      <c r="K1709" s="4" t="e">
        <f>VLOOKUP(A1709,Revisión!$A$2:$L$703,9,FALSE)</f>
        <v>#N/A</v>
      </c>
      <c r="L1709" s="4" t="e">
        <f>VLOOKUP(A1709,Revisión!$A$2:$L$703,10,FALSE)</f>
        <v>#N/A</v>
      </c>
      <c r="M1709" s="18" t="e">
        <f>VLOOKUP(A1709,Revisión!$A$2:$L$703,11,FALSE)</f>
        <v>#N/A</v>
      </c>
      <c r="N1709" s="30" t="str">
        <f>IF(E1709="Coinciden",D1709,IF(E1709="Revisar",VLOOKUP(A1709,Revisión!$A$2:$L$703,12,FALSE),""))</f>
        <v>Pozoa coriacea</v>
      </c>
    </row>
    <row r="1710" spans="1:14" x14ac:dyDescent="0.3">
      <c r="A1710" t="s">
        <v>3522</v>
      </c>
      <c r="B1710" t="s">
        <v>3523</v>
      </c>
      <c r="C1710" t="s">
        <v>3523</v>
      </c>
      <c r="D1710" t="s">
        <v>3523</v>
      </c>
      <c r="E1710" t="s">
        <v>18</v>
      </c>
      <c r="F1710" t="s">
        <v>19</v>
      </c>
      <c r="H1710" s="23" t="e">
        <f>VLOOKUP(A1710,Revisión!$A$2:$L$703,6,FALSE)</f>
        <v>#N/A</v>
      </c>
      <c r="I1710" s="4" t="e">
        <f>VLOOKUP(A1710,Revisión!$A$2:$L$703,7,FALSE)</f>
        <v>#N/A</v>
      </c>
      <c r="J1710" s="4" t="e">
        <f>VLOOKUP(A1710,Revisión!$A$2:$L$703,8,FALSE)</f>
        <v>#N/A</v>
      </c>
      <c r="K1710" s="4" t="e">
        <f>VLOOKUP(A1710,Revisión!$A$2:$L$703,9,FALSE)</f>
        <v>#N/A</v>
      </c>
      <c r="L1710" s="4" t="e">
        <f>VLOOKUP(A1710,Revisión!$A$2:$L$703,10,FALSE)</f>
        <v>#N/A</v>
      </c>
      <c r="M1710" s="18" t="e">
        <f>VLOOKUP(A1710,Revisión!$A$2:$L$703,11,FALSE)</f>
        <v>#N/A</v>
      </c>
      <c r="N1710" s="30" t="str">
        <f>IF(E1710="Coinciden",D1710,IF(E1710="Revisar",VLOOKUP(A1710,Revisión!$A$2:$L$703,12,FALSE),""))</f>
        <v>Prasium majus</v>
      </c>
    </row>
    <row r="1711" spans="1:14" x14ac:dyDescent="0.3">
      <c r="A1711" t="s">
        <v>3524</v>
      </c>
      <c r="B1711" t="s">
        <v>3525</v>
      </c>
      <c r="C1711" t="s">
        <v>3525</v>
      </c>
      <c r="D1711" t="s">
        <v>3525</v>
      </c>
      <c r="E1711" t="s">
        <v>18</v>
      </c>
      <c r="F1711" t="s">
        <v>19</v>
      </c>
      <c r="H1711" s="23" t="e">
        <f>VLOOKUP(A1711,Revisión!$A$2:$L$703,6,FALSE)</f>
        <v>#N/A</v>
      </c>
      <c r="I1711" s="4" t="e">
        <f>VLOOKUP(A1711,Revisión!$A$2:$L$703,7,FALSE)</f>
        <v>#N/A</v>
      </c>
      <c r="J1711" s="4" t="e">
        <f>VLOOKUP(A1711,Revisión!$A$2:$L$703,8,FALSE)</f>
        <v>#N/A</v>
      </c>
      <c r="K1711" s="4" t="e">
        <f>VLOOKUP(A1711,Revisión!$A$2:$L$703,9,FALSE)</f>
        <v>#N/A</v>
      </c>
      <c r="L1711" s="4" t="e">
        <f>VLOOKUP(A1711,Revisión!$A$2:$L$703,10,FALSE)</f>
        <v>#N/A</v>
      </c>
      <c r="M1711" s="18" t="e">
        <f>VLOOKUP(A1711,Revisión!$A$2:$L$703,11,FALSE)</f>
        <v>#N/A</v>
      </c>
      <c r="N1711" s="30" t="str">
        <f>IF(E1711="Coinciden",D1711,IF(E1711="Revisar",VLOOKUP(A1711,Revisión!$A$2:$L$703,12,FALSE),""))</f>
        <v>Prasophyllum alpinum</v>
      </c>
    </row>
    <row r="1712" spans="1:14" x14ac:dyDescent="0.3">
      <c r="A1712" t="s">
        <v>3526</v>
      </c>
      <c r="B1712" t="s">
        <v>3527</v>
      </c>
      <c r="C1712" t="s">
        <v>3527</v>
      </c>
      <c r="D1712" t="s">
        <v>3527</v>
      </c>
      <c r="E1712" t="s">
        <v>18</v>
      </c>
      <c r="F1712" t="s">
        <v>19</v>
      </c>
      <c r="H1712" s="23" t="e">
        <f>VLOOKUP(A1712,Revisión!$A$2:$L$703,6,FALSE)</f>
        <v>#N/A</v>
      </c>
      <c r="I1712" s="4" t="e">
        <f>VLOOKUP(A1712,Revisión!$A$2:$L$703,7,FALSE)</f>
        <v>#N/A</v>
      </c>
      <c r="J1712" s="4" t="e">
        <f>VLOOKUP(A1712,Revisión!$A$2:$L$703,8,FALSE)</f>
        <v>#N/A</v>
      </c>
      <c r="K1712" s="4" t="e">
        <f>VLOOKUP(A1712,Revisión!$A$2:$L$703,9,FALSE)</f>
        <v>#N/A</v>
      </c>
      <c r="L1712" s="4" t="e">
        <f>VLOOKUP(A1712,Revisión!$A$2:$L$703,10,FALSE)</f>
        <v>#N/A</v>
      </c>
      <c r="M1712" s="18" t="e">
        <f>VLOOKUP(A1712,Revisión!$A$2:$L$703,11,FALSE)</f>
        <v>#N/A</v>
      </c>
      <c r="N1712" s="30" t="str">
        <f>IF(E1712="Coinciden",D1712,IF(E1712="Revisar",VLOOKUP(A1712,Revisión!$A$2:$L$703,12,FALSE),""))</f>
        <v>Lobelia angulata</v>
      </c>
    </row>
    <row r="1713" spans="1:14" x14ac:dyDescent="0.3">
      <c r="A1713" t="s">
        <v>3528</v>
      </c>
      <c r="B1713" t="s">
        <v>3529</v>
      </c>
      <c r="C1713" t="s">
        <v>3529</v>
      </c>
      <c r="D1713" t="s">
        <v>3529</v>
      </c>
      <c r="E1713" t="s">
        <v>18</v>
      </c>
      <c r="F1713" t="s">
        <v>19</v>
      </c>
      <c r="H1713" s="23" t="e">
        <f>VLOOKUP(A1713,Revisión!$A$2:$L$703,6,FALSE)</f>
        <v>#N/A</v>
      </c>
      <c r="I1713" s="4" t="e">
        <f>VLOOKUP(A1713,Revisión!$A$2:$L$703,7,FALSE)</f>
        <v>#N/A</v>
      </c>
      <c r="J1713" s="4" t="e">
        <f>VLOOKUP(A1713,Revisión!$A$2:$L$703,8,FALSE)</f>
        <v>#N/A</v>
      </c>
      <c r="K1713" s="4" t="e">
        <f>VLOOKUP(A1713,Revisión!$A$2:$L$703,9,FALSE)</f>
        <v>#N/A</v>
      </c>
      <c r="L1713" s="4" t="e">
        <f>VLOOKUP(A1713,Revisión!$A$2:$L$703,10,FALSE)</f>
        <v>#N/A</v>
      </c>
      <c r="M1713" s="18" t="e">
        <f>VLOOKUP(A1713,Revisión!$A$2:$L$703,11,FALSE)</f>
        <v>#N/A</v>
      </c>
      <c r="N1713" s="30" t="str">
        <f>IF(E1713="Coinciden",D1713,IF(E1713="Revisar",VLOOKUP(A1713,Revisión!$A$2:$L$703,12,FALSE),""))</f>
        <v>Lobelia macrodon</v>
      </c>
    </row>
    <row r="1714" spans="1:14" x14ac:dyDescent="0.3">
      <c r="A1714" t="s">
        <v>3530</v>
      </c>
      <c r="B1714" t="s">
        <v>3531</v>
      </c>
      <c r="C1714" t="s">
        <v>3531</v>
      </c>
      <c r="D1714" t="s">
        <v>3531</v>
      </c>
      <c r="E1714" t="s">
        <v>18</v>
      </c>
      <c r="F1714" t="s">
        <v>19</v>
      </c>
      <c r="H1714" s="23" t="e">
        <f>VLOOKUP(A1714,Revisión!$A$2:$L$703,6,FALSE)</f>
        <v>#N/A</v>
      </c>
      <c r="I1714" s="4" t="e">
        <f>VLOOKUP(A1714,Revisión!$A$2:$L$703,7,FALSE)</f>
        <v>#N/A</v>
      </c>
      <c r="J1714" s="4" t="e">
        <f>VLOOKUP(A1714,Revisión!$A$2:$L$703,8,FALSE)</f>
        <v>#N/A</v>
      </c>
      <c r="K1714" s="4" t="e">
        <f>VLOOKUP(A1714,Revisión!$A$2:$L$703,9,FALSE)</f>
        <v>#N/A</v>
      </c>
      <c r="L1714" s="4" t="e">
        <f>VLOOKUP(A1714,Revisión!$A$2:$L$703,10,FALSE)</f>
        <v>#N/A</v>
      </c>
      <c r="M1714" s="18" t="e">
        <f>VLOOKUP(A1714,Revisión!$A$2:$L$703,11,FALSE)</f>
        <v>#N/A</v>
      </c>
      <c r="N1714" s="30" t="str">
        <f>IF(E1714="Coinciden",D1714,IF(E1714="Revisar",VLOOKUP(A1714,Revisión!$A$2:$L$703,12,FALSE),""))</f>
        <v>Premna serratifolia</v>
      </c>
    </row>
    <row r="1715" spans="1:14" x14ac:dyDescent="0.3">
      <c r="A1715" t="s">
        <v>3532</v>
      </c>
      <c r="B1715" t="s">
        <v>3533</v>
      </c>
      <c r="C1715" t="s">
        <v>3533</v>
      </c>
      <c r="D1715" t="s">
        <v>3533</v>
      </c>
      <c r="E1715" t="s">
        <v>18</v>
      </c>
      <c r="F1715" t="s">
        <v>19</v>
      </c>
      <c r="H1715" s="23" t="e">
        <f>VLOOKUP(A1715,Revisión!$A$2:$L$703,6,FALSE)</f>
        <v>#N/A</v>
      </c>
      <c r="I1715" s="4" t="e">
        <f>VLOOKUP(A1715,Revisión!$A$2:$L$703,7,FALSE)</f>
        <v>#N/A</v>
      </c>
      <c r="J1715" s="4" t="e">
        <f>VLOOKUP(A1715,Revisión!$A$2:$L$703,8,FALSE)</f>
        <v>#N/A</v>
      </c>
      <c r="K1715" s="4" t="e">
        <f>VLOOKUP(A1715,Revisión!$A$2:$L$703,9,FALSE)</f>
        <v>#N/A</v>
      </c>
      <c r="L1715" s="4" t="e">
        <f>VLOOKUP(A1715,Revisión!$A$2:$L$703,10,FALSE)</f>
        <v>#N/A</v>
      </c>
      <c r="M1715" s="18" t="e">
        <f>VLOOKUP(A1715,Revisión!$A$2:$L$703,11,FALSE)</f>
        <v>#N/A</v>
      </c>
      <c r="N1715" s="30" t="str">
        <f>IF(E1715="Coinciden",D1715,IF(E1715="Revisar",VLOOKUP(A1715,Revisión!$A$2:$L$703,12,FALSE),""))</f>
        <v>Premna microphylla</v>
      </c>
    </row>
    <row r="1716" spans="1:14" x14ac:dyDescent="0.3">
      <c r="A1716" t="s">
        <v>3534</v>
      </c>
      <c r="B1716" t="s">
        <v>3535</v>
      </c>
      <c r="D1716" t="s">
        <v>3535</v>
      </c>
      <c r="E1716" t="s">
        <v>8</v>
      </c>
      <c r="F1716" t="s">
        <v>34</v>
      </c>
      <c r="H1716" s="23" t="str">
        <f>VLOOKUP(A1716,Revisión!$A$2:$L$703,6,FALSE)</f>
        <v>Premna serratifolia</v>
      </c>
      <c r="I1716" s="4" t="str">
        <f>VLOOKUP(A1716,Revisión!$A$2:$L$703,7,FALSE)</f>
        <v>-</v>
      </c>
      <c r="J1716" s="4" t="str">
        <f>VLOOKUP(A1716,Revisión!$A$2:$L$703,8,FALSE)</f>
        <v>Premna serratifolia</v>
      </c>
      <c r="K1716" s="4" t="str">
        <f>VLOOKUP(A1716,Revisión!$A$2:$L$703,9,FALSE)</f>
        <v>-</v>
      </c>
      <c r="L1716" s="4" t="str">
        <f>VLOOKUP(A1716,Revisión!$A$2:$L$703,10,FALSE)</f>
        <v>Premna serratifolia</v>
      </c>
      <c r="M1716" s="18">
        <f>VLOOKUP(A1716,Revisión!$A$2:$L$703,11,FALSE)</f>
        <v>3</v>
      </c>
      <c r="N1716" s="30" t="str">
        <f>IF(E1716="Coinciden",D1716,IF(E1716="Revisar",VLOOKUP(A1716,Revisión!$A$2:$L$703,12,FALSE),""))</f>
        <v>Premna serratifolia</v>
      </c>
    </row>
    <row r="1717" spans="1:14" x14ac:dyDescent="0.3">
      <c r="A1717" t="s">
        <v>3536</v>
      </c>
      <c r="D1717" t="s">
        <v>3537</v>
      </c>
      <c r="E1717" t="s">
        <v>8</v>
      </c>
      <c r="F1717" t="s">
        <v>9</v>
      </c>
      <c r="H1717" s="23" t="str">
        <f>VLOOKUP(A1717,Revisión!$A$2:$L$703,6,FALSE)</f>
        <v>Nabalus asper</v>
      </c>
      <c r="I1717" s="4" t="str">
        <f>VLOOKUP(A1717,Revisión!$A$2:$L$703,7,FALSE)</f>
        <v>-</v>
      </c>
      <c r="J1717" s="4" t="str">
        <f>VLOOKUP(A1717,Revisión!$A$2:$L$703,8,FALSE)</f>
        <v>Nabalus asper</v>
      </c>
      <c r="K1717" s="4" t="str">
        <f>VLOOKUP(A1717,Revisión!$A$2:$L$703,9,FALSE)</f>
        <v>Nabalus asper</v>
      </c>
      <c r="L1717" s="4" t="str">
        <f>VLOOKUP(A1717,Revisión!$A$2:$L$703,10,FALSE)</f>
        <v>-</v>
      </c>
      <c r="M1717" s="18">
        <f>VLOOKUP(A1717,Revisión!$A$2:$L$703,11,FALSE)</f>
        <v>3</v>
      </c>
      <c r="N1717" s="30" t="str">
        <f>IF(E1717="Coinciden",D1717,IF(E1717="Revisar",VLOOKUP(A1717,Revisión!$A$2:$L$703,12,FALSE),""))</f>
        <v>Nabalus asper</v>
      </c>
    </row>
    <row r="1718" spans="1:14" x14ac:dyDescent="0.3">
      <c r="A1718" t="s">
        <v>3538</v>
      </c>
      <c r="D1718" t="s">
        <v>3539</v>
      </c>
      <c r="E1718" t="s">
        <v>8</v>
      </c>
      <c r="F1718" t="s">
        <v>9</v>
      </c>
      <c r="H1718" s="23" t="str">
        <f>VLOOKUP(A1718,Revisión!$A$2:$L$703,6,FALSE)</f>
        <v>Nabalus crepidineus</v>
      </c>
      <c r="I1718" s="4" t="str">
        <f>VLOOKUP(A1718,Revisión!$A$2:$L$703,7,FALSE)</f>
        <v>-</v>
      </c>
      <c r="J1718" s="4" t="str">
        <f>VLOOKUP(A1718,Revisión!$A$2:$L$703,8,FALSE)</f>
        <v>Nabalus crepidineus</v>
      </c>
      <c r="K1718" s="4" t="str">
        <f>VLOOKUP(A1718,Revisión!$A$2:$L$703,9,FALSE)</f>
        <v>Nabalus crepidineus</v>
      </c>
      <c r="L1718" s="4" t="str">
        <f>VLOOKUP(A1718,Revisión!$A$2:$L$703,10,FALSE)</f>
        <v>Nabalus crepidineus</v>
      </c>
      <c r="M1718" s="18">
        <f>VLOOKUP(A1718,Revisión!$A$2:$L$703,11,FALSE)</f>
        <v>4</v>
      </c>
      <c r="N1718" s="30" t="str">
        <f>IF(E1718="Coinciden",D1718,IF(E1718="Revisar",VLOOKUP(A1718,Revisión!$A$2:$L$703,12,FALSE),""))</f>
        <v>Nabalus crepidineus</v>
      </c>
    </row>
    <row r="1719" spans="1:14" x14ac:dyDescent="0.3">
      <c r="A1719" t="s">
        <v>3540</v>
      </c>
      <c r="B1719" t="s">
        <v>3541</v>
      </c>
      <c r="C1719" t="s">
        <v>3541</v>
      </c>
      <c r="D1719" t="s">
        <v>3542</v>
      </c>
      <c r="E1719" t="s">
        <v>8</v>
      </c>
      <c r="F1719" t="s">
        <v>15</v>
      </c>
      <c r="H1719" s="23" t="str">
        <f>VLOOKUP(A1719,Revisión!$A$2:$L$703,6,FALSE)</f>
        <v>Nabalus ochroleucus</v>
      </c>
      <c r="I1719" s="4" t="str">
        <f>VLOOKUP(A1719,Revisión!$A$2:$L$703,7,FALSE)</f>
        <v>-</v>
      </c>
      <c r="J1719" s="4" t="str">
        <f>VLOOKUP(A1719,Revisión!$A$2:$L$703,8,FALSE)</f>
        <v>Nabalus ochroleucus</v>
      </c>
      <c r="K1719" s="4" t="str">
        <f>VLOOKUP(A1719,Revisión!$A$2:$L$703,9,FALSE)</f>
        <v>Nabalus ochroleucus</v>
      </c>
      <c r="L1719" s="4" t="str">
        <f>VLOOKUP(A1719,Revisión!$A$2:$L$703,10,FALSE)</f>
        <v>Nabalus ochroleucus</v>
      </c>
      <c r="M1719" s="18">
        <f>VLOOKUP(A1719,Revisión!$A$2:$L$703,11,FALSE)</f>
        <v>4</v>
      </c>
      <c r="N1719" s="30" t="str">
        <f>IF(E1719="Coinciden",D1719,IF(E1719="Revisar",VLOOKUP(A1719,Revisión!$A$2:$L$703,12,FALSE),""))</f>
        <v>Nabalus ochroleucus</v>
      </c>
    </row>
    <row r="1720" spans="1:14" x14ac:dyDescent="0.3">
      <c r="A1720" t="s">
        <v>3543</v>
      </c>
      <c r="B1720" t="s">
        <v>3544</v>
      </c>
      <c r="C1720" t="s">
        <v>3544</v>
      </c>
      <c r="D1720" t="s">
        <v>3544</v>
      </c>
      <c r="E1720" t="s">
        <v>18</v>
      </c>
      <c r="F1720" t="s">
        <v>19</v>
      </c>
      <c r="H1720" s="23" t="e">
        <f>VLOOKUP(A1720,Revisión!$A$2:$L$703,6,FALSE)</f>
        <v>#N/A</v>
      </c>
      <c r="I1720" s="4" t="e">
        <f>VLOOKUP(A1720,Revisión!$A$2:$L$703,7,FALSE)</f>
        <v>#N/A</v>
      </c>
      <c r="J1720" s="4" t="e">
        <f>VLOOKUP(A1720,Revisión!$A$2:$L$703,8,FALSE)</f>
        <v>#N/A</v>
      </c>
      <c r="K1720" s="4" t="e">
        <f>VLOOKUP(A1720,Revisión!$A$2:$L$703,9,FALSE)</f>
        <v>#N/A</v>
      </c>
      <c r="L1720" s="4" t="e">
        <f>VLOOKUP(A1720,Revisión!$A$2:$L$703,10,FALSE)</f>
        <v>#N/A</v>
      </c>
      <c r="M1720" s="18" t="e">
        <f>VLOOKUP(A1720,Revisión!$A$2:$L$703,11,FALSE)</f>
        <v>#N/A</v>
      </c>
      <c r="N1720" s="30" t="str">
        <f>IF(E1720="Coinciden",D1720,IF(E1720="Revisar",VLOOKUP(A1720,Revisión!$A$2:$L$703,12,FALSE),""))</f>
        <v>Primula veris</v>
      </c>
    </row>
    <row r="1721" spans="1:14" x14ac:dyDescent="0.3">
      <c r="A1721" t="s">
        <v>3545</v>
      </c>
      <c r="B1721" t="s">
        <v>3546</v>
      </c>
      <c r="C1721" t="s">
        <v>3547</v>
      </c>
      <c r="D1721" t="s">
        <v>3547</v>
      </c>
      <c r="E1721" t="s">
        <v>8</v>
      </c>
      <c r="F1721" t="s">
        <v>23</v>
      </c>
      <c r="H1721" s="23" t="str">
        <f>VLOOKUP(A1721,Revisión!$A$2:$L$703,6,FALSE)</f>
        <v>Neltuma juliflora</v>
      </c>
      <c r="I1721" s="4" t="str">
        <f>VLOOKUP(A1721,Revisión!$A$2:$L$703,7,FALSE)</f>
        <v>-</v>
      </c>
      <c r="J1721" s="4" t="str">
        <f>VLOOKUP(A1721,Revisión!$A$2:$L$703,8,FALSE)</f>
        <v>Neltuma juliflora</v>
      </c>
      <c r="K1721" s="4" t="str">
        <f>VLOOKUP(A1721,Revisión!$A$2:$L$703,9,FALSE)</f>
        <v>Neltuma juliflora</v>
      </c>
      <c r="L1721" s="4" t="str">
        <f>VLOOKUP(A1721,Revisión!$A$2:$L$703,10,FALSE)</f>
        <v>Neltuma juliflora</v>
      </c>
      <c r="M1721" s="18">
        <f>VLOOKUP(A1721,Revisión!$A$2:$L$703,11,FALSE)</f>
        <v>5</v>
      </c>
      <c r="N1721" s="30" t="str">
        <f>IF(E1721="Coinciden",D1721,IF(E1721="Revisar",VLOOKUP(A1721,Revisión!$A$2:$L$703,12,FALSE),""))</f>
        <v>Neltuma juliflora</v>
      </c>
    </row>
    <row r="1722" spans="1:14" x14ac:dyDescent="0.3">
      <c r="A1722" t="s">
        <v>3548</v>
      </c>
      <c r="B1722" t="s">
        <v>3549</v>
      </c>
      <c r="C1722" t="s">
        <v>3549</v>
      </c>
      <c r="D1722" t="s">
        <v>3549</v>
      </c>
      <c r="E1722" t="s">
        <v>18</v>
      </c>
      <c r="F1722" t="s">
        <v>19</v>
      </c>
      <c r="H1722" s="23" t="e">
        <f>VLOOKUP(A1722,Revisión!$A$2:$L$703,6,FALSE)</f>
        <v>#N/A</v>
      </c>
      <c r="I1722" s="4" t="e">
        <f>VLOOKUP(A1722,Revisión!$A$2:$L$703,7,FALSE)</f>
        <v>#N/A</v>
      </c>
      <c r="J1722" s="4" t="e">
        <f>VLOOKUP(A1722,Revisión!$A$2:$L$703,8,FALSE)</f>
        <v>#N/A</v>
      </c>
      <c r="K1722" s="4" t="e">
        <f>VLOOKUP(A1722,Revisión!$A$2:$L$703,9,FALSE)</f>
        <v>#N/A</v>
      </c>
      <c r="L1722" s="4" t="e">
        <f>VLOOKUP(A1722,Revisión!$A$2:$L$703,10,FALSE)</f>
        <v>#N/A</v>
      </c>
      <c r="M1722" s="18" t="e">
        <f>VLOOKUP(A1722,Revisión!$A$2:$L$703,11,FALSE)</f>
        <v>#N/A</v>
      </c>
      <c r="N1722" s="30" t="str">
        <f>IF(E1722="Coinciden",D1722,IF(E1722="Revisar",VLOOKUP(A1722,Revisión!$A$2:$L$703,12,FALSE),""))</f>
        <v>Prostanthera cuneata</v>
      </c>
    </row>
    <row r="1723" spans="1:14" x14ac:dyDescent="0.3">
      <c r="A1723" t="s">
        <v>3550</v>
      </c>
      <c r="B1723" t="s">
        <v>3551</v>
      </c>
      <c r="C1723" t="s">
        <v>3551</v>
      </c>
      <c r="D1723" t="s">
        <v>3551</v>
      </c>
      <c r="E1723" t="s">
        <v>18</v>
      </c>
      <c r="F1723" t="s">
        <v>19</v>
      </c>
      <c r="H1723" s="23" t="e">
        <f>VLOOKUP(A1723,Revisión!$A$2:$L$703,6,FALSE)</f>
        <v>#N/A</v>
      </c>
      <c r="I1723" s="4" t="e">
        <f>VLOOKUP(A1723,Revisión!$A$2:$L$703,7,FALSE)</f>
        <v>#N/A</v>
      </c>
      <c r="J1723" s="4" t="e">
        <f>VLOOKUP(A1723,Revisión!$A$2:$L$703,8,FALSE)</f>
        <v>#N/A</v>
      </c>
      <c r="K1723" s="4" t="e">
        <f>VLOOKUP(A1723,Revisión!$A$2:$L$703,9,FALSE)</f>
        <v>#N/A</v>
      </c>
      <c r="L1723" s="4" t="e">
        <f>VLOOKUP(A1723,Revisión!$A$2:$L$703,10,FALSE)</f>
        <v>#N/A</v>
      </c>
      <c r="M1723" s="18" t="e">
        <f>VLOOKUP(A1723,Revisión!$A$2:$L$703,11,FALSE)</f>
        <v>#N/A</v>
      </c>
      <c r="N1723" s="30" t="str">
        <f>IF(E1723="Coinciden",D1723,IF(E1723="Revisar",VLOOKUP(A1723,Revisión!$A$2:$L$703,12,FALSE),""))</f>
        <v>Prunella vulgaris</v>
      </c>
    </row>
    <row r="1724" spans="1:14" x14ac:dyDescent="0.3">
      <c r="A1724" t="s">
        <v>3552</v>
      </c>
      <c r="B1724" t="s">
        <v>3553</v>
      </c>
      <c r="C1724" t="s">
        <v>3553</v>
      </c>
      <c r="D1724" t="s">
        <v>3553</v>
      </c>
      <c r="E1724" t="s">
        <v>18</v>
      </c>
      <c r="F1724" t="s">
        <v>19</v>
      </c>
      <c r="H1724" s="23" t="e">
        <f>VLOOKUP(A1724,Revisión!$A$2:$L$703,6,FALSE)</f>
        <v>#N/A</v>
      </c>
      <c r="I1724" s="4" t="e">
        <f>VLOOKUP(A1724,Revisión!$A$2:$L$703,7,FALSE)</f>
        <v>#N/A</v>
      </c>
      <c r="J1724" s="4" t="e">
        <f>VLOOKUP(A1724,Revisión!$A$2:$L$703,8,FALSE)</f>
        <v>#N/A</v>
      </c>
      <c r="K1724" s="4" t="e">
        <f>VLOOKUP(A1724,Revisión!$A$2:$L$703,9,FALSE)</f>
        <v>#N/A</v>
      </c>
      <c r="L1724" s="4" t="e">
        <f>VLOOKUP(A1724,Revisión!$A$2:$L$703,10,FALSE)</f>
        <v>#N/A</v>
      </c>
      <c r="M1724" s="18" t="e">
        <f>VLOOKUP(A1724,Revisión!$A$2:$L$703,11,FALSE)</f>
        <v>#N/A</v>
      </c>
      <c r="N1724" s="30" t="str">
        <f>IF(E1724="Coinciden",D1724,IF(E1724="Revisar",VLOOKUP(A1724,Revisión!$A$2:$L$703,12,FALSE),""))</f>
        <v>Prunus americana</v>
      </c>
    </row>
    <row r="1725" spans="1:14" x14ac:dyDescent="0.3">
      <c r="A1725" t="s">
        <v>3554</v>
      </c>
      <c r="B1725" t="s">
        <v>3555</v>
      </c>
      <c r="C1725" t="s">
        <v>3555</v>
      </c>
      <c r="D1725" t="s">
        <v>3555</v>
      </c>
      <c r="E1725" t="s">
        <v>18</v>
      </c>
      <c r="F1725" t="s">
        <v>19</v>
      </c>
      <c r="H1725" s="23" t="e">
        <f>VLOOKUP(A1725,Revisión!$A$2:$L$703,6,FALSE)</f>
        <v>#N/A</v>
      </c>
      <c r="I1725" s="4" t="e">
        <f>VLOOKUP(A1725,Revisión!$A$2:$L$703,7,FALSE)</f>
        <v>#N/A</v>
      </c>
      <c r="J1725" s="4" t="e">
        <f>VLOOKUP(A1725,Revisión!$A$2:$L$703,8,FALSE)</f>
        <v>#N/A</v>
      </c>
      <c r="K1725" s="4" t="e">
        <f>VLOOKUP(A1725,Revisión!$A$2:$L$703,9,FALSE)</f>
        <v>#N/A</v>
      </c>
      <c r="L1725" s="4" t="e">
        <f>VLOOKUP(A1725,Revisión!$A$2:$L$703,10,FALSE)</f>
        <v>#N/A</v>
      </c>
      <c r="M1725" s="18" t="e">
        <f>VLOOKUP(A1725,Revisión!$A$2:$L$703,11,FALSE)</f>
        <v>#N/A</v>
      </c>
      <c r="N1725" s="30" t="str">
        <f>IF(E1725="Coinciden",D1725,IF(E1725="Revisar",VLOOKUP(A1725,Revisión!$A$2:$L$703,12,FALSE),""))</f>
        <v>Prunus virginiana</v>
      </c>
    </row>
    <row r="1726" spans="1:14" x14ac:dyDescent="0.3">
      <c r="A1726" t="s">
        <v>3556</v>
      </c>
      <c r="B1726" t="s">
        <v>3557</v>
      </c>
      <c r="D1726" t="s">
        <v>3557</v>
      </c>
      <c r="E1726" t="s">
        <v>8</v>
      </c>
      <c r="F1726" t="s">
        <v>34</v>
      </c>
      <c r="H1726" s="23" t="str">
        <f>VLOOKUP(A1726,Revisión!$A$2:$L$703,6,FALSE)</f>
        <v>Prunus jamasakura</v>
      </c>
      <c r="I1726" s="4" t="str">
        <f>VLOOKUP(A1726,Revisión!$A$2:$L$703,7,FALSE)</f>
        <v>-</v>
      </c>
      <c r="J1726" s="4" t="str">
        <f>VLOOKUP(A1726,Revisión!$A$2:$L$703,8,FALSE)</f>
        <v>Prunus jamasakura</v>
      </c>
      <c r="K1726" s="4" t="str">
        <f>VLOOKUP(A1726,Revisión!$A$2:$L$703,9,FALSE)</f>
        <v>Prunus jamasakura</v>
      </c>
      <c r="L1726" s="4" t="str">
        <f>VLOOKUP(A1726,Revisión!$A$2:$L$703,10,FALSE)</f>
        <v>Prunus jamasakura</v>
      </c>
      <c r="M1726" s="18">
        <f>VLOOKUP(A1726,Revisión!$A$2:$L$703,11,FALSE)</f>
        <v>4</v>
      </c>
      <c r="N1726" s="30" t="str">
        <f>IF(E1726="Coinciden",D1726,IF(E1726="Revisar",VLOOKUP(A1726,Revisión!$A$2:$L$703,12,FALSE),""))</f>
        <v>Prunus jamasakura</v>
      </c>
    </row>
    <row r="1727" spans="1:14" x14ac:dyDescent="0.3">
      <c r="A1727" t="s">
        <v>3558</v>
      </c>
      <c r="B1727" t="s">
        <v>3559</v>
      </c>
      <c r="D1727" t="s">
        <v>3559</v>
      </c>
      <c r="E1727" t="s">
        <v>8</v>
      </c>
      <c r="F1727" t="s">
        <v>34</v>
      </c>
      <c r="H1727" s="23" t="str">
        <f>VLOOKUP(A1727,Revisión!$A$2:$L$703,6,FALSE)</f>
        <v>Prunus serotina</v>
      </c>
      <c r="I1727" s="4" t="str">
        <f>VLOOKUP(A1727,Revisión!$A$2:$L$703,7,FALSE)</f>
        <v>-</v>
      </c>
      <c r="J1727" s="4" t="str">
        <f>VLOOKUP(A1727,Revisión!$A$2:$L$703,8,FALSE)</f>
        <v>Prunus serotina</v>
      </c>
      <c r="K1727" s="4" t="str">
        <f>VLOOKUP(A1727,Revisión!$A$2:$L$703,9,FALSE)</f>
        <v>Prunus serotina</v>
      </c>
      <c r="L1727" s="4" t="str">
        <f>VLOOKUP(A1727,Revisión!$A$2:$L$703,10,FALSE)</f>
        <v>Prunus serotina</v>
      </c>
      <c r="M1727" s="18">
        <f>VLOOKUP(A1727,Revisión!$A$2:$L$703,11,FALSE)</f>
        <v>5</v>
      </c>
      <c r="N1727" s="30" t="str">
        <f>IF(E1727="Coinciden",D1727,IF(E1727="Revisar",VLOOKUP(A1727,Revisión!$A$2:$L$703,12,FALSE),""))</f>
        <v>Prunus serotina</v>
      </c>
    </row>
    <row r="1728" spans="1:14" x14ac:dyDescent="0.3">
      <c r="A1728" t="s">
        <v>3560</v>
      </c>
      <c r="B1728" t="s">
        <v>3561</v>
      </c>
      <c r="C1728" t="s">
        <v>3561</v>
      </c>
      <c r="D1728" t="s">
        <v>3561</v>
      </c>
      <c r="E1728" t="s">
        <v>18</v>
      </c>
      <c r="F1728" t="s">
        <v>19</v>
      </c>
      <c r="H1728" s="23" t="e">
        <f>VLOOKUP(A1728,Revisión!$A$2:$L$703,6,FALSE)</f>
        <v>#N/A</v>
      </c>
      <c r="I1728" s="4" t="e">
        <f>VLOOKUP(A1728,Revisión!$A$2:$L$703,7,FALSE)</f>
        <v>#N/A</v>
      </c>
      <c r="J1728" s="4" t="e">
        <f>VLOOKUP(A1728,Revisión!$A$2:$L$703,8,FALSE)</f>
        <v>#N/A</v>
      </c>
      <c r="K1728" s="4" t="e">
        <f>VLOOKUP(A1728,Revisión!$A$2:$L$703,9,FALSE)</f>
        <v>#N/A</v>
      </c>
      <c r="L1728" s="4" t="e">
        <f>VLOOKUP(A1728,Revisión!$A$2:$L$703,10,FALSE)</f>
        <v>#N/A</v>
      </c>
      <c r="M1728" s="18" t="e">
        <f>VLOOKUP(A1728,Revisión!$A$2:$L$703,11,FALSE)</f>
        <v>#N/A</v>
      </c>
      <c r="N1728" s="30" t="str">
        <f>IF(E1728="Coinciden",D1728,IF(E1728="Revisar",VLOOKUP(A1728,Revisión!$A$2:$L$703,12,FALSE),""))</f>
        <v>Prunus nipponica</v>
      </c>
    </row>
    <row r="1729" spans="1:14" x14ac:dyDescent="0.3">
      <c r="A1729" t="s">
        <v>3562</v>
      </c>
      <c r="E1729" t="s">
        <v>8</v>
      </c>
      <c r="F1729" t="s">
        <v>11</v>
      </c>
      <c r="H1729" s="23" t="e">
        <f>VLOOKUP(A1729,Revisión!$A$2:$L$703,6,FALSE)</f>
        <v>#N/A</v>
      </c>
      <c r="I1729" s="4" t="e">
        <f>VLOOKUP(A1729,Revisión!$A$2:$L$703,7,FALSE)</f>
        <v>#N/A</v>
      </c>
      <c r="J1729" s="4" t="e">
        <f>VLOOKUP(A1729,Revisión!$A$2:$L$703,8,FALSE)</f>
        <v>#N/A</v>
      </c>
      <c r="K1729" s="4" t="e">
        <f>VLOOKUP(A1729,Revisión!$A$2:$L$703,9,FALSE)</f>
        <v>#N/A</v>
      </c>
      <c r="L1729" s="4" t="e">
        <f>VLOOKUP(A1729,Revisión!$A$2:$L$703,10,FALSE)</f>
        <v>#N/A</v>
      </c>
      <c r="M1729" s="18" t="e">
        <f>VLOOKUP(A1729,Revisión!$A$2:$L$703,11,FALSE)</f>
        <v>#N/A</v>
      </c>
      <c r="N1729" s="30" t="e">
        <f>IF(E1729="Coinciden",D1729,IF(E1729="Revisar",VLOOKUP(A1729,Revisión!$A$2:$L$703,12,FALSE),""))</f>
        <v>#N/A</v>
      </c>
    </row>
    <row r="1730" spans="1:14" x14ac:dyDescent="0.3">
      <c r="A1730" t="s">
        <v>3563</v>
      </c>
      <c r="B1730" t="s">
        <v>3564</v>
      </c>
      <c r="C1730" t="s">
        <v>3564</v>
      </c>
      <c r="D1730" t="s">
        <v>3564</v>
      </c>
      <c r="E1730" t="s">
        <v>18</v>
      </c>
      <c r="F1730" t="s">
        <v>19</v>
      </c>
      <c r="H1730" s="23" t="e">
        <f>VLOOKUP(A1730,Revisión!$A$2:$L$703,6,FALSE)</f>
        <v>#N/A</v>
      </c>
      <c r="I1730" s="4" t="e">
        <f>VLOOKUP(A1730,Revisión!$A$2:$L$703,7,FALSE)</f>
        <v>#N/A</v>
      </c>
      <c r="J1730" s="4" t="e">
        <f>VLOOKUP(A1730,Revisión!$A$2:$L$703,8,FALSE)</f>
        <v>#N/A</v>
      </c>
      <c r="K1730" s="4" t="e">
        <f>VLOOKUP(A1730,Revisión!$A$2:$L$703,9,FALSE)</f>
        <v>#N/A</v>
      </c>
      <c r="L1730" s="4" t="e">
        <f>VLOOKUP(A1730,Revisión!$A$2:$L$703,10,FALSE)</f>
        <v>#N/A</v>
      </c>
      <c r="M1730" s="18" t="e">
        <f>VLOOKUP(A1730,Revisión!$A$2:$L$703,11,FALSE)</f>
        <v>#N/A</v>
      </c>
      <c r="N1730" s="30" t="str">
        <f>IF(E1730="Coinciden",D1730,IF(E1730="Revisar",VLOOKUP(A1730,Revisión!$A$2:$L$703,12,FALSE),""))</f>
        <v>Prunus salicina</v>
      </c>
    </row>
    <row r="1731" spans="1:14" x14ac:dyDescent="0.3">
      <c r="A1731" t="s">
        <v>3565</v>
      </c>
      <c r="B1731" t="s">
        <v>3566</v>
      </c>
      <c r="C1731" t="s">
        <v>3566</v>
      </c>
      <c r="D1731" t="s">
        <v>3566</v>
      </c>
      <c r="E1731" t="s">
        <v>18</v>
      </c>
      <c r="F1731" t="s">
        <v>19</v>
      </c>
      <c r="H1731" s="23" t="e">
        <f>VLOOKUP(A1731,Revisión!$A$2:$L$703,6,FALSE)</f>
        <v>#N/A</v>
      </c>
      <c r="I1731" s="4" t="e">
        <f>VLOOKUP(A1731,Revisión!$A$2:$L$703,7,FALSE)</f>
        <v>#N/A</v>
      </c>
      <c r="J1731" s="4" t="e">
        <f>VLOOKUP(A1731,Revisión!$A$2:$L$703,8,FALSE)</f>
        <v>#N/A</v>
      </c>
      <c r="K1731" s="4" t="e">
        <f>VLOOKUP(A1731,Revisión!$A$2:$L$703,9,FALSE)</f>
        <v>#N/A</v>
      </c>
      <c r="L1731" s="4" t="e">
        <f>VLOOKUP(A1731,Revisión!$A$2:$L$703,10,FALSE)</f>
        <v>#N/A</v>
      </c>
      <c r="M1731" s="18" t="e">
        <f>VLOOKUP(A1731,Revisión!$A$2:$L$703,11,FALSE)</f>
        <v>#N/A</v>
      </c>
      <c r="N1731" s="30" t="str">
        <f>IF(E1731="Coinciden",D1731,IF(E1731="Revisar",VLOOKUP(A1731,Revisión!$A$2:$L$703,12,FALSE),""))</f>
        <v>Prunus tomentosa</v>
      </c>
    </row>
    <row r="1732" spans="1:14" x14ac:dyDescent="0.3">
      <c r="A1732" t="s">
        <v>3567</v>
      </c>
      <c r="B1732" t="s">
        <v>3568</v>
      </c>
      <c r="C1732" t="s">
        <v>3568</v>
      </c>
      <c r="D1732" t="s">
        <v>3568</v>
      </c>
      <c r="E1732" t="s">
        <v>18</v>
      </c>
      <c r="F1732" t="s">
        <v>19</v>
      </c>
      <c r="H1732" s="23" t="e">
        <f>VLOOKUP(A1732,Revisión!$A$2:$L$703,6,FALSE)</f>
        <v>#N/A</v>
      </c>
      <c r="I1732" s="4" t="e">
        <f>VLOOKUP(A1732,Revisión!$A$2:$L$703,7,FALSE)</f>
        <v>#N/A</v>
      </c>
      <c r="J1732" s="4" t="e">
        <f>VLOOKUP(A1732,Revisión!$A$2:$L$703,8,FALSE)</f>
        <v>#N/A</v>
      </c>
      <c r="K1732" s="4" t="e">
        <f>VLOOKUP(A1732,Revisión!$A$2:$L$703,9,FALSE)</f>
        <v>#N/A</v>
      </c>
      <c r="L1732" s="4" t="e">
        <f>VLOOKUP(A1732,Revisión!$A$2:$L$703,10,FALSE)</f>
        <v>#N/A</v>
      </c>
      <c r="M1732" s="18" t="e">
        <f>VLOOKUP(A1732,Revisión!$A$2:$L$703,11,FALSE)</f>
        <v>#N/A</v>
      </c>
      <c r="N1732" s="30" t="str">
        <f>IF(E1732="Coinciden",D1732,IF(E1732="Revisar",VLOOKUP(A1732,Revisión!$A$2:$L$703,12,FALSE),""))</f>
        <v>Prunus virginiana var. demissa</v>
      </c>
    </row>
    <row r="1733" spans="1:14" x14ac:dyDescent="0.3">
      <c r="A1733" t="s">
        <v>3569</v>
      </c>
      <c r="B1733" t="s">
        <v>3570</v>
      </c>
      <c r="C1733" t="s">
        <v>3570</v>
      </c>
      <c r="D1733" t="s">
        <v>3570</v>
      </c>
      <c r="E1733" t="s">
        <v>18</v>
      </c>
      <c r="F1733" t="s">
        <v>19</v>
      </c>
      <c r="H1733" s="23" t="e">
        <f>VLOOKUP(A1733,Revisión!$A$2:$L$703,6,FALSE)</f>
        <v>#N/A</v>
      </c>
      <c r="I1733" s="4" t="e">
        <f>VLOOKUP(A1733,Revisión!$A$2:$L$703,7,FALSE)</f>
        <v>#N/A</v>
      </c>
      <c r="J1733" s="4" t="e">
        <f>VLOOKUP(A1733,Revisión!$A$2:$L$703,8,FALSE)</f>
        <v>#N/A</v>
      </c>
      <c r="K1733" s="4" t="e">
        <f>VLOOKUP(A1733,Revisión!$A$2:$L$703,9,FALSE)</f>
        <v>#N/A</v>
      </c>
      <c r="L1733" s="4" t="e">
        <f>VLOOKUP(A1733,Revisión!$A$2:$L$703,10,FALSE)</f>
        <v>#N/A</v>
      </c>
      <c r="M1733" s="18" t="e">
        <f>VLOOKUP(A1733,Revisión!$A$2:$L$703,11,FALSE)</f>
        <v>#N/A</v>
      </c>
      <c r="N1733" s="30" t="str">
        <f>IF(E1733="Coinciden",D1733,IF(E1733="Revisar",VLOOKUP(A1733,Revisión!$A$2:$L$703,12,FALSE),""))</f>
        <v>Prunus incisa</v>
      </c>
    </row>
    <row r="1734" spans="1:14" x14ac:dyDescent="0.3">
      <c r="A1734" t="s">
        <v>3571</v>
      </c>
      <c r="B1734" t="s">
        <v>3572</v>
      </c>
      <c r="C1734" t="s">
        <v>3572</v>
      </c>
      <c r="D1734" t="s">
        <v>3572</v>
      </c>
      <c r="E1734" t="s">
        <v>18</v>
      </c>
      <c r="F1734" t="s">
        <v>19</v>
      </c>
      <c r="H1734" s="23" t="e">
        <f>VLOOKUP(A1734,Revisión!$A$2:$L$703,6,FALSE)</f>
        <v>#N/A</v>
      </c>
      <c r="I1734" s="4" t="e">
        <f>VLOOKUP(A1734,Revisión!$A$2:$L$703,7,FALSE)</f>
        <v>#N/A</v>
      </c>
      <c r="J1734" s="4" t="e">
        <f>VLOOKUP(A1734,Revisión!$A$2:$L$703,8,FALSE)</f>
        <v>#N/A</v>
      </c>
      <c r="K1734" s="4" t="e">
        <f>VLOOKUP(A1734,Revisión!$A$2:$L$703,9,FALSE)</f>
        <v>#N/A</v>
      </c>
      <c r="L1734" s="4" t="e">
        <f>VLOOKUP(A1734,Revisión!$A$2:$L$703,10,FALSE)</f>
        <v>#N/A</v>
      </c>
      <c r="M1734" s="18" t="e">
        <f>VLOOKUP(A1734,Revisión!$A$2:$L$703,11,FALSE)</f>
        <v>#N/A</v>
      </c>
      <c r="N1734" s="30" t="str">
        <f>IF(E1734="Coinciden",D1734,IF(E1734="Revisar",VLOOKUP(A1734,Revisión!$A$2:$L$703,12,FALSE),""))</f>
        <v>Prunus pensylvanica</v>
      </c>
    </row>
    <row r="1735" spans="1:14" x14ac:dyDescent="0.3">
      <c r="A1735" t="s">
        <v>3573</v>
      </c>
      <c r="B1735" t="s">
        <v>3574</v>
      </c>
      <c r="C1735" t="s">
        <v>3574</v>
      </c>
      <c r="D1735" t="s">
        <v>3574</v>
      </c>
      <c r="E1735" t="s">
        <v>18</v>
      </c>
      <c r="F1735" t="s">
        <v>19</v>
      </c>
      <c r="H1735" s="23" t="e">
        <f>VLOOKUP(A1735,Revisión!$A$2:$L$703,6,FALSE)</f>
        <v>#N/A</v>
      </c>
      <c r="I1735" s="4" t="e">
        <f>VLOOKUP(A1735,Revisión!$A$2:$L$703,7,FALSE)</f>
        <v>#N/A</v>
      </c>
      <c r="J1735" s="4" t="e">
        <f>VLOOKUP(A1735,Revisión!$A$2:$L$703,8,FALSE)</f>
        <v>#N/A</v>
      </c>
      <c r="K1735" s="4" t="e">
        <f>VLOOKUP(A1735,Revisión!$A$2:$L$703,9,FALSE)</f>
        <v>#N/A</v>
      </c>
      <c r="L1735" s="4" t="e">
        <f>VLOOKUP(A1735,Revisión!$A$2:$L$703,10,FALSE)</f>
        <v>#N/A</v>
      </c>
      <c r="M1735" s="18" t="e">
        <f>VLOOKUP(A1735,Revisión!$A$2:$L$703,11,FALSE)</f>
        <v>#N/A</v>
      </c>
      <c r="N1735" s="30" t="str">
        <f>IF(E1735="Coinciden",D1735,IF(E1735="Revisar",VLOOKUP(A1735,Revisión!$A$2:$L$703,12,FALSE),""))</f>
        <v>Prunus maximowiczii</v>
      </c>
    </row>
    <row r="1736" spans="1:14" x14ac:dyDescent="0.3">
      <c r="A1736" t="s">
        <v>3575</v>
      </c>
      <c r="C1736" t="s">
        <v>3576</v>
      </c>
      <c r="D1736" t="s">
        <v>3576</v>
      </c>
      <c r="E1736" t="s">
        <v>8</v>
      </c>
      <c r="F1736" t="s">
        <v>49</v>
      </c>
      <c r="H1736" s="23" t="str">
        <f>VLOOKUP(A1736,Revisión!$A$2:$L$703,6,FALSE)</f>
        <v>Prunus grayana</v>
      </c>
      <c r="I1736" s="4" t="str">
        <f>VLOOKUP(A1736,Revisión!$A$2:$L$703,7,FALSE)</f>
        <v>-</v>
      </c>
      <c r="J1736" s="4" t="str">
        <f>VLOOKUP(A1736,Revisión!$A$2:$L$703,8,FALSE)</f>
        <v>Prunus grayana</v>
      </c>
      <c r="K1736" s="4" t="str">
        <f>VLOOKUP(A1736,Revisión!$A$2:$L$703,9,FALSE)</f>
        <v>Prunus grayana</v>
      </c>
      <c r="L1736" s="4" t="str">
        <f>VLOOKUP(A1736,Revisión!$A$2:$L$703,10,FALSE)</f>
        <v>Prunus grayana</v>
      </c>
      <c r="M1736" s="18">
        <f>VLOOKUP(A1736,Revisión!$A$2:$L$703,11,FALSE)</f>
        <v>5</v>
      </c>
      <c r="N1736" s="30" t="str">
        <f>IF(E1736="Coinciden",D1736,IF(E1736="Revisar",VLOOKUP(A1736,Revisión!$A$2:$L$703,12,FALSE),""))</f>
        <v>Prunus grayana</v>
      </c>
    </row>
    <row r="1737" spans="1:14" x14ac:dyDescent="0.3">
      <c r="A1737" t="s">
        <v>3577</v>
      </c>
      <c r="B1737" t="s">
        <v>3578</v>
      </c>
      <c r="C1737" t="s">
        <v>3578</v>
      </c>
      <c r="D1737" t="s">
        <v>3578</v>
      </c>
      <c r="E1737" t="s">
        <v>18</v>
      </c>
      <c r="F1737" t="s">
        <v>19</v>
      </c>
      <c r="H1737" s="23" t="e">
        <f>VLOOKUP(A1737,Revisión!$A$2:$L$703,6,FALSE)</f>
        <v>#N/A</v>
      </c>
      <c r="I1737" s="4" t="e">
        <f>VLOOKUP(A1737,Revisión!$A$2:$L$703,7,FALSE)</f>
        <v>#N/A</v>
      </c>
      <c r="J1737" s="4" t="e">
        <f>VLOOKUP(A1737,Revisión!$A$2:$L$703,8,FALSE)</f>
        <v>#N/A</v>
      </c>
      <c r="K1737" s="4" t="e">
        <f>VLOOKUP(A1737,Revisión!$A$2:$L$703,9,FALSE)</f>
        <v>#N/A</v>
      </c>
      <c r="L1737" s="4" t="e">
        <f>VLOOKUP(A1737,Revisión!$A$2:$L$703,10,FALSE)</f>
        <v>#N/A</v>
      </c>
      <c r="M1737" s="18" t="e">
        <f>VLOOKUP(A1737,Revisión!$A$2:$L$703,11,FALSE)</f>
        <v>#N/A</v>
      </c>
      <c r="N1737" s="30" t="str">
        <f>IF(E1737="Coinciden",D1737,IF(E1737="Revisar",VLOOKUP(A1737,Revisión!$A$2:$L$703,12,FALSE),""))</f>
        <v>Psychotria terniflora</v>
      </c>
    </row>
    <row r="1738" spans="1:14" x14ac:dyDescent="0.3">
      <c r="A1738" t="s">
        <v>3579</v>
      </c>
      <c r="B1738" t="s">
        <v>3580</v>
      </c>
      <c r="C1738" t="s">
        <v>3580</v>
      </c>
      <c r="D1738" t="s">
        <v>3580</v>
      </c>
      <c r="E1738" t="s">
        <v>18</v>
      </c>
      <c r="F1738" t="s">
        <v>19</v>
      </c>
      <c r="H1738" s="23" t="e">
        <f>VLOOKUP(A1738,Revisión!$A$2:$L$703,6,FALSE)</f>
        <v>#N/A</v>
      </c>
      <c r="I1738" s="4" t="e">
        <f>VLOOKUP(A1738,Revisión!$A$2:$L$703,7,FALSE)</f>
        <v>#N/A</v>
      </c>
      <c r="J1738" s="4" t="e">
        <f>VLOOKUP(A1738,Revisión!$A$2:$L$703,8,FALSE)</f>
        <v>#N/A</v>
      </c>
      <c r="K1738" s="4" t="e">
        <f>VLOOKUP(A1738,Revisión!$A$2:$L$703,9,FALSE)</f>
        <v>#N/A</v>
      </c>
      <c r="L1738" s="4" t="e">
        <f>VLOOKUP(A1738,Revisión!$A$2:$L$703,10,FALSE)</f>
        <v>#N/A</v>
      </c>
      <c r="M1738" s="18" t="e">
        <f>VLOOKUP(A1738,Revisión!$A$2:$L$703,11,FALSE)</f>
        <v>#N/A</v>
      </c>
      <c r="N1738" s="30" t="str">
        <f>IF(E1738="Coinciden",D1738,IF(E1738="Revisar",VLOOKUP(A1738,Revisión!$A$2:$L$703,12,FALSE),""))</f>
        <v>Parthenocissus quinquefolia</v>
      </c>
    </row>
    <row r="1739" spans="1:14" x14ac:dyDescent="0.3">
      <c r="A1739" t="s">
        <v>3581</v>
      </c>
      <c r="B1739" t="s">
        <v>3582</v>
      </c>
      <c r="C1739" t="s">
        <v>3582</v>
      </c>
      <c r="D1739" t="s">
        <v>3582</v>
      </c>
      <c r="E1739" t="s">
        <v>18</v>
      </c>
      <c r="F1739" t="s">
        <v>19</v>
      </c>
      <c r="H1739" s="23" t="e">
        <f>VLOOKUP(A1739,Revisión!$A$2:$L$703,6,FALSE)</f>
        <v>#N/A</v>
      </c>
      <c r="I1739" s="4" t="e">
        <f>VLOOKUP(A1739,Revisión!$A$2:$L$703,7,FALSE)</f>
        <v>#N/A</v>
      </c>
      <c r="J1739" s="4" t="e">
        <f>VLOOKUP(A1739,Revisión!$A$2:$L$703,8,FALSE)</f>
        <v>#N/A</v>
      </c>
      <c r="K1739" s="4" t="e">
        <f>VLOOKUP(A1739,Revisión!$A$2:$L$703,9,FALSE)</f>
        <v>#N/A</v>
      </c>
      <c r="L1739" s="4" t="e">
        <f>VLOOKUP(A1739,Revisión!$A$2:$L$703,10,FALSE)</f>
        <v>#N/A</v>
      </c>
      <c r="M1739" s="18" t="e">
        <f>VLOOKUP(A1739,Revisión!$A$2:$L$703,11,FALSE)</f>
        <v>#N/A</v>
      </c>
      <c r="N1739" s="30" t="str">
        <f>IF(E1739="Coinciden",D1739,IF(E1739="Revisar",VLOOKUP(A1739,Revisión!$A$2:$L$703,12,FALSE),""))</f>
        <v>Pseudostellaria heterantha</v>
      </c>
    </row>
    <row r="1740" spans="1:14" x14ac:dyDescent="0.3">
      <c r="A1740" t="s">
        <v>3583</v>
      </c>
      <c r="B1740" t="s">
        <v>3584</v>
      </c>
      <c r="C1740" t="s">
        <v>3584</v>
      </c>
      <c r="E1740" t="s">
        <v>8</v>
      </c>
      <c r="F1740" t="s">
        <v>323</v>
      </c>
      <c r="H1740" s="23" t="str">
        <f>VLOOKUP(A1740,Revisión!$A$2:$L$703,6,FALSE)</f>
        <v>Psiadia terebinthina</v>
      </c>
      <c r="I1740" s="4" t="str">
        <f>VLOOKUP(A1740,Revisión!$A$2:$L$703,7,FALSE)</f>
        <v>-</v>
      </c>
      <c r="J1740" s="4" t="str">
        <f>VLOOKUP(A1740,Revisión!$A$2:$L$703,8,FALSE)</f>
        <v>Psiadia terebinthina</v>
      </c>
      <c r="K1740" s="4" t="str">
        <f>VLOOKUP(A1740,Revisión!$A$2:$L$703,9,FALSE)</f>
        <v>Psiadia terebinthina</v>
      </c>
      <c r="L1740" s="4" t="str">
        <f>VLOOKUP(A1740,Revisión!$A$2:$L$703,10,FALSE)</f>
        <v>Psiadia terebinthina</v>
      </c>
      <c r="M1740" s="18">
        <f>VLOOKUP(A1740,Revisión!$A$2:$L$703,11,FALSE)</f>
        <v>4</v>
      </c>
      <c r="N1740" s="30" t="str">
        <f>IF(E1740="Coinciden",D1740,IF(E1740="Revisar",VLOOKUP(A1740,Revisión!$A$2:$L$703,12,FALSE),""))</f>
        <v>Psiadia terebinthina</v>
      </c>
    </row>
    <row r="1741" spans="1:14" x14ac:dyDescent="0.3">
      <c r="A1741" t="s">
        <v>3585</v>
      </c>
      <c r="B1741" t="s">
        <v>3586</v>
      </c>
      <c r="C1741" t="s">
        <v>3586</v>
      </c>
      <c r="D1741" t="s">
        <v>3586</v>
      </c>
      <c r="E1741" t="s">
        <v>18</v>
      </c>
      <c r="F1741" t="s">
        <v>19</v>
      </c>
      <c r="H1741" s="23" t="e">
        <f>VLOOKUP(A1741,Revisión!$A$2:$L$703,6,FALSE)</f>
        <v>#N/A</v>
      </c>
      <c r="I1741" s="4" t="e">
        <f>VLOOKUP(A1741,Revisión!$A$2:$L$703,7,FALSE)</f>
        <v>#N/A</v>
      </c>
      <c r="J1741" s="4" t="e">
        <f>VLOOKUP(A1741,Revisión!$A$2:$L$703,8,FALSE)</f>
        <v>#N/A</v>
      </c>
      <c r="K1741" s="4" t="e">
        <f>VLOOKUP(A1741,Revisión!$A$2:$L$703,9,FALSE)</f>
        <v>#N/A</v>
      </c>
      <c r="L1741" s="4" t="e">
        <f>VLOOKUP(A1741,Revisión!$A$2:$L$703,10,FALSE)</f>
        <v>#N/A</v>
      </c>
      <c r="M1741" s="18" t="e">
        <f>VLOOKUP(A1741,Revisión!$A$2:$L$703,11,FALSE)</f>
        <v>#N/A</v>
      </c>
      <c r="N1741" s="30" t="str">
        <f>IF(E1741="Coinciden",D1741,IF(E1741="Revisar",VLOOKUP(A1741,Revisión!$A$2:$L$703,12,FALSE),""))</f>
        <v>Psidium montanum</v>
      </c>
    </row>
    <row r="1742" spans="1:14" x14ac:dyDescent="0.3">
      <c r="A1742" t="s">
        <v>3587</v>
      </c>
      <c r="B1742" t="s">
        <v>3588</v>
      </c>
      <c r="C1742" t="s">
        <v>3588</v>
      </c>
      <c r="D1742" t="s">
        <v>3588</v>
      </c>
      <c r="E1742" t="s">
        <v>18</v>
      </c>
      <c r="F1742" t="s">
        <v>19</v>
      </c>
      <c r="H1742" s="23" t="e">
        <f>VLOOKUP(A1742,Revisión!$A$2:$L$703,6,FALSE)</f>
        <v>#N/A</v>
      </c>
      <c r="I1742" s="4" t="e">
        <f>VLOOKUP(A1742,Revisión!$A$2:$L$703,7,FALSE)</f>
        <v>#N/A</v>
      </c>
      <c r="J1742" s="4" t="e">
        <f>VLOOKUP(A1742,Revisión!$A$2:$L$703,8,FALSE)</f>
        <v>#N/A</v>
      </c>
      <c r="K1742" s="4" t="e">
        <f>VLOOKUP(A1742,Revisión!$A$2:$L$703,9,FALSE)</f>
        <v>#N/A</v>
      </c>
      <c r="L1742" s="4" t="e">
        <f>VLOOKUP(A1742,Revisión!$A$2:$L$703,10,FALSE)</f>
        <v>#N/A</v>
      </c>
      <c r="M1742" s="18" t="e">
        <f>VLOOKUP(A1742,Revisión!$A$2:$L$703,11,FALSE)</f>
        <v>#N/A</v>
      </c>
      <c r="N1742" s="30" t="str">
        <f>IF(E1742="Coinciden",D1742,IF(E1742="Revisar",VLOOKUP(A1742,Revisión!$A$2:$L$703,12,FALSE),""))</f>
        <v>Psidium guajava</v>
      </c>
    </row>
    <row r="1743" spans="1:14" x14ac:dyDescent="0.3">
      <c r="A1743" t="s">
        <v>3589</v>
      </c>
      <c r="B1743" t="s">
        <v>3590</v>
      </c>
      <c r="C1743" t="s">
        <v>3591</v>
      </c>
      <c r="D1743" t="s">
        <v>3591</v>
      </c>
      <c r="E1743" t="s">
        <v>8</v>
      </c>
      <c r="F1743" t="s">
        <v>23</v>
      </c>
      <c r="H1743" s="23" t="str">
        <f>VLOOKUP(A1743,Revisión!$A$2:$L$703,6,FALSE)</f>
        <v>Psidium cattleianum</v>
      </c>
      <c r="I1743" s="4" t="str">
        <f>VLOOKUP(A1743,Revisión!$A$2:$L$703,7,FALSE)</f>
        <v>-</v>
      </c>
      <c r="J1743" s="4" t="str">
        <f>VLOOKUP(A1743,Revisión!$A$2:$L$703,8,FALSE)</f>
        <v>Psidium cattleyanum</v>
      </c>
      <c r="K1743" s="4" t="str">
        <f>VLOOKUP(A1743,Revisión!$A$2:$L$703,9,FALSE)</f>
        <v>Psidium cattleianum</v>
      </c>
      <c r="L1743" s="4" t="str">
        <f>VLOOKUP(A1743,Revisión!$A$2:$L$703,10,FALSE)</f>
        <v>Psidium cattleianum</v>
      </c>
      <c r="M1743" s="18">
        <f>VLOOKUP(A1743,Revisión!$A$2:$L$703,11,FALSE)</f>
        <v>4</v>
      </c>
      <c r="N1743" s="30" t="str">
        <f>IF(E1743="Coinciden",D1743,IF(E1743="Revisar",VLOOKUP(A1743,Revisión!$A$2:$L$703,12,FALSE),""))</f>
        <v>Psidium cattleianum</v>
      </c>
    </row>
    <row r="1744" spans="1:14" x14ac:dyDescent="0.3">
      <c r="A1744" t="s">
        <v>3592</v>
      </c>
      <c r="B1744" t="s">
        <v>3593</v>
      </c>
      <c r="C1744" t="s">
        <v>3593</v>
      </c>
      <c r="D1744" t="s">
        <v>3593</v>
      </c>
      <c r="E1744" t="s">
        <v>18</v>
      </c>
      <c r="F1744" t="s">
        <v>19</v>
      </c>
      <c r="H1744" s="23" t="e">
        <f>VLOOKUP(A1744,Revisión!$A$2:$L$703,6,FALSE)</f>
        <v>#N/A</v>
      </c>
      <c r="I1744" s="4" t="e">
        <f>VLOOKUP(A1744,Revisión!$A$2:$L$703,7,FALSE)</f>
        <v>#N/A</v>
      </c>
      <c r="J1744" s="4" t="e">
        <f>VLOOKUP(A1744,Revisión!$A$2:$L$703,8,FALSE)</f>
        <v>#N/A</v>
      </c>
      <c r="K1744" s="4" t="e">
        <f>VLOOKUP(A1744,Revisión!$A$2:$L$703,9,FALSE)</f>
        <v>#N/A</v>
      </c>
      <c r="L1744" s="4" t="e">
        <f>VLOOKUP(A1744,Revisión!$A$2:$L$703,10,FALSE)</f>
        <v>#N/A</v>
      </c>
      <c r="M1744" s="18" t="e">
        <f>VLOOKUP(A1744,Revisión!$A$2:$L$703,11,FALSE)</f>
        <v>#N/A</v>
      </c>
      <c r="N1744" s="30" t="str">
        <f>IF(E1744="Coinciden",D1744,IF(E1744="Revisar",VLOOKUP(A1744,Revisión!$A$2:$L$703,12,FALSE),""))</f>
        <v>Orbexilum onobrychis</v>
      </c>
    </row>
    <row r="1745" spans="1:14" x14ac:dyDescent="0.3">
      <c r="A1745" t="s">
        <v>3594</v>
      </c>
      <c r="B1745" t="s">
        <v>3595</v>
      </c>
      <c r="C1745" t="s">
        <v>3595</v>
      </c>
      <c r="D1745" t="s">
        <v>3595</v>
      </c>
      <c r="E1745" t="s">
        <v>18</v>
      </c>
      <c r="F1745" t="s">
        <v>19</v>
      </c>
      <c r="H1745" s="23" t="e">
        <f>VLOOKUP(A1745,Revisión!$A$2:$L$703,6,FALSE)</f>
        <v>#N/A</v>
      </c>
      <c r="I1745" s="4" t="e">
        <f>VLOOKUP(A1745,Revisión!$A$2:$L$703,7,FALSE)</f>
        <v>#N/A</v>
      </c>
      <c r="J1745" s="4" t="e">
        <f>VLOOKUP(A1745,Revisión!$A$2:$L$703,8,FALSE)</f>
        <v>#N/A</v>
      </c>
      <c r="K1745" s="4" t="e">
        <f>VLOOKUP(A1745,Revisión!$A$2:$L$703,9,FALSE)</f>
        <v>#N/A</v>
      </c>
      <c r="L1745" s="4" t="e">
        <f>VLOOKUP(A1745,Revisión!$A$2:$L$703,10,FALSE)</f>
        <v>#N/A</v>
      </c>
      <c r="M1745" s="18" t="e">
        <f>VLOOKUP(A1745,Revisión!$A$2:$L$703,11,FALSE)</f>
        <v>#N/A</v>
      </c>
      <c r="N1745" s="30" t="str">
        <f>IF(E1745="Coinciden",D1745,IF(E1745="Revisar",VLOOKUP(A1745,Revisión!$A$2:$L$703,12,FALSE),""))</f>
        <v>Psychotria pervillei</v>
      </c>
    </row>
    <row r="1746" spans="1:14" x14ac:dyDescent="0.3">
      <c r="A1746" t="s">
        <v>3596</v>
      </c>
      <c r="B1746" t="s">
        <v>3597</v>
      </c>
      <c r="C1746" t="s">
        <v>3597</v>
      </c>
      <c r="D1746" t="s">
        <v>3597</v>
      </c>
      <c r="E1746" t="s">
        <v>18</v>
      </c>
      <c r="F1746" t="s">
        <v>19</v>
      </c>
      <c r="H1746" s="23" t="e">
        <f>VLOOKUP(A1746,Revisión!$A$2:$L$703,6,FALSE)</f>
        <v>#N/A</v>
      </c>
      <c r="I1746" s="4" t="e">
        <f>VLOOKUP(A1746,Revisión!$A$2:$L$703,7,FALSE)</f>
        <v>#N/A</v>
      </c>
      <c r="J1746" s="4" t="e">
        <f>VLOOKUP(A1746,Revisión!$A$2:$L$703,8,FALSE)</f>
        <v>#N/A</v>
      </c>
      <c r="K1746" s="4" t="e">
        <f>VLOOKUP(A1746,Revisión!$A$2:$L$703,9,FALSE)</f>
        <v>#N/A</v>
      </c>
      <c r="L1746" s="4" t="e">
        <f>VLOOKUP(A1746,Revisión!$A$2:$L$703,10,FALSE)</f>
        <v>#N/A</v>
      </c>
      <c r="M1746" s="18" t="e">
        <f>VLOOKUP(A1746,Revisión!$A$2:$L$703,11,FALSE)</f>
        <v>#N/A</v>
      </c>
      <c r="N1746" s="30" t="str">
        <f>IF(E1746="Coinciden",D1746,IF(E1746="Revisar",VLOOKUP(A1746,Revisión!$A$2:$L$703,12,FALSE),""))</f>
        <v>Psychotria rufipes</v>
      </c>
    </row>
    <row r="1747" spans="1:14" x14ac:dyDescent="0.3">
      <c r="A1747" t="s">
        <v>3598</v>
      </c>
      <c r="D1747" t="s">
        <v>3599</v>
      </c>
      <c r="E1747" t="s">
        <v>8</v>
      </c>
      <c r="F1747" t="s">
        <v>9</v>
      </c>
      <c r="H1747" s="23" t="str">
        <f>VLOOKUP(A1747,Revisión!$A$2:$L$703,6,FALSE)</f>
        <v>Psychotria serpens</v>
      </c>
      <c r="I1747" s="4" t="str">
        <f>VLOOKUP(A1747,Revisión!$A$2:$L$703,7,FALSE)</f>
        <v>-</v>
      </c>
      <c r="J1747" s="4" t="str">
        <f>VLOOKUP(A1747,Revisión!$A$2:$L$703,8,FALSE)</f>
        <v>Psychotria serpens</v>
      </c>
      <c r="K1747" s="4" t="str">
        <f>VLOOKUP(A1747,Revisión!$A$2:$L$703,9,FALSE)</f>
        <v>Psychotria serpens</v>
      </c>
      <c r="L1747" s="4" t="str">
        <f>VLOOKUP(A1747,Revisión!$A$2:$L$703,10,FALSE)</f>
        <v>Psychotria serpens</v>
      </c>
      <c r="M1747" s="18">
        <f>VLOOKUP(A1747,Revisión!$A$2:$L$703,11,FALSE)</f>
        <v>5</v>
      </c>
      <c r="N1747" s="30" t="str">
        <f>IF(E1747="Coinciden",D1747,IF(E1747="Revisar",VLOOKUP(A1747,Revisión!$A$2:$L$703,12,FALSE),""))</f>
        <v>Psychotria serpens</v>
      </c>
    </row>
    <row r="1748" spans="1:14" x14ac:dyDescent="0.3">
      <c r="A1748" t="s">
        <v>3600</v>
      </c>
      <c r="B1748" t="s">
        <v>3601</v>
      </c>
      <c r="C1748" t="s">
        <v>3601</v>
      </c>
      <c r="D1748" t="s">
        <v>3601</v>
      </c>
      <c r="E1748" t="s">
        <v>18</v>
      </c>
      <c r="F1748" t="s">
        <v>19</v>
      </c>
      <c r="H1748" s="23" t="e">
        <f>VLOOKUP(A1748,Revisión!$A$2:$L$703,6,FALSE)</f>
        <v>#N/A</v>
      </c>
      <c r="I1748" s="4" t="e">
        <f>VLOOKUP(A1748,Revisión!$A$2:$L$703,7,FALSE)</f>
        <v>#N/A</v>
      </c>
      <c r="J1748" s="4" t="e">
        <f>VLOOKUP(A1748,Revisión!$A$2:$L$703,8,FALSE)</f>
        <v>#N/A</v>
      </c>
      <c r="K1748" s="4" t="e">
        <f>VLOOKUP(A1748,Revisión!$A$2:$L$703,9,FALSE)</f>
        <v>#N/A</v>
      </c>
      <c r="L1748" s="4" t="e">
        <f>VLOOKUP(A1748,Revisión!$A$2:$L$703,10,FALSE)</f>
        <v>#N/A</v>
      </c>
      <c r="M1748" s="18" t="e">
        <f>VLOOKUP(A1748,Revisión!$A$2:$L$703,11,FALSE)</f>
        <v>#N/A</v>
      </c>
      <c r="N1748" s="30" t="str">
        <f>IF(E1748="Coinciden",D1748,IF(E1748="Revisar",VLOOKUP(A1748,Revisión!$A$2:$L$703,12,FALSE),""))</f>
        <v>Psychotria homalosperma</v>
      </c>
    </row>
    <row r="1749" spans="1:14" x14ac:dyDescent="0.3">
      <c r="A1749" t="s">
        <v>3602</v>
      </c>
      <c r="B1749" t="s">
        <v>3603</v>
      </c>
      <c r="C1749" t="s">
        <v>3603</v>
      </c>
      <c r="D1749" t="s">
        <v>3603</v>
      </c>
      <c r="E1749" t="s">
        <v>18</v>
      </c>
      <c r="F1749" t="s">
        <v>19</v>
      </c>
      <c r="H1749" s="23" t="e">
        <f>VLOOKUP(A1749,Revisión!$A$2:$L$703,6,FALSE)</f>
        <v>#N/A</v>
      </c>
      <c r="I1749" s="4" t="e">
        <f>VLOOKUP(A1749,Revisión!$A$2:$L$703,7,FALSE)</f>
        <v>#N/A</v>
      </c>
      <c r="J1749" s="4" t="e">
        <f>VLOOKUP(A1749,Revisión!$A$2:$L$703,8,FALSE)</f>
        <v>#N/A</v>
      </c>
      <c r="K1749" s="4" t="e">
        <f>VLOOKUP(A1749,Revisión!$A$2:$L$703,9,FALSE)</f>
        <v>#N/A</v>
      </c>
      <c r="L1749" s="4" t="e">
        <f>VLOOKUP(A1749,Revisión!$A$2:$L$703,10,FALSE)</f>
        <v>#N/A</v>
      </c>
      <c r="M1749" s="18" t="e">
        <f>VLOOKUP(A1749,Revisión!$A$2:$L$703,11,FALSE)</f>
        <v>#N/A</v>
      </c>
      <c r="N1749" s="30" t="str">
        <f>IF(E1749="Coinciden",D1749,IF(E1749="Revisar",VLOOKUP(A1749,Revisión!$A$2:$L$703,12,FALSE),""))</f>
        <v>Ptelea trifoliata</v>
      </c>
    </row>
    <row r="1750" spans="1:14" x14ac:dyDescent="0.3">
      <c r="A1750" t="s">
        <v>3604</v>
      </c>
      <c r="B1750" t="s">
        <v>3605</v>
      </c>
      <c r="C1750" t="s">
        <v>3605</v>
      </c>
      <c r="D1750" t="s">
        <v>3605</v>
      </c>
      <c r="E1750" t="s">
        <v>18</v>
      </c>
      <c r="F1750" t="s">
        <v>19</v>
      </c>
      <c r="H1750" s="23" t="e">
        <f>VLOOKUP(A1750,Revisión!$A$2:$L$703,6,FALSE)</f>
        <v>#N/A</v>
      </c>
      <c r="I1750" s="4" t="e">
        <f>VLOOKUP(A1750,Revisión!$A$2:$L$703,7,FALSE)</f>
        <v>#N/A</v>
      </c>
      <c r="J1750" s="4" t="e">
        <f>VLOOKUP(A1750,Revisión!$A$2:$L$703,8,FALSE)</f>
        <v>#N/A</v>
      </c>
      <c r="K1750" s="4" t="e">
        <f>VLOOKUP(A1750,Revisión!$A$2:$L$703,9,FALSE)</f>
        <v>#N/A</v>
      </c>
      <c r="L1750" s="4" t="e">
        <f>VLOOKUP(A1750,Revisión!$A$2:$L$703,10,FALSE)</f>
        <v>#N/A</v>
      </c>
      <c r="M1750" s="18" t="e">
        <f>VLOOKUP(A1750,Revisión!$A$2:$L$703,11,FALSE)</f>
        <v>#N/A</v>
      </c>
      <c r="N1750" s="30" t="str">
        <f>IF(E1750="Coinciden",D1750,IF(E1750="Revisar",VLOOKUP(A1750,Revisión!$A$2:$L$703,12,FALSE),""))</f>
        <v>Pterocephalus plumosus</v>
      </c>
    </row>
    <row r="1751" spans="1:14" x14ac:dyDescent="0.3">
      <c r="A1751" t="s">
        <v>3606</v>
      </c>
      <c r="B1751" t="s">
        <v>3607</v>
      </c>
      <c r="C1751" t="s">
        <v>3607</v>
      </c>
      <c r="D1751" t="s">
        <v>3607</v>
      </c>
      <c r="E1751" t="s">
        <v>18</v>
      </c>
      <c r="F1751" t="s">
        <v>19</v>
      </c>
      <c r="H1751" s="23" t="e">
        <f>VLOOKUP(A1751,Revisión!$A$2:$L$703,6,FALSE)</f>
        <v>#N/A</v>
      </c>
      <c r="I1751" s="4" t="e">
        <f>VLOOKUP(A1751,Revisión!$A$2:$L$703,7,FALSE)</f>
        <v>#N/A</v>
      </c>
      <c r="J1751" s="4" t="e">
        <f>VLOOKUP(A1751,Revisión!$A$2:$L$703,8,FALSE)</f>
        <v>#N/A</v>
      </c>
      <c r="K1751" s="4" t="e">
        <f>VLOOKUP(A1751,Revisión!$A$2:$L$703,9,FALSE)</f>
        <v>#N/A</v>
      </c>
      <c r="L1751" s="4" t="e">
        <f>VLOOKUP(A1751,Revisión!$A$2:$L$703,10,FALSE)</f>
        <v>#N/A</v>
      </c>
      <c r="M1751" s="18" t="e">
        <f>VLOOKUP(A1751,Revisión!$A$2:$L$703,11,FALSE)</f>
        <v>#N/A</v>
      </c>
      <c r="N1751" s="30" t="str">
        <f>IF(E1751="Coinciden",D1751,IF(E1751="Revisar",VLOOKUP(A1751,Revisión!$A$2:$L$703,12,FALSE),""))</f>
        <v>Pterocephalus lasiospermus</v>
      </c>
    </row>
    <row r="1752" spans="1:14" x14ac:dyDescent="0.3">
      <c r="A1752" t="s">
        <v>3608</v>
      </c>
      <c r="B1752" t="s">
        <v>3609</v>
      </c>
      <c r="C1752" t="s">
        <v>3609</v>
      </c>
      <c r="D1752" t="s">
        <v>3609</v>
      </c>
      <c r="E1752" t="s">
        <v>18</v>
      </c>
      <c r="F1752" t="s">
        <v>19</v>
      </c>
      <c r="H1752" s="23" t="e">
        <f>VLOOKUP(A1752,Revisión!$A$2:$L$703,6,FALSE)</f>
        <v>#N/A</v>
      </c>
      <c r="I1752" s="4" t="e">
        <f>VLOOKUP(A1752,Revisión!$A$2:$L$703,7,FALSE)</f>
        <v>#N/A</v>
      </c>
      <c r="J1752" s="4" t="e">
        <f>VLOOKUP(A1752,Revisión!$A$2:$L$703,8,FALSE)</f>
        <v>#N/A</v>
      </c>
      <c r="K1752" s="4" t="e">
        <f>VLOOKUP(A1752,Revisión!$A$2:$L$703,9,FALSE)</f>
        <v>#N/A</v>
      </c>
      <c r="L1752" s="4" t="e">
        <f>VLOOKUP(A1752,Revisión!$A$2:$L$703,10,FALSE)</f>
        <v>#N/A</v>
      </c>
      <c r="M1752" s="18" t="e">
        <f>VLOOKUP(A1752,Revisión!$A$2:$L$703,11,FALSE)</f>
        <v>#N/A</v>
      </c>
      <c r="N1752" s="30" t="str">
        <f>IF(E1752="Coinciden",D1752,IF(E1752="Revisar",VLOOKUP(A1752,Revisión!$A$2:$L$703,12,FALSE),""))</f>
        <v>Pterolepis glomerata</v>
      </c>
    </row>
    <row r="1753" spans="1:14" x14ac:dyDescent="0.3">
      <c r="A1753" t="s">
        <v>3610</v>
      </c>
      <c r="B1753" t="s">
        <v>3611</v>
      </c>
      <c r="C1753" t="s">
        <v>3611</v>
      </c>
      <c r="D1753" t="s">
        <v>3611</v>
      </c>
      <c r="E1753" t="s">
        <v>18</v>
      </c>
      <c r="F1753" t="s">
        <v>19</v>
      </c>
      <c r="H1753" s="23" t="e">
        <f>VLOOKUP(A1753,Revisión!$A$2:$L$703,6,FALSE)</f>
        <v>#N/A</v>
      </c>
      <c r="I1753" s="4" t="e">
        <f>VLOOKUP(A1753,Revisión!$A$2:$L$703,7,FALSE)</f>
        <v>#N/A</v>
      </c>
      <c r="J1753" s="4" t="e">
        <f>VLOOKUP(A1753,Revisión!$A$2:$L$703,8,FALSE)</f>
        <v>#N/A</v>
      </c>
      <c r="K1753" s="4" t="e">
        <f>VLOOKUP(A1753,Revisión!$A$2:$L$703,9,FALSE)</f>
        <v>#N/A</v>
      </c>
      <c r="L1753" s="4" t="e">
        <f>VLOOKUP(A1753,Revisión!$A$2:$L$703,10,FALSE)</f>
        <v>#N/A</v>
      </c>
      <c r="M1753" s="18" t="e">
        <f>VLOOKUP(A1753,Revisión!$A$2:$L$703,11,FALSE)</f>
        <v>#N/A</v>
      </c>
      <c r="N1753" s="30" t="str">
        <f>IF(E1753="Coinciden",D1753,IF(E1753="Revisar",VLOOKUP(A1753,Revisión!$A$2:$L$703,12,FALSE),""))</f>
        <v>Pycnanthemum virginianum</v>
      </c>
    </row>
    <row r="1754" spans="1:14" x14ac:dyDescent="0.3">
      <c r="A1754" t="s">
        <v>3612</v>
      </c>
      <c r="B1754" t="s">
        <v>3613</v>
      </c>
      <c r="C1754" t="s">
        <v>3613</v>
      </c>
      <c r="D1754" t="s">
        <v>3613</v>
      </c>
      <c r="E1754" t="s">
        <v>18</v>
      </c>
      <c r="F1754" t="s">
        <v>19</v>
      </c>
      <c r="H1754" s="23" t="e">
        <f>VLOOKUP(A1754,Revisión!$A$2:$L$703,6,FALSE)</f>
        <v>#N/A</v>
      </c>
      <c r="I1754" s="4" t="e">
        <f>VLOOKUP(A1754,Revisión!$A$2:$L$703,7,FALSE)</f>
        <v>#N/A</v>
      </c>
      <c r="J1754" s="4" t="e">
        <f>VLOOKUP(A1754,Revisión!$A$2:$L$703,8,FALSE)</f>
        <v>#N/A</v>
      </c>
      <c r="K1754" s="4" t="e">
        <f>VLOOKUP(A1754,Revisión!$A$2:$L$703,9,FALSE)</f>
        <v>#N/A</v>
      </c>
      <c r="L1754" s="4" t="e">
        <f>VLOOKUP(A1754,Revisión!$A$2:$L$703,10,FALSE)</f>
        <v>#N/A</v>
      </c>
      <c r="M1754" s="18" t="e">
        <f>VLOOKUP(A1754,Revisión!$A$2:$L$703,11,FALSE)</f>
        <v>#N/A</v>
      </c>
      <c r="N1754" s="30" t="str">
        <f>IF(E1754="Coinciden",D1754,IF(E1754="Revisar",VLOOKUP(A1754,Revisión!$A$2:$L$703,12,FALSE),""))</f>
        <v>Pycnanthemum verticillatum var. pilosum</v>
      </c>
    </row>
    <row r="1755" spans="1:14" x14ac:dyDescent="0.3">
      <c r="A1755" t="s">
        <v>3614</v>
      </c>
      <c r="B1755" t="s">
        <v>3615</v>
      </c>
      <c r="C1755" t="s">
        <v>3615</v>
      </c>
      <c r="D1755" t="s">
        <v>3615</v>
      </c>
      <c r="E1755" t="s">
        <v>18</v>
      </c>
      <c r="F1755" t="s">
        <v>19</v>
      </c>
      <c r="H1755" s="23" t="e">
        <f>VLOOKUP(A1755,Revisión!$A$2:$L$703,6,FALSE)</f>
        <v>#N/A</v>
      </c>
      <c r="I1755" s="4" t="e">
        <f>VLOOKUP(A1755,Revisión!$A$2:$L$703,7,FALSE)</f>
        <v>#N/A</v>
      </c>
      <c r="J1755" s="4" t="e">
        <f>VLOOKUP(A1755,Revisión!$A$2:$L$703,8,FALSE)</f>
        <v>#N/A</v>
      </c>
      <c r="K1755" s="4" t="e">
        <f>VLOOKUP(A1755,Revisión!$A$2:$L$703,9,FALSE)</f>
        <v>#N/A</v>
      </c>
      <c r="L1755" s="4" t="e">
        <f>VLOOKUP(A1755,Revisión!$A$2:$L$703,10,FALSE)</f>
        <v>#N/A</v>
      </c>
      <c r="M1755" s="18" t="e">
        <f>VLOOKUP(A1755,Revisión!$A$2:$L$703,11,FALSE)</f>
        <v>#N/A</v>
      </c>
      <c r="N1755" s="30" t="str">
        <f>IF(E1755="Coinciden",D1755,IF(E1755="Revisar",VLOOKUP(A1755,Revisión!$A$2:$L$703,12,FALSE),""))</f>
        <v>Pycnanthemum flexuosum</v>
      </c>
    </row>
    <row r="1756" spans="1:14" x14ac:dyDescent="0.3">
      <c r="A1756" t="s">
        <v>3616</v>
      </c>
      <c r="B1756" t="s">
        <v>3617</v>
      </c>
      <c r="C1756" t="s">
        <v>3617</v>
      </c>
      <c r="D1756" t="s">
        <v>3617</v>
      </c>
      <c r="E1756" t="s">
        <v>18</v>
      </c>
      <c r="F1756" t="s">
        <v>19</v>
      </c>
      <c r="H1756" s="23" t="e">
        <f>VLOOKUP(A1756,Revisión!$A$2:$L$703,6,FALSE)</f>
        <v>#N/A</v>
      </c>
      <c r="I1756" s="4" t="e">
        <f>VLOOKUP(A1756,Revisión!$A$2:$L$703,7,FALSE)</f>
        <v>#N/A</v>
      </c>
      <c r="J1756" s="4" t="e">
        <f>VLOOKUP(A1756,Revisión!$A$2:$L$703,8,FALSE)</f>
        <v>#N/A</v>
      </c>
      <c r="K1756" s="4" t="e">
        <f>VLOOKUP(A1756,Revisión!$A$2:$L$703,9,FALSE)</f>
        <v>#N/A</v>
      </c>
      <c r="L1756" s="4" t="e">
        <f>VLOOKUP(A1756,Revisión!$A$2:$L$703,10,FALSE)</f>
        <v>#N/A</v>
      </c>
      <c r="M1756" s="18" t="e">
        <f>VLOOKUP(A1756,Revisión!$A$2:$L$703,11,FALSE)</f>
        <v>#N/A</v>
      </c>
      <c r="N1756" s="30" t="str">
        <f>IF(E1756="Coinciden",D1756,IF(E1756="Revisar",VLOOKUP(A1756,Revisión!$A$2:$L$703,12,FALSE),""))</f>
        <v>Pyracantha crenulata</v>
      </c>
    </row>
    <row r="1757" spans="1:14" x14ac:dyDescent="0.3">
      <c r="A1757" t="s">
        <v>3618</v>
      </c>
      <c r="B1757" t="s">
        <v>3619</v>
      </c>
      <c r="C1757" t="s">
        <v>3619</v>
      </c>
      <c r="D1757" t="s">
        <v>3619</v>
      </c>
      <c r="E1757" t="s">
        <v>18</v>
      </c>
      <c r="F1757" t="s">
        <v>19</v>
      </c>
      <c r="H1757" s="23" t="e">
        <f>VLOOKUP(A1757,Revisión!$A$2:$L$703,6,FALSE)</f>
        <v>#N/A</v>
      </c>
      <c r="I1757" s="4" t="e">
        <f>VLOOKUP(A1757,Revisión!$A$2:$L$703,7,FALSE)</f>
        <v>#N/A</v>
      </c>
      <c r="J1757" s="4" t="e">
        <f>VLOOKUP(A1757,Revisión!$A$2:$L$703,8,FALSE)</f>
        <v>#N/A</v>
      </c>
      <c r="K1757" s="4" t="e">
        <f>VLOOKUP(A1757,Revisión!$A$2:$L$703,9,FALSE)</f>
        <v>#N/A</v>
      </c>
      <c r="L1757" s="4" t="e">
        <f>VLOOKUP(A1757,Revisión!$A$2:$L$703,10,FALSE)</f>
        <v>#N/A</v>
      </c>
      <c r="M1757" s="18" t="e">
        <f>VLOOKUP(A1757,Revisión!$A$2:$L$703,11,FALSE)</f>
        <v>#N/A</v>
      </c>
      <c r="N1757" s="30" t="str">
        <f>IF(E1757="Coinciden",D1757,IF(E1757="Revisar",VLOOKUP(A1757,Revisión!$A$2:$L$703,12,FALSE),""))</f>
        <v>Pyracantha angustifolia</v>
      </c>
    </row>
    <row r="1758" spans="1:14" x14ac:dyDescent="0.3">
      <c r="A1758" t="s">
        <v>3620</v>
      </c>
      <c r="B1758" t="s">
        <v>3621</v>
      </c>
      <c r="C1758" t="s">
        <v>3621</v>
      </c>
      <c r="D1758" t="s">
        <v>3621</v>
      </c>
      <c r="E1758" t="s">
        <v>18</v>
      </c>
      <c r="F1758" t="s">
        <v>19</v>
      </c>
      <c r="H1758" s="23" t="e">
        <f>VLOOKUP(A1758,Revisión!$A$2:$L$703,6,FALSE)</f>
        <v>#N/A</v>
      </c>
      <c r="I1758" s="4" t="e">
        <f>VLOOKUP(A1758,Revisión!$A$2:$L$703,7,FALSE)</f>
        <v>#N/A</v>
      </c>
      <c r="J1758" s="4" t="e">
        <f>VLOOKUP(A1758,Revisión!$A$2:$L$703,8,FALSE)</f>
        <v>#N/A</v>
      </c>
      <c r="K1758" s="4" t="e">
        <f>VLOOKUP(A1758,Revisión!$A$2:$L$703,9,FALSE)</f>
        <v>#N/A</v>
      </c>
      <c r="L1758" s="4" t="e">
        <f>VLOOKUP(A1758,Revisión!$A$2:$L$703,10,FALSE)</f>
        <v>#N/A</v>
      </c>
      <c r="M1758" s="18" t="e">
        <f>VLOOKUP(A1758,Revisión!$A$2:$L$703,11,FALSE)</f>
        <v>#N/A</v>
      </c>
      <c r="N1758" s="30" t="str">
        <f>IF(E1758="Coinciden",D1758,IF(E1758="Revisar",VLOOKUP(A1758,Revisión!$A$2:$L$703,12,FALSE),""))</f>
        <v>Orthilia secunda</v>
      </c>
    </row>
    <row r="1759" spans="1:14" x14ac:dyDescent="0.3">
      <c r="A1759" t="s">
        <v>3622</v>
      </c>
      <c r="B1759" t="s">
        <v>3623</v>
      </c>
      <c r="C1759" t="s">
        <v>3623</v>
      </c>
      <c r="D1759" t="s">
        <v>3623</v>
      </c>
      <c r="E1759" t="s">
        <v>18</v>
      </c>
      <c r="F1759" t="s">
        <v>19</v>
      </c>
      <c r="H1759" s="23" t="e">
        <f>VLOOKUP(A1759,Revisión!$A$2:$L$703,6,FALSE)</f>
        <v>#N/A</v>
      </c>
      <c r="I1759" s="4" t="e">
        <f>VLOOKUP(A1759,Revisión!$A$2:$L$703,7,FALSE)</f>
        <v>#N/A</v>
      </c>
      <c r="J1759" s="4" t="e">
        <f>VLOOKUP(A1759,Revisión!$A$2:$L$703,8,FALSE)</f>
        <v>#N/A</v>
      </c>
      <c r="K1759" s="4" t="e">
        <f>VLOOKUP(A1759,Revisión!$A$2:$L$703,9,FALSE)</f>
        <v>#N/A</v>
      </c>
      <c r="L1759" s="4" t="e">
        <f>VLOOKUP(A1759,Revisión!$A$2:$L$703,10,FALSE)</f>
        <v>#N/A</v>
      </c>
      <c r="M1759" s="18" t="e">
        <f>VLOOKUP(A1759,Revisión!$A$2:$L$703,11,FALSE)</f>
        <v>#N/A</v>
      </c>
      <c r="N1759" s="30" t="str">
        <f>IF(E1759="Coinciden",D1759,IF(E1759="Revisar",VLOOKUP(A1759,Revisión!$A$2:$L$703,12,FALSE),""))</f>
        <v>Pyrola alpina</v>
      </c>
    </row>
    <row r="1760" spans="1:14" x14ac:dyDescent="0.3">
      <c r="A1760" t="s">
        <v>3624</v>
      </c>
      <c r="B1760" t="s">
        <v>3625</v>
      </c>
      <c r="C1760" t="s">
        <v>3626</v>
      </c>
      <c r="D1760" t="s">
        <v>3627</v>
      </c>
      <c r="E1760" t="s">
        <v>8</v>
      </c>
      <c r="F1760" t="s">
        <v>295</v>
      </c>
      <c r="H1760" s="23" t="str">
        <f>VLOOKUP(A1760,Revisión!$A$2:$L$703,6,FALSE)</f>
        <v>Pyrola asarifolia subsp. incarnata</v>
      </c>
      <c r="I1760" s="4" t="str">
        <f>VLOOKUP(A1760,Revisión!$A$2:$L$703,7,FALSE)</f>
        <v>-</v>
      </c>
      <c r="J1760" s="4" t="str">
        <f>VLOOKUP(A1760,Revisión!$A$2:$L$703,8,FALSE)</f>
        <v>Pyrola asarifolia subsp. asarifolia</v>
      </c>
      <c r="K1760" s="4" t="str">
        <f>VLOOKUP(A1760,Revisión!$A$2:$L$703,9,FALSE)</f>
        <v>Pyrola asarifolia subsp. incarnata</v>
      </c>
      <c r="L1760" s="4" t="str">
        <f>VLOOKUP(A1760,Revisión!$A$2:$L$703,10,FALSE)</f>
        <v>Pyrola asarifolia subsp. incarnata</v>
      </c>
      <c r="M1760" s="18">
        <f>VLOOKUP(A1760,Revisión!$A$2:$L$703,11,FALSE)</f>
        <v>4</v>
      </c>
      <c r="N1760" s="30" t="str">
        <f>IF(E1760="Coinciden",D1760,IF(E1760="Revisar",VLOOKUP(A1760,Revisión!$A$2:$L$703,12,FALSE),""))</f>
        <v>Pyrola asarifolia subsp. incarnata</v>
      </c>
    </row>
    <row r="1761" spans="1:14" x14ac:dyDescent="0.3">
      <c r="A1761" t="s">
        <v>3628</v>
      </c>
      <c r="B1761" t="s">
        <v>3629</v>
      </c>
      <c r="C1761" t="s">
        <v>3629</v>
      </c>
      <c r="D1761" t="s">
        <v>3629</v>
      </c>
      <c r="E1761" t="s">
        <v>18</v>
      </c>
      <c r="F1761" t="s">
        <v>19</v>
      </c>
      <c r="H1761" s="23" t="e">
        <f>VLOOKUP(A1761,Revisión!$A$2:$L$703,6,FALSE)</f>
        <v>#N/A</v>
      </c>
      <c r="I1761" s="4" t="e">
        <f>VLOOKUP(A1761,Revisión!$A$2:$L$703,7,FALSE)</f>
        <v>#N/A</v>
      </c>
      <c r="J1761" s="4" t="e">
        <f>VLOOKUP(A1761,Revisión!$A$2:$L$703,8,FALSE)</f>
        <v>#N/A</v>
      </c>
      <c r="K1761" s="4" t="e">
        <f>VLOOKUP(A1761,Revisión!$A$2:$L$703,9,FALSE)</f>
        <v>#N/A</v>
      </c>
      <c r="L1761" s="4" t="e">
        <f>VLOOKUP(A1761,Revisión!$A$2:$L$703,10,FALSE)</f>
        <v>#N/A</v>
      </c>
      <c r="M1761" s="18" t="e">
        <f>VLOOKUP(A1761,Revisión!$A$2:$L$703,11,FALSE)</f>
        <v>#N/A</v>
      </c>
      <c r="N1761" s="30" t="str">
        <f>IF(E1761="Coinciden",D1761,IF(E1761="Revisar",VLOOKUP(A1761,Revisión!$A$2:$L$703,12,FALSE),""))</f>
        <v>Pyrostria fasciculata</v>
      </c>
    </row>
    <row r="1762" spans="1:14" x14ac:dyDescent="0.3">
      <c r="A1762" t="s">
        <v>3630</v>
      </c>
      <c r="B1762" t="s">
        <v>3631</v>
      </c>
      <c r="C1762" t="s">
        <v>3632</v>
      </c>
      <c r="D1762" t="s">
        <v>3632</v>
      </c>
      <c r="E1762" t="s">
        <v>8</v>
      </c>
      <c r="F1762" t="s">
        <v>23</v>
      </c>
      <c r="H1762" s="23" t="str">
        <f>VLOOKUP(A1762,Revisión!$A$2:$L$703,6,FALSE)</f>
        <v>Eriosyce strausiana subsp. strausiana</v>
      </c>
      <c r="I1762" s="4" t="str">
        <f>VLOOKUP(A1762,Revisión!$A$2:$L$703,7,FALSE)</f>
        <v>-</v>
      </c>
      <c r="J1762" s="4" t="str">
        <f>VLOOKUP(A1762,Revisión!$A$2:$L$703,8,FALSE)</f>
        <v>Eriosyce strausiana</v>
      </c>
      <c r="K1762" s="4" t="str">
        <f>VLOOKUP(A1762,Revisión!$A$2:$L$703,9,FALSE)</f>
        <v>Eriosyce strausiana</v>
      </c>
      <c r="L1762" s="4" t="str">
        <f>VLOOKUP(A1762,Revisión!$A$2:$L$703,10,FALSE)</f>
        <v>-</v>
      </c>
      <c r="M1762" s="18">
        <f>VLOOKUP(A1762,Revisión!$A$2:$L$703,11,FALSE)</f>
        <v>2</v>
      </c>
      <c r="N1762" s="30" t="str">
        <f>IF(E1762="Coinciden",D1762,IF(E1762="Revisar",VLOOKUP(A1762,Revisión!$A$2:$L$703,12,FALSE),""))</f>
        <v>Eriosyce strausiana</v>
      </c>
    </row>
    <row r="1763" spans="1:14" x14ac:dyDescent="0.3">
      <c r="A1763" t="s">
        <v>3633</v>
      </c>
      <c r="C1763" t="s">
        <v>3634</v>
      </c>
      <c r="D1763" t="s">
        <v>3634</v>
      </c>
      <c r="E1763" t="s">
        <v>8</v>
      </c>
      <c r="F1763" t="s">
        <v>49</v>
      </c>
      <c r="H1763" s="23" t="str">
        <f>VLOOKUP(A1763,Revisión!$A$2:$L$703,6,FALSE)</f>
        <v>Malus coronaria</v>
      </c>
      <c r="I1763" s="4" t="str">
        <f>VLOOKUP(A1763,Revisión!$A$2:$L$703,7,FALSE)</f>
        <v>-</v>
      </c>
      <c r="J1763" s="4" t="str">
        <f>VLOOKUP(A1763,Revisión!$A$2:$L$703,8,FALSE)</f>
        <v>Malus coronaria</v>
      </c>
      <c r="K1763" s="4" t="str">
        <f>VLOOKUP(A1763,Revisión!$A$2:$L$703,9,FALSE)</f>
        <v>-</v>
      </c>
      <c r="L1763" s="4" t="str">
        <f>VLOOKUP(A1763,Revisión!$A$2:$L$703,10,FALSE)</f>
        <v>-</v>
      </c>
      <c r="M1763" s="18">
        <f>VLOOKUP(A1763,Revisión!$A$2:$L$703,11,FALSE)</f>
        <v>3</v>
      </c>
      <c r="N1763" s="30" t="str">
        <f>IF(E1763="Coinciden",D1763,IF(E1763="Revisar",VLOOKUP(A1763,Revisión!$A$2:$L$703,12,FALSE),""))</f>
        <v>Malus coronaria</v>
      </c>
    </row>
    <row r="1764" spans="1:14" x14ac:dyDescent="0.3">
      <c r="A1764" t="s">
        <v>3635</v>
      </c>
      <c r="B1764" t="s">
        <v>3636</v>
      </c>
      <c r="D1764" t="s">
        <v>3636</v>
      </c>
      <c r="E1764" t="s">
        <v>8</v>
      </c>
      <c r="F1764" t="s">
        <v>34</v>
      </c>
      <c r="H1764" s="23" t="str">
        <f>VLOOKUP(A1764,Revisión!$A$2:$L$703,6,FALSE)</f>
        <v>Quercus dentata</v>
      </c>
      <c r="I1764" s="4" t="str">
        <f>VLOOKUP(A1764,Revisión!$A$2:$L$703,7,FALSE)</f>
        <v>-</v>
      </c>
      <c r="J1764" s="4" t="str">
        <f>VLOOKUP(A1764,Revisión!$A$2:$L$703,8,FALSE)</f>
        <v>Quercus dentata</v>
      </c>
      <c r="K1764" s="4" t="str">
        <f>VLOOKUP(A1764,Revisión!$A$2:$L$703,9,FALSE)</f>
        <v>Quercus dentata</v>
      </c>
      <c r="L1764" s="4" t="str">
        <f>VLOOKUP(A1764,Revisión!$A$2:$L$703,10,FALSE)</f>
        <v>Quercus dentata</v>
      </c>
      <c r="M1764" s="18">
        <f>VLOOKUP(A1764,Revisión!$A$2:$L$703,11,FALSE)</f>
        <v>5</v>
      </c>
      <c r="N1764" s="30" t="str">
        <f>IF(E1764="Coinciden",D1764,IF(E1764="Revisar",VLOOKUP(A1764,Revisión!$A$2:$L$703,12,FALSE),""))</f>
        <v>Quercus dentata</v>
      </c>
    </row>
    <row r="1765" spans="1:14" x14ac:dyDescent="0.3">
      <c r="A1765" t="s">
        <v>3637</v>
      </c>
      <c r="B1765" t="s">
        <v>3638</v>
      </c>
      <c r="C1765" t="s">
        <v>3639</v>
      </c>
      <c r="D1765" t="s">
        <v>3639</v>
      </c>
      <c r="E1765" t="s">
        <v>8</v>
      </c>
      <c r="F1765" t="s">
        <v>23</v>
      </c>
      <c r="H1765" s="23" t="str">
        <f>VLOOKUP(A1765,Revisión!$A$2:$L$703,6,FALSE)</f>
        <v>Quesnelia blanda</v>
      </c>
      <c r="I1765" s="4" t="str">
        <f>VLOOKUP(A1765,Revisión!$A$2:$L$703,7,FALSE)</f>
        <v>-</v>
      </c>
      <c r="J1765" s="4" t="str">
        <f>VLOOKUP(A1765,Revisión!$A$2:$L$703,8,FALSE)</f>
        <v>Quesnelia blanda</v>
      </c>
      <c r="K1765" s="4" t="str">
        <f>VLOOKUP(A1765,Revisión!$A$2:$L$703,9,FALSE)</f>
        <v>Quesnelia blanda</v>
      </c>
      <c r="L1765" s="4" t="str">
        <f>VLOOKUP(A1765,Revisión!$A$2:$L$703,10,FALSE)</f>
        <v>-</v>
      </c>
      <c r="M1765" s="18">
        <f>VLOOKUP(A1765,Revisión!$A$2:$L$703,11,FALSE)</f>
        <v>3</v>
      </c>
      <c r="N1765" s="30" t="str">
        <f>IF(E1765="Coinciden",D1765,IF(E1765="Revisar",VLOOKUP(A1765,Revisión!$A$2:$L$703,12,FALSE),""))</f>
        <v>Quesnelia blanda</v>
      </c>
    </row>
    <row r="1766" spans="1:14" x14ac:dyDescent="0.3">
      <c r="A1766" t="s">
        <v>3640</v>
      </c>
      <c r="B1766" t="s">
        <v>3641</v>
      </c>
      <c r="C1766" t="s">
        <v>3641</v>
      </c>
      <c r="D1766" t="s">
        <v>3641</v>
      </c>
      <c r="E1766" t="s">
        <v>18</v>
      </c>
      <c r="F1766" t="s">
        <v>19</v>
      </c>
      <c r="H1766" s="23" t="e">
        <f>VLOOKUP(A1766,Revisión!$A$2:$L$703,6,FALSE)</f>
        <v>#N/A</v>
      </c>
      <c r="I1766" s="4" t="e">
        <f>VLOOKUP(A1766,Revisión!$A$2:$L$703,7,FALSE)</f>
        <v>#N/A</v>
      </c>
      <c r="J1766" s="4" t="e">
        <f>VLOOKUP(A1766,Revisión!$A$2:$L$703,8,FALSE)</f>
        <v>#N/A</v>
      </c>
      <c r="K1766" s="4" t="e">
        <f>VLOOKUP(A1766,Revisión!$A$2:$L$703,9,FALSE)</f>
        <v>#N/A</v>
      </c>
      <c r="L1766" s="4" t="e">
        <f>VLOOKUP(A1766,Revisión!$A$2:$L$703,10,FALSE)</f>
        <v>#N/A</v>
      </c>
      <c r="M1766" s="18" t="e">
        <f>VLOOKUP(A1766,Revisión!$A$2:$L$703,11,FALSE)</f>
        <v>#N/A</v>
      </c>
      <c r="N1766" s="30" t="str">
        <f>IF(E1766="Coinciden",D1766,IF(E1766="Revisar",VLOOKUP(A1766,Revisión!$A$2:$L$703,12,FALSE),""))</f>
        <v>Quinchamalium chilense</v>
      </c>
    </row>
    <row r="1767" spans="1:14" x14ac:dyDescent="0.3">
      <c r="A1767" t="s">
        <v>3642</v>
      </c>
      <c r="B1767" t="s">
        <v>3643</v>
      </c>
      <c r="C1767" t="s">
        <v>3643</v>
      </c>
      <c r="D1767" t="s">
        <v>3643</v>
      </c>
      <c r="E1767" t="s">
        <v>18</v>
      </c>
      <c r="F1767" t="s">
        <v>19</v>
      </c>
      <c r="H1767" s="23" t="e">
        <f>VLOOKUP(A1767,Revisión!$A$2:$L$703,6,FALSE)</f>
        <v>#N/A</v>
      </c>
      <c r="I1767" s="4" t="e">
        <f>VLOOKUP(A1767,Revisión!$A$2:$L$703,7,FALSE)</f>
        <v>#N/A</v>
      </c>
      <c r="J1767" s="4" t="e">
        <f>VLOOKUP(A1767,Revisión!$A$2:$L$703,8,FALSE)</f>
        <v>#N/A</v>
      </c>
      <c r="K1767" s="4" t="e">
        <f>VLOOKUP(A1767,Revisión!$A$2:$L$703,9,FALSE)</f>
        <v>#N/A</v>
      </c>
      <c r="L1767" s="4" t="e">
        <f>VLOOKUP(A1767,Revisión!$A$2:$L$703,10,FALSE)</f>
        <v>#N/A</v>
      </c>
      <c r="M1767" s="18" t="e">
        <f>VLOOKUP(A1767,Revisión!$A$2:$L$703,11,FALSE)</f>
        <v>#N/A</v>
      </c>
      <c r="N1767" s="30" t="str">
        <f>IF(E1767="Coinciden",D1767,IF(E1767="Revisar",VLOOKUP(A1767,Revisión!$A$2:$L$703,12,FALSE),""))</f>
        <v>Isodon trichocarpus</v>
      </c>
    </row>
    <row r="1768" spans="1:14" x14ac:dyDescent="0.3">
      <c r="A1768" t="s">
        <v>3644</v>
      </c>
      <c r="B1768" t="s">
        <v>3645</v>
      </c>
      <c r="C1768" t="s">
        <v>3645</v>
      </c>
      <c r="D1768" t="s">
        <v>3645</v>
      </c>
      <c r="E1768" t="s">
        <v>18</v>
      </c>
      <c r="F1768" t="s">
        <v>19</v>
      </c>
      <c r="H1768" s="23" t="e">
        <f>VLOOKUP(A1768,Revisión!$A$2:$L$703,6,FALSE)</f>
        <v>#N/A</v>
      </c>
      <c r="I1768" s="4" t="e">
        <f>VLOOKUP(A1768,Revisión!$A$2:$L$703,7,FALSE)</f>
        <v>#N/A</v>
      </c>
      <c r="J1768" s="4" t="e">
        <f>VLOOKUP(A1768,Revisión!$A$2:$L$703,8,FALSE)</f>
        <v>#N/A</v>
      </c>
      <c r="K1768" s="4" t="e">
        <f>VLOOKUP(A1768,Revisión!$A$2:$L$703,9,FALSE)</f>
        <v>#N/A</v>
      </c>
      <c r="L1768" s="4" t="e">
        <f>VLOOKUP(A1768,Revisión!$A$2:$L$703,10,FALSE)</f>
        <v>#N/A</v>
      </c>
      <c r="M1768" s="18" t="e">
        <f>VLOOKUP(A1768,Revisión!$A$2:$L$703,11,FALSE)</f>
        <v>#N/A</v>
      </c>
      <c r="N1768" s="30" t="str">
        <f>IF(E1768="Coinciden",D1768,IF(E1768="Revisar",VLOOKUP(A1768,Revisión!$A$2:$L$703,12,FALSE),""))</f>
        <v>Isodon longitubus</v>
      </c>
    </row>
    <row r="1769" spans="1:14" x14ac:dyDescent="0.3">
      <c r="A1769" t="s">
        <v>3646</v>
      </c>
      <c r="B1769" t="s">
        <v>3647</v>
      </c>
      <c r="C1769" t="s">
        <v>3647</v>
      </c>
      <c r="D1769" t="s">
        <v>3648</v>
      </c>
      <c r="E1769" t="s">
        <v>8</v>
      </c>
      <c r="F1769" t="s">
        <v>15</v>
      </c>
      <c r="H1769" s="23" t="str">
        <f>VLOOKUP(A1769,Revisión!$A$2:$L$703,6,FALSE)</f>
        <v>Rorippa palustris</v>
      </c>
      <c r="I1769" s="4" t="str">
        <f>VLOOKUP(A1769,Revisión!$A$2:$L$703,7,FALSE)</f>
        <v>-</v>
      </c>
      <c r="J1769" s="4" t="str">
        <f>VLOOKUP(A1769,Revisión!$A$2:$L$703,8,FALSE)</f>
        <v>Rorippa palustris</v>
      </c>
      <c r="K1769" s="4" t="str">
        <f>VLOOKUP(A1769,Revisión!$A$2:$L$703,9,FALSE)</f>
        <v>Rorippa palustris</v>
      </c>
      <c r="L1769" s="4" t="str">
        <f>VLOOKUP(A1769,Revisión!$A$2:$L$703,10,FALSE)</f>
        <v>Rorippa palustris</v>
      </c>
      <c r="M1769" s="18">
        <f>VLOOKUP(A1769,Revisión!$A$2:$L$703,11,FALSE)</f>
        <v>4</v>
      </c>
      <c r="N1769" s="30" t="str">
        <f>IF(E1769="Coinciden",D1769,IF(E1769="Revisar",VLOOKUP(A1769,Revisión!$A$2:$L$703,12,FALSE),""))</f>
        <v>Rorippa palustris</v>
      </c>
    </row>
    <row r="1770" spans="1:14" x14ac:dyDescent="0.3">
      <c r="A1770" t="s">
        <v>3649</v>
      </c>
      <c r="B1770" t="s">
        <v>3650</v>
      </c>
      <c r="C1770" t="s">
        <v>3650</v>
      </c>
      <c r="E1770" t="s">
        <v>8</v>
      </c>
      <c r="F1770" t="s">
        <v>323</v>
      </c>
      <c r="H1770" s="23" t="str">
        <f>VLOOKUP(A1770,Revisión!$A$2:$L$703,6,FALSE)</f>
        <v>Rorippa teres</v>
      </c>
      <c r="I1770" s="4" t="str">
        <f>VLOOKUP(A1770,Revisión!$A$2:$L$703,7,FALSE)</f>
        <v>-</v>
      </c>
      <c r="J1770" s="4" t="str">
        <f>VLOOKUP(A1770,Revisión!$A$2:$L$703,8,FALSE)</f>
        <v>Rorippa teres</v>
      </c>
      <c r="K1770" s="4" t="str">
        <f>VLOOKUP(A1770,Revisión!$A$2:$L$703,9,FALSE)</f>
        <v>Rorippa teres</v>
      </c>
      <c r="L1770" s="4" t="str">
        <f>VLOOKUP(A1770,Revisión!$A$2:$L$703,10,FALSE)</f>
        <v>Rorippa teres</v>
      </c>
      <c r="M1770" s="18">
        <f>VLOOKUP(A1770,Revisión!$A$2:$L$703,11,FALSE)</f>
        <v>4</v>
      </c>
      <c r="N1770" s="30" t="str">
        <f>IF(E1770="Coinciden",D1770,IF(E1770="Revisar",VLOOKUP(A1770,Revisión!$A$2:$L$703,12,FALSE),""))</f>
        <v>Rorippa teres</v>
      </c>
    </row>
    <row r="1771" spans="1:14" x14ac:dyDescent="0.3">
      <c r="A1771" t="s">
        <v>3646</v>
      </c>
      <c r="B1771" t="s">
        <v>3647</v>
      </c>
      <c r="C1771" t="s">
        <v>3647</v>
      </c>
      <c r="D1771" t="s">
        <v>3648</v>
      </c>
      <c r="E1771" t="s">
        <v>8</v>
      </c>
      <c r="F1771" t="s">
        <v>15</v>
      </c>
      <c r="H1771" s="23" t="str">
        <f>VLOOKUP(A1771,Revisión!$A$2:$L$703,6,FALSE)</f>
        <v>Rorippa palustris</v>
      </c>
      <c r="I1771" s="4" t="str">
        <f>VLOOKUP(A1771,Revisión!$A$2:$L$703,7,FALSE)</f>
        <v>-</v>
      </c>
      <c r="J1771" s="4" t="str">
        <f>VLOOKUP(A1771,Revisión!$A$2:$L$703,8,FALSE)</f>
        <v>Rorippa palustris</v>
      </c>
      <c r="K1771" s="4" t="str">
        <f>VLOOKUP(A1771,Revisión!$A$2:$L$703,9,FALSE)</f>
        <v>Rorippa palustris</v>
      </c>
      <c r="L1771" s="4" t="str">
        <f>VLOOKUP(A1771,Revisión!$A$2:$L$703,10,FALSE)</f>
        <v>Rorippa palustris</v>
      </c>
      <c r="M1771" s="18">
        <f>VLOOKUP(A1771,Revisión!$A$2:$L$703,11,FALSE)</f>
        <v>4</v>
      </c>
      <c r="N1771" s="30" t="str">
        <f>IF(E1771="Coinciden",D1771,IF(E1771="Revisar",VLOOKUP(A1771,Revisión!$A$2:$L$703,12,FALSE),""))</f>
        <v>Rorippa palustris</v>
      </c>
    </row>
    <row r="1772" spans="1:14" x14ac:dyDescent="0.3">
      <c r="A1772" t="s">
        <v>3649</v>
      </c>
      <c r="B1772" t="s">
        <v>3650</v>
      </c>
      <c r="C1772" t="s">
        <v>3650</v>
      </c>
      <c r="E1772" t="s">
        <v>8</v>
      </c>
      <c r="F1772" t="s">
        <v>323</v>
      </c>
      <c r="H1772" s="23" t="str">
        <f>VLOOKUP(A1772,Revisión!$A$2:$L$703,6,FALSE)</f>
        <v>Rorippa teres</v>
      </c>
      <c r="I1772" s="4" t="str">
        <f>VLOOKUP(A1772,Revisión!$A$2:$L$703,7,FALSE)</f>
        <v>-</v>
      </c>
      <c r="J1772" s="4" t="str">
        <f>VLOOKUP(A1772,Revisión!$A$2:$L$703,8,FALSE)</f>
        <v>Rorippa teres</v>
      </c>
      <c r="K1772" s="4" t="str">
        <f>VLOOKUP(A1772,Revisión!$A$2:$L$703,9,FALSE)</f>
        <v>Rorippa teres</v>
      </c>
      <c r="L1772" s="4" t="str">
        <f>VLOOKUP(A1772,Revisión!$A$2:$L$703,10,FALSE)</f>
        <v>Rorippa teres</v>
      </c>
      <c r="M1772" s="18">
        <f>VLOOKUP(A1772,Revisión!$A$2:$L$703,11,FALSE)</f>
        <v>4</v>
      </c>
      <c r="N1772" s="30" t="str">
        <f>IF(E1772="Coinciden",D1772,IF(E1772="Revisar",VLOOKUP(A1772,Revisión!$A$2:$L$703,12,FALSE),""))</f>
        <v>Rorippa teres</v>
      </c>
    </row>
    <row r="1773" spans="1:14" x14ac:dyDescent="0.3">
      <c r="A1773" t="s">
        <v>3651</v>
      </c>
      <c r="B1773" t="s">
        <v>3652</v>
      </c>
      <c r="D1773" t="s">
        <v>3652</v>
      </c>
      <c r="E1773" t="s">
        <v>8</v>
      </c>
      <c r="F1773" t="s">
        <v>34</v>
      </c>
      <c r="H1773" s="23" t="str">
        <f>VLOOKUP(A1773,Revisión!$A$2:$L$703,6,FALSE)</f>
        <v>Ranunculus lyallii</v>
      </c>
      <c r="I1773" s="4" t="str">
        <f>VLOOKUP(A1773,Revisión!$A$2:$L$703,7,FALSE)</f>
        <v>-</v>
      </c>
      <c r="J1773" s="4" t="str">
        <f>VLOOKUP(A1773,Revisión!$A$2:$L$703,8,FALSE)</f>
        <v>Ranunculus lyallii</v>
      </c>
      <c r="K1773" s="4" t="str">
        <f>VLOOKUP(A1773,Revisión!$A$2:$L$703,9,FALSE)</f>
        <v>Ranunculus lyallii</v>
      </c>
      <c r="L1773" s="4" t="str">
        <f>VLOOKUP(A1773,Revisión!$A$2:$L$703,10,FALSE)</f>
        <v>Ranunculus lyallii</v>
      </c>
      <c r="M1773" s="18">
        <f>VLOOKUP(A1773,Revisión!$A$2:$L$703,11,FALSE)</f>
        <v>4</v>
      </c>
      <c r="N1773" s="30" t="str">
        <f>IF(E1773="Coinciden",D1773,IF(E1773="Revisar",VLOOKUP(A1773,Revisión!$A$2:$L$703,12,FALSE),""))</f>
        <v>Ranunculus lyallii</v>
      </c>
    </row>
    <row r="1774" spans="1:14" x14ac:dyDescent="0.3">
      <c r="A1774" t="s">
        <v>3653</v>
      </c>
      <c r="E1774" t="s">
        <v>8</v>
      </c>
      <c r="F1774" t="s">
        <v>11</v>
      </c>
      <c r="H1774" s="23" t="e">
        <f>VLOOKUP(A1774,Revisión!$A$2:$L$703,6,FALSE)</f>
        <v>#N/A</v>
      </c>
      <c r="I1774" s="4" t="e">
        <f>VLOOKUP(A1774,Revisión!$A$2:$L$703,7,FALSE)</f>
        <v>#N/A</v>
      </c>
      <c r="J1774" s="4" t="e">
        <f>VLOOKUP(A1774,Revisión!$A$2:$L$703,8,FALSE)</f>
        <v>#N/A</v>
      </c>
      <c r="K1774" s="4" t="e">
        <f>VLOOKUP(A1774,Revisión!$A$2:$L$703,9,FALSE)</f>
        <v>#N/A</v>
      </c>
      <c r="L1774" s="4" t="e">
        <f>VLOOKUP(A1774,Revisión!$A$2:$L$703,10,FALSE)</f>
        <v>#N/A</v>
      </c>
      <c r="M1774" s="18" t="e">
        <f>VLOOKUP(A1774,Revisión!$A$2:$L$703,11,FALSE)</f>
        <v>#N/A</v>
      </c>
      <c r="N1774" s="30" t="e">
        <f>IF(E1774="Coinciden",D1774,IF(E1774="Revisar",VLOOKUP(A1774,Revisión!$A$2:$L$703,12,FALSE),""))</f>
        <v>#N/A</v>
      </c>
    </row>
    <row r="1775" spans="1:14" x14ac:dyDescent="0.3">
      <c r="A1775" t="s">
        <v>3654</v>
      </c>
      <c r="B1775" t="s">
        <v>3655</v>
      </c>
      <c r="C1775" t="s">
        <v>3655</v>
      </c>
      <c r="D1775" t="s">
        <v>3655</v>
      </c>
      <c r="E1775" t="s">
        <v>18</v>
      </c>
      <c r="F1775" t="s">
        <v>19</v>
      </c>
      <c r="H1775" s="23" t="e">
        <f>VLOOKUP(A1775,Revisión!$A$2:$L$703,6,FALSE)</f>
        <v>#N/A</v>
      </c>
      <c r="I1775" s="4" t="e">
        <f>VLOOKUP(A1775,Revisión!$A$2:$L$703,7,FALSE)</f>
        <v>#N/A</v>
      </c>
      <c r="J1775" s="4" t="e">
        <f>VLOOKUP(A1775,Revisión!$A$2:$L$703,8,FALSE)</f>
        <v>#N/A</v>
      </c>
      <c r="K1775" s="4" t="e">
        <f>VLOOKUP(A1775,Revisión!$A$2:$L$703,9,FALSE)</f>
        <v>#N/A</v>
      </c>
      <c r="L1775" s="4" t="e">
        <f>VLOOKUP(A1775,Revisión!$A$2:$L$703,10,FALSE)</f>
        <v>#N/A</v>
      </c>
      <c r="M1775" s="18" t="e">
        <f>VLOOKUP(A1775,Revisión!$A$2:$L$703,11,FALSE)</f>
        <v>#N/A</v>
      </c>
      <c r="N1775" s="30" t="str">
        <f>IF(E1775="Coinciden",D1775,IF(E1775="Revisar",VLOOKUP(A1775,Revisión!$A$2:$L$703,12,FALSE),""))</f>
        <v>Ranunculus repens</v>
      </c>
    </row>
    <row r="1776" spans="1:14" x14ac:dyDescent="0.3">
      <c r="A1776" t="s">
        <v>3656</v>
      </c>
      <c r="C1776" t="s">
        <v>3657</v>
      </c>
      <c r="D1776" t="s">
        <v>3657</v>
      </c>
      <c r="E1776" t="s">
        <v>8</v>
      </c>
      <c r="F1776" t="s">
        <v>49</v>
      </c>
      <c r="H1776" s="23" t="str">
        <f>VLOOKUP(A1776,Revisión!$A$2:$L$703,6,FALSE)</f>
        <v>Ranunculus sprunerianus</v>
      </c>
      <c r="I1776" s="4" t="str">
        <f>VLOOKUP(A1776,Revisión!$A$2:$L$703,7,FALSE)</f>
        <v>-</v>
      </c>
      <c r="J1776" s="4" t="str">
        <f>VLOOKUP(A1776,Revisión!$A$2:$L$703,8,FALSE)</f>
        <v>Ranunculus sprunerianus</v>
      </c>
      <c r="K1776" s="4" t="str">
        <f>VLOOKUP(A1776,Revisión!$A$2:$L$703,9,FALSE)</f>
        <v>Ranunculus sprunerianus</v>
      </c>
      <c r="L1776" s="4" t="str">
        <f>VLOOKUP(A1776,Revisión!$A$2:$L$703,10,FALSE)</f>
        <v>Ranunculus sprunerianus</v>
      </c>
      <c r="M1776" s="18">
        <f>VLOOKUP(A1776,Revisión!$A$2:$L$703,11,FALSE)</f>
        <v>5</v>
      </c>
      <c r="N1776" s="30" t="str">
        <f>IF(E1776="Coinciden",D1776,IF(E1776="Revisar",VLOOKUP(A1776,Revisión!$A$2:$L$703,12,FALSE),""))</f>
        <v>Ranunculus sprunerianus</v>
      </c>
    </row>
    <row r="1777" spans="1:14" x14ac:dyDescent="0.3">
      <c r="A1777" t="s">
        <v>3658</v>
      </c>
      <c r="B1777" t="s">
        <v>3659</v>
      </c>
      <c r="C1777" t="s">
        <v>3659</v>
      </c>
      <c r="D1777" t="s">
        <v>3659</v>
      </c>
      <c r="E1777" t="s">
        <v>18</v>
      </c>
      <c r="F1777" t="s">
        <v>19</v>
      </c>
      <c r="H1777" s="23" t="e">
        <f>VLOOKUP(A1777,Revisión!$A$2:$L$703,6,FALSE)</f>
        <v>#N/A</v>
      </c>
      <c r="I1777" s="4" t="e">
        <f>VLOOKUP(A1777,Revisión!$A$2:$L$703,7,FALSE)</f>
        <v>#N/A</v>
      </c>
      <c r="J1777" s="4" t="e">
        <f>VLOOKUP(A1777,Revisión!$A$2:$L$703,8,FALSE)</f>
        <v>#N/A</v>
      </c>
      <c r="K1777" s="4" t="e">
        <f>VLOOKUP(A1777,Revisión!$A$2:$L$703,9,FALSE)</f>
        <v>#N/A</v>
      </c>
      <c r="L1777" s="4" t="e">
        <f>VLOOKUP(A1777,Revisión!$A$2:$L$703,10,FALSE)</f>
        <v>#N/A</v>
      </c>
      <c r="M1777" s="18" t="e">
        <f>VLOOKUP(A1777,Revisión!$A$2:$L$703,11,FALSE)</f>
        <v>#N/A</v>
      </c>
      <c r="N1777" s="30" t="str">
        <f>IF(E1777="Coinciden",D1777,IF(E1777="Revisar",VLOOKUP(A1777,Revisión!$A$2:$L$703,12,FALSE),""))</f>
        <v>Ranunculus silerifolius</v>
      </c>
    </row>
    <row r="1778" spans="1:14" x14ac:dyDescent="0.3">
      <c r="A1778" t="s">
        <v>3660</v>
      </c>
      <c r="B1778" t="s">
        <v>3661</v>
      </c>
      <c r="C1778" t="s">
        <v>3661</v>
      </c>
      <c r="D1778" t="s">
        <v>3661</v>
      </c>
      <c r="E1778" t="s">
        <v>18</v>
      </c>
      <c r="F1778" t="s">
        <v>19</v>
      </c>
      <c r="H1778" s="23" t="e">
        <f>VLOOKUP(A1778,Revisión!$A$2:$L$703,6,FALSE)</f>
        <v>#N/A</v>
      </c>
      <c r="I1778" s="4" t="e">
        <f>VLOOKUP(A1778,Revisión!$A$2:$L$703,7,FALSE)</f>
        <v>#N/A</v>
      </c>
      <c r="J1778" s="4" t="e">
        <f>VLOOKUP(A1778,Revisión!$A$2:$L$703,8,FALSE)</f>
        <v>#N/A</v>
      </c>
      <c r="K1778" s="4" t="e">
        <f>VLOOKUP(A1778,Revisión!$A$2:$L$703,9,FALSE)</f>
        <v>#N/A</v>
      </c>
      <c r="L1778" s="4" t="e">
        <f>VLOOKUP(A1778,Revisión!$A$2:$L$703,10,FALSE)</f>
        <v>#N/A</v>
      </c>
      <c r="M1778" s="18" t="e">
        <f>VLOOKUP(A1778,Revisión!$A$2:$L$703,11,FALSE)</f>
        <v>#N/A</v>
      </c>
      <c r="N1778" s="30" t="str">
        <f>IF(E1778="Coinciden",D1778,IF(E1778="Revisar",VLOOKUP(A1778,Revisión!$A$2:$L$703,12,FALSE),""))</f>
        <v>Ranunculus sieboldii</v>
      </c>
    </row>
    <row r="1779" spans="1:14" x14ac:dyDescent="0.3">
      <c r="A1779" t="s">
        <v>3662</v>
      </c>
      <c r="C1779" t="s">
        <v>3663</v>
      </c>
      <c r="D1779" t="s">
        <v>3663</v>
      </c>
      <c r="E1779" t="s">
        <v>8</v>
      </c>
      <c r="F1779" t="s">
        <v>49</v>
      </c>
      <c r="H1779" s="23" t="str">
        <f>VLOOKUP(A1779,Revisión!$A$2:$L$703,6,FALSE)</f>
        <v>Ranunculus cortusifolius</v>
      </c>
      <c r="I1779" s="4" t="str">
        <f>VLOOKUP(A1779,Revisión!$A$2:$L$703,7,FALSE)</f>
        <v>-</v>
      </c>
      <c r="J1779" s="4" t="str">
        <f>VLOOKUP(A1779,Revisión!$A$2:$L$703,8,FALSE)</f>
        <v>Ranunculus cortusifolius</v>
      </c>
      <c r="K1779" s="4" t="str">
        <f>VLOOKUP(A1779,Revisión!$A$2:$L$703,9,FALSE)</f>
        <v>Ranunculus cortusifolius</v>
      </c>
      <c r="L1779" s="4" t="str">
        <f>VLOOKUP(A1779,Revisión!$A$2:$L$703,10,FALSE)</f>
        <v>Ranunculus cortusifolius</v>
      </c>
      <c r="M1779" s="18">
        <f>VLOOKUP(A1779,Revisión!$A$2:$L$703,11,FALSE)</f>
        <v>5</v>
      </c>
      <c r="N1779" s="30" t="str">
        <f>IF(E1779="Coinciden",D1779,IF(E1779="Revisar",VLOOKUP(A1779,Revisión!$A$2:$L$703,12,FALSE),""))</f>
        <v>Ranunculus cortusifolius</v>
      </c>
    </row>
    <row r="1780" spans="1:14" x14ac:dyDescent="0.3">
      <c r="A1780" t="s">
        <v>3664</v>
      </c>
      <c r="B1780" t="s">
        <v>3665</v>
      </c>
      <c r="D1780" t="s">
        <v>3665</v>
      </c>
      <c r="E1780" t="s">
        <v>8</v>
      </c>
      <c r="F1780" t="s">
        <v>34</v>
      </c>
      <c r="H1780" s="23" t="str">
        <f>VLOOKUP(A1780,Revisión!$A$2:$L$703,6,FALSE)</f>
        <v>Ranunculus fascicularis</v>
      </c>
      <c r="I1780" s="4" t="str">
        <f>VLOOKUP(A1780,Revisión!$A$2:$L$703,7,FALSE)</f>
        <v>-</v>
      </c>
      <c r="J1780" s="4" t="str">
        <f>VLOOKUP(A1780,Revisión!$A$2:$L$703,8,FALSE)</f>
        <v>Ranunculus fascicularis</v>
      </c>
      <c r="K1780" s="4" t="str">
        <f>VLOOKUP(A1780,Revisión!$A$2:$L$703,9,FALSE)</f>
        <v>Ranunculus fascicularis</v>
      </c>
      <c r="L1780" s="4" t="str">
        <f>VLOOKUP(A1780,Revisión!$A$2:$L$703,10,FALSE)</f>
        <v>Ranunculus fascicularis</v>
      </c>
      <c r="M1780" s="18">
        <f>VLOOKUP(A1780,Revisión!$A$2:$L$703,11,FALSE)</f>
        <v>5</v>
      </c>
      <c r="N1780" s="30" t="str">
        <f>IF(E1780="Coinciden",D1780,IF(E1780="Revisar",VLOOKUP(A1780,Revisión!$A$2:$L$703,12,FALSE),""))</f>
        <v>Ranunculus fascicularis</v>
      </c>
    </row>
    <row r="1781" spans="1:14" x14ac:dyDescent="0.3">
      <c r="A1781" t="s">
        <v>3666</v>
      </c>
      <c r="B1781" t="s">
        <v>3667</v>
      </c>
      <c r="C1781" t="s">
        <v>3667</v>
      </c>
      <c r="D1781" t="s">
        <v>3667</v>
      </c>
      <c r="E1781" t="s">
        <v>18</v>
      </c>
      <c r="F1781" t="s">
        <v>19</v>
      </c>
      <c r="H1781" s="23" t="e">
        <f>VLOOKUP(A1781,Revisión!$A$2:$L$703,6,FALSE)</f>
        <v>#N/A</v>
      </c>
      <c r="I1781" s="4" t="e">
        <f>VLOOKUP(A1781,Revisión!$A$2:$L$703,7,FALSE)</f>
        <v>#N/A</v>
      </c>
      <c r="J1781" s="4" t="e">
        <f>VLOOKUP(A1781,Revisión!$A$2:$L$703,8,FALSE)</f>
        <v>#N/A</v>
      </c>
      <c r="K1781" s="4" t="e">
        <f>VLOOKUP(A1781,Revisión!$A$2:$L$703,9,FALSE)</f>
        <v>#N/A</v>
      </c>
      <c r="L1781" s="4" t="e">
        <f>VLOOKUP(A1781,Revisión!$A$2:$L$703,10,FALSE)</f>
        <v>#N/A</v>
      </c>
      <c r="M1781" s="18" t="e">
        <f>VLOOKUP(A1781,Revisión!$A$2:$L$703,11,FALSE)</f>
        <v>#N/A</v>
      </c>
      <c r="N1781" s="30" t="str">
        <f>IF(E1781="Coinciden",D1781,IF(E1781="Revisar",VLOOKUP(A1781,Revisión!$A$2:$L$703,12,FALSE),""))</f>
        <v>Ranunculus flammula</v>
      </c>
    </row>
    <row r="1782" spans="1:14" x14ac:dyDescent="0.3">
      <c r="A1782" t="s">
        <v>3668</v>
      </c>
      <c r="B1782" t="s">
        <v>3669</v>
      </c>
      <c r="C1782" t="s">
        <v>3669</v>
      </c>
      <c r="D1782" t="s">
        <v>3669</v>
      </c>
      <c r="E1782" t="s">
        <v>18</v>
      </c>
      <c r="F1782" t="s">
        <v>19</v>
      </c>
      <c r="H1782" s="23" t="e">
        <f>VLOOKUP(A1782,Revisión!$A$2:$L$703,6,FALSE)</f>
        <v>#N/A</v>
      </c>
      <c r="I1782" s="4" t="e">
        <f>VLOOKUP(A1782,Revisión!$A$2:$L$703,7,FALSE)</f>
        <v>#N/A</v>
      </c>
      <c r="J1782" s="4" t="e">
        <f>VLOOKUP(A1782,Revisión!$A$2:$L$703,8,FALSE)</f>
        <v>#N/A</v>
      </c>
      <c r="K1782" s="4" t="e">
        <f>VLOOKUP(A1782,Revisión!$A$2:$L$703,9,FALSE)</f>
        <v>#N/A</v>
      </c>
      <c r="L1782" s="4" t="e">
        <f>VLOOKUP(A1782,Revisión!$A$2:$L$703,10,FALSE)</f>
        <v>#N/A</v>
      </c>
      <c r="M1782" s="18" t="e">
        <f>VLOOKUP(A1782,Revisión!$A$2:$L$703,11,FALSE)</f>
        <v>#N/A</v>
      </c>
      <c r="N1782" s="30" t="str">
        <f>IF(E1782="Coinciden",D1782,IF(E1782="Revisar",VLOOKUP(A1782,Revisión!$A$2:$L$703,12,FALSE),""))</f>
        <v>Ranunculus abortivus</v>
      </c>
    </row>
    <row r="1783" spans="1:14" x14ac:dyDescent="0.3">
      <c r="A1783" t="s">
        <v>3670</v>
      </c>
      <c r="B1783" t="s">
        <v>3671</v>
      </c>
      <c r="C1783" t="s">
        <v>3671</v>
      </c>
      <c r="D1783" t="s">
        <v>3672</v>
      </c>
      <c r="E1783" t="s">
        <v>8</v>
      </c>
      <c r="F1783" t="s">
        <v>15</v>
      </c>
      <c r="H1783" s="23" t="str">
        <f>VLOOKUP(A1783,Revisión!$A$2:$L$703,6,FALSE)</f>
        <v>Ranunculus septentrionalis</v>
      </c>
      <c r="I1783" s="4" t="str">
        <f>VLOOKUP(A1783,Revisión!$A$2:$L$703,7,FALSE)</f>
        <v>-</v>
      </c>
      <c r="J1783" s="4" t="str">
        <f>VLOOKUP(A1783,Revisión!$A$2:$L$703,8,FALSE)</f>
        <v>Ranunculus septentrionalis</v>
      </c>
      <c r="K1783" s="4" t="str">
        <f>VLOOKUP(A1783,Revisión!$A$2:$L$703,9,FALSE)</f>
        <v>Ranunculus septentrionalis</v>
      </c>
      <c r="L1783" s="4" t="str">
        <f>VLOOKUP(A1783,Revisión!$A$2:$L$703,10,FALSE)</f>
        <v>Ranunculus septentrionalis</v>
      </c>
      <c r="M1783" s="18">
        <f>VLOOKUP(A1783,Revisión!$A$2:$L$703,11,FALSE)</f>
        <v>4</v>
      </c>
      <c r="N1783" s="30" t="str">
        <f>IF(E1783="Coinciden",D1783,IF(E1783="Revisar",VLOOKUP(A1783,Revisión!$A$2:$L$703,12,FALSE),""))</f>
        <v>Ranunculus septentrionalis</v>
      </c>
    </row>
    <row r="1784" spans="1:14" x14ac:dyDescent="0.3">
      <c r="A1784" t="s">
        <v>3673</v>
      </c>
      <c r="B1784" t="s">
        <v>3674</v>
      </c>
      <c r="C1784" t="s">
        <v>3674</v>
      </c>
      <c r="D1784" t="s">
        <v>3674</v>
      </c>
      <c r="E1784" t="s">
        <v>18</v>
      </c>
      <c r="F1784" t="s">
        <v>19</v>
      </c>
      <c r="H1784" s="23" t="e">
        <f>VLOOKUP(A1784,Revisión!$A$2:$L$703,6,FALSE)</f>
        <v>#N/A</v>
      </c>
      <c r="I1784" s="4" t="e">
        <f>VLOOKUP(A1784,Revisión!$A$2:$L$703,7,FALSE)</f>
        <v>#N/A</v>
      </c>
      <c r="J1784" s="4" t="e">
        <f>VLOOKUP(A1784,Revisión!$A$2:$L$703,8,FALSE)</f>
        <v>#N/A</v>
      </c>
      <c r="K1784" s="4" t="e">
        <f>VLOOKUP(A1784,Revisión!$A$2:$L$703,9,FALSE)</f>
        <v>#N/A</v>
      </c>
      <c r="L1784" s="4" t="e">
        <f>VLOOKUP(A1784,Revisión!$A$2:$L$703,10,FALSE)</f>
        <v>#N/A</v>
      </c>
      <c r="M1784" s="18" t="e">
        <f>VLOOKUP(A1784,Revisión!$A$2:$L$703,11,FALSE)</f>
        <v>#N/A</v>
      </c>
      <c r="N1784" s="30" t="str">
        <f>IF(E1784="Coinciden",D1784,IF(E1784="Revisar",VLOOKUP(A1784,Revisión!$A$2:$L$703,12,FALSE),""))</f>
        <v>Ranunculus japonicus</v>
      </c>
    </row>
    <row r="1785" spans="1:14" x14ac:dyDescent="0.3">
      <c r="A1785" t="s">
        <v>3675</v>
      </c>
      <c r="B1785" t="s">
        <v>3676</v>
      </c>
      <c r="C1785" t="s">
        <v>3676</v>
      </c>
      <c r="D1785" t="s">
        <v>3676</v>
      </c>
      <c r="E1785" t="s">
        <v>18</v>
      </c>
      <c r="F1785" t="s">
        <v>19</v>
      </c>
      <c r="H1785" s="23" t="e">
        <f>VLOOKUP(A1785,Revisión!$A$2:$L$703,6,FALSE)</f>
        <v>#N/A</v>
      </c>
      <c r="I1785" s="4" t="e">
        <f>VLOOKUP(A1785,Revisión!$A$2:$L$703,7,FALSE)</f>
        <v>#N/A</v>
      </c>
      <c r="J1785" s="4" t="e">
        <f>VLOOKUP(A1785,Revisión!$A$2:$L$703,8,FALSE)</f>
        <v>#N/A</v>
      </c>
      <c r="K1785" s="4" t="e">
        <f>VLOOKUP(A1785,Revisión!$A$2:$L$703,9,FALSE)</f>
        <v>#N/A</v>
      </c>
      <c r="L1785" s="4" t="e">
        <f>VLOOKUP(A1785,Revisión!$A$2:$L$703,10,FALSE)</f>
        <v>#N/A</v>
      </c>
      <c r="M1785" s="18" t="e">
        <f>VLOOKUP(A1785,Revisión!$A$2:$L$703,11,FALSE)</f>
        <v>#N/A</v>
      </c>
      <c r="N1785" s="30" t="str">
        <f>IF(E1785="Coinciden",D1785,IF(E1785="Revisar",VLOOKUP(A1785,Revisión!$A$2:$L$703,12,FALSE),""))</f>
        <v>Ranunculus acris</v>
      </c>
    </row>
    <row r="1786" spans="1:14" x14ac:dyDescent="0.3">
      <c r="A1786" t="s">
        <v>3677</v>
      </c>
      <c r="B1786" t="s">
        <v>3678</v>
      </c>
      <c r="C1786" t="s">
        <v>3678</v>
      </c>
      <c r="D1786" t="s">
        <v>3678</v>
      </c>
      <c r="E1786" t="s">
        <v>18</v>
      </c>
      <c r="F1786" t="s">
        <v>19</v>
      </c>
      <c r="H1786" s="23" t="e">
        <f>VLOOKUP(A1786,Revisión!$A$2:$L$703,6,FALSE)</f>
        <v>#N/A</v>
      </c>
      <c r="I1786" s="4" t="e">
        <f>VLOOKUP(A1786,Revisión!$A$2:$L$703,7,FALSE)</f>
        <v>#N/A</v>
      </c>
      <c r="J1786" s="4" t="e">
        <f>VLOOKUP(A1786,Revisión!$A$2:$L$703,8,FALSE)</f>
        <v>#N/A</v>
      </c>
      <c r="K1786" s="4" t="e">
        <f>VLOOKUP(A1786,Revisión!$A$2:$L$703,9,FALSE)</f>
        <v>#N/A</v>
      </c>
      <c r="L1786" s="4" t="e">
        <f>VLOOKUP(A1786,Revisión!$A$2:$L$703,10,FALSE)</f>
        <v>#N/A</v>
      </c>
      <c r="M1786" s="18" t="e">
        <f>VLOOKUP(A1786,Revisión!$A$2:$L$703,11,FALSE)</f>
        <v>#N/A</v>
      </c>
      <c r="N1786" s="30" t="str">
        <f>IF(E1786="Coinciden",D1786,IF(E1786="Revisar",VLOOKUP(A1786,Revisión!$A$2:$L$703,12,FALSE),""))</f>
        <v>Ranunculus sulphureus</v>
      </c>
    </row>
    <row r="1787" spans="1:14" x14ac:dyDescent="0.3">
      <c r="A1787" t="s">
        <v>3679</v>
      </c>
      <c r="B1787" t="s">
        <v>3680</v>
      </c>
      <c r="C1787" t="s">
        <v>3680</v>
      </c>
      <c r="D1787" t="s">
        <v>3680</v>
      </c>
      <c r="E1787" t="s">
        <v>18</v>
      </c>
      <c r="F1787" t="s">
        <v>19</v>
      </c>
      <c r="H1787" s="23" t="e">
        <f>VLOOKUP(A1787,Revisión!$A$2:$L$703,6,FALSE)</f>
        <v>#N/A</v>
      </c>
      <c r="I1787" s="4" t="e">
        <f>VLOOKUP(A1787,Revisión!$A$2:$L$703,7,FALSE)</f>
        <v>#N/A</v>
      </c>
      <c r="J1787" s="4" t="e">
        <f>VLOOKUP(A1787,Revisión!$A$2:$L$703,8,FALSE)</f>
        <v>#N/A</v>
      </c>
      <c r="K1787" s="4" t="e">
        <f>VLOOKUP(A1787,Revisión!$A$2:$L$703,9,FALSE)</f>
        <v>#N/A</v>
      </c>
      <c r="L1787" s="4" t="e">
        <f>VLOOKUP(A1787,Revisión!$A$2:$L$703,10,FALSE)</f>
        <v>#N/A</v>
      </c>
      <c r="M1787" s="18" t="e">
        <f>VLOOKUP(A1787,Revisión!$A$2:$L$703,11,FALSE)</f>
        <v>#N/A</v>
      </c>
      <c r="N1787" s="30" t="str">
        <f>IF(E1787="Coinciden",D1787,IF(E1787="Revisar",VLOOKUP(A1787,Revisión!$A$2:$L$703,12,FALSE),""))</f>
        <v>Ranunculus enysii</v>
      </c>
    </row>
    <row r="1788" spans="1:14" x14ac:dyDescent="0.3">
      <c r="A1788" t="s">
        <v>3681</v>
      </c>
      <c r="B1788" t="s">
        <v>3682</v>
      </c>
      <c r="D1788" t="s">
        <v>3682</v>
      </c>
      <c r="E1788" t="s">
        <v>8</v>
      </c>
      <c r="F1788" t="s">
        <v>34</v>
      </c>
      <c r="H1788" s="23" t="str">
        <f>VLOOKUP(A1788,Revisión!$A$2:$L$703,6,FALSE)</f>
        <v>Ranunculus peduncularis</v>
      </c>
      <c r="I1788" s="4" t="str">
        <f>VLOOKUP(A1788,Revisión!$A$2:$L$703,7,FALSE)</f>
        <v>-</v>
      </c>
      <c r="J1788" s="4" t="str">
        <f>VLOOKUP(A1788,Revisión!$A$2:$L$703,8,FALSE)</f>
        <v>Ranunculus peduncularis</v>
      </c>
      <c r="K1788" s="4" t="str">
        <f>VLOOKUP(A1788,Revisión!$A$2:$L$703,9,FALSE)</f>
        <v>Ranunculus peduncularis</v>
      </c>
      <c r="L1788" s="4" t="str">
        <f>VLOOKUP(A1788,Revisión!$A$2:$L$703,10,FALSE)</f>
        <v>Ranunculus peduncularis</v>
      </c>
      <c r="M1788" s="18">
        <f>VLOOKUP(A1788,Revisión!$A$2:$L$703,11,FALSE)</f>
        <v>4</v>
      </c>
      <c r="N1788" s="30" t="str">
        <f>IF(E1788="Coinciden",D1788,IF(E1788="Revisar",VLOOKUP(A1788,Revisión!$A$2:$L$703,12,FALSE),""))</f>
        <v>Ranunculus peduncularis</v>
      </c>
    </row>
    <row r="1789" spans="1:14" x14ac:dyDescent="0.3">
      <c r="A1789" t="s">
        <v>3683</v>
      </c>
      <c r="B1789" t="s">
        <v>3684</v>
      </c>
      <c r="D1789" t="s">
        <v>3684</v>
      </c>
      <c r="E1789" t="s">
        <v>8</v>
      </c>
      <c r="F1789" t="s">
        <v>34</v>
      </c>
      <c r="H1789" s="23" t="str">
        <f>VLOOKUP(A1789,Revisión!$A$2:$L$703,6,FALSE)</f>
        <v>Ranunculus recurvatus</v>
      </c>
      <c r="I1789" s="4" t="str">
        <f>VLOOKUP(A1789,Revisión!$A$2:$L$703,7,FALSE)</f>
        <v>-</v>
      </c>
      <c r="J1789" s="4" t="str">
        <f>VLOOKUP(A1789,Revisión!$A$2:$L$703,8,FALSE)</f>
        <v>Ranunculus recurvatus</v>
      </c>
      <c r="K1789" s="4" t="str">
        <f>VLOOKUP(A1789,Revisión!$A$2:$L$703,9,FALSE)</f>
        <v>Ranunculus recurvatus</v>
      </c>
      <c r="L1789" s="4" t="str">
        <f>VLOOKUP(A1789,Revisión!$A$2:$L$703,10,FALSE)</f>
        <v>Ranunculus recurvatus</v>
      </c>
      <c r="M1789" s="18">
        <f>VLOOKUP(A1789,Revisión!$A$2:$L$703,11,FALSE)</f>
        <v>5</v>
      </c>
      <c r="N1789" s="30" t="str">
        <f>IF(E1789="Coinciden",D1789,IF(E1789="Revisar",VLOOKUP(A1789,Revisión!$A$2:$L$703,12,FALSE),""))</f>
        <v>Ranunculus recurvatus</v>
      </c>
    </row>
    <row r="1790" spans="1:14" x14ac:dyDescent="0.3">
      <c r="A1790" t="s">
        <v>3685</v>
      </c>
      <c r="B1790" t="s">
        <v>3686</v>
      </c>
      <c r="C1790" t="s">
        <v>3686</v>
      </c>
      <c r="D1790" t="s">
        <v>3686</v>
      </c>
      <c r="E1790" t="s">
        <v>18</v>
      </c>
      <c r="F1790" t="s">
        <v>19</v>
      </c>
      <c r="H1790" s="23" t="e">
        <f>VLOOKUP(A1790,Revisión!$A$2:$L$703,6,FALSE)</f>
        <v>#N/A</v>
      </c>
      <c r="I1790" s="4" t="e">
        <f>VLOOKUP(A1790,Revisión!$A$2:$L$703,7,FALSE)</f>
        <v>#N/A</v>
      </c>
      <c r="J1790" s="4" t="e">
        <f>VLOOKUP(A1790,Revisión!$A$2:$L$703,8,FALSE)</f>
        <v>#N/A</v>
      </c>
      <c r="K1790" s="4" t="e">
        <f>VLOOKUP(A1790,Revisión!$A$2:$L$703,9,FALSE)</f>
        <v>#N/A</v>
      </c>
      <c r="L1790" s="4" t="e">
        <f>VLOOKUP(A1790,Revisión!$A$2:$L$703,10,FALSE)</f>
        <v>#N/A</v>
      </c>
      <c r="M1790" s="18" t="e">
        <f>VLOOKUP(A1790,Revisión!$A$2:$L$703,11,FALSE)</f>
        <v>#N/A</v>
      </c>
      <c r="N1790" s="30" t="str">
        <f>IF(E1790="Coinciden",D1790,IF(E1790="Revisar",VLOOKUP(A1790,Revisión!$A$2:$L$703,12,FALSE),""))</f>
        <v>Raoulia australis</v>
      </c>
    </row>
    <row r="1791" spans="1:14" x14ac:dyDescent="0.3">
      <c r="A1791" t="s">
        <v>3687</v>
      </c>
      <c r="B1791" t="s">
        <v>3688</v>
      </c>
      <c r="C1791" t="s">
        <v>3688</v>
      </c>
      <c r="D1791" t="s">
        <v>3688</v>
      </c>
      <c r="E1791" t="s">
        <v>18</v>
      </c>
      <c r="F1791" t="s">
        <v>19</v>
      </c>
      <c r="H1791" s="23" t="e">
        <f>VLOOKUP(A1791,Revisión!$A$2:$L$703,6,FALSE)</f>
        <v>#N/A</v>
      </c>
      <c r="I1791" s="4" t="e">
        <f>VLOOKUP(A1791,Revisión!$A$2:$L$703,7,FALSE)</f>
        <v>#N/A</v>
      </c>
      <c r="J1791" s="4" t="e">
        <f>VLOOKUP(A1791,Revisión!$A$2:$L$703,8,FALSE)</f>
        <v>#N/A</v>
      </c>
      <c r="K1791" s="4" t="e">
        <f>VLOOKUP(A1791,Revisión!$A$2:$L$703,9,FALSE)</f>
        <v>#N/A</v>
      </c>
      <c r="L1791" s="4" t="e">
        <f>VLOOKUP(A1791,Revisión!$A$2:$L$703,10,FALSE)</f>
        <v>#N/A</v>
      </c>
      <c r="M1791" s="18" t="e">
        <f>VLOOKUP(A1791,Revisión!$A$2:$L$703,11,FALSE)</f>
        <v>#N/A</v>
      </c>
      <c r="N1791" s="30" t="str">
        <f>IF(E1791="Coinciden",D1791,IF(E1791="Revisar",VLOOKUP(A1791,Revisión!$A$2:$L$703,12,FALSE),""))</f>
        <v>Raoulia subsericea</v>
      </c>
    </row>
    <row r="1792" spans="1:14" x14ac:dyDescent="0.3">
      <c r="A1792" t="s">
        <v>3689</v>
      </c>
      <c r="B1792" t="s">
        <v>3690</v>
      </c>
      <c r="C1792" t="s">
        <v>3690</v>
      </c>
      <c r="D1792" t="s">
        <v>3690</v>
      </c>
      <c r="E1792" t="s">
        <v>18</v>
      </c>
      <c r="F1792" t="s">
        <v>19</v>
      </c>
      <c r="H1792" s="23" t="e">
        <f>VLOOKUP(A1792,Revisión!$A$2:$L$703,6,FALSE)</f>
        <v>#N/A</v>
      </c>
      <c r="I1792" s="4" t="e">
        <f>VLOOKUP(A1792,Revisión!$A$2:$L$703,7,FALSE)</f>
        <v>#N/A</v>
      </c>
      <c r="J1792" s="4" t="e">
        <f>VLOOKUP(A1792,Revisión!$A$2:$L$703,8,FALSE)</f>
        <v>#N/A</v>
      </c>
      <c r="K1792" s="4" t="e">
        <f>VLOOKUP(A1792,Revisión!$A$2:$L$703,9,FALSE)</f>
        <v>#N/A</v>
      </c>
      <c r="L1792" s="4" t="e">
        <f>VLOOKUP(A1792,Revisión!$A$2:$L$703,10,FALSE)</f>
        <v>#N/A</v>
      </c>
      <c r="M1792" s="18" t="e">
        <f>VLOOKUP(A1792,Revisión!$A$2:$L$703,11,FALSE)</f>
        <v>#N/A</v>
      </c>
      <c r="N1792" s="30" t="str">
        <f>IF(E1792="Coinciden",D1792,IF(E1792="Revisar",VLOOKUP(A1792,Revisión!$A$2:$L$703,12,FALSE),""))</f>
        <v>Raoulia mammillaris</v>
      </c>
    </row>
    <row r="1793" spans="1:14" x14ac:dyDescent="0.3">
      <c r="A1793" t="s">
        <v>3691</v>
      </c>
      <c r="B1793" t="s">
        <v>3692</v>
      </c>
      <c r="C1793" t="s">
        <v>3692</v>
      </c>
      <c r="D1793" t="s">
        <v>3692</v>
      </c>
      <c r="E1793" t="s">
        <v>18</v>
      </c>
      <c r="F1793" t="s">
        <v>19</v>
      </c>
      <c r="H1793" s="23" t="e">
        <f>VLOOKUP(A1793,Revisión!$A$2:$L$703,6,FALSE)</f>
        <v>#N/A</v>
      </c>
      <c r="I1793" s="4" t="e">
        <f>VLOOKUP(A1793,Revisión!$A$2:$L$703,7,FALSE)</f>
        <v>#N/A</v>
      </c>
      <c r="J1793" s="4" t="e">
        <f>VLOOKUP(A1793,Revisión!$A$2:$L$703,8,FALSE)</f>
        <v>#N/A</v>
      </c>
      <c r="K1793" s="4" t="e">
        <f>VLOOKUP(A1793,Revisión!$A$2:$L$703,9,FALSE)</f>
        <v>#N/A</v>
      </c>
      <c r="L1793" s="4" t="e">
        <f>VLOOKUP(A1793,Revisión!$A$2:$L$703,10,FALSE)</f>
        <v>#N/A</v>
      </c>
      <c r="M1793" s="18" t="e">
        <f>VLOOKUP(A1793,Revisión!$A$2:$L$703,11,FALSE)</f>
        <v>#N/A</v>
      </c>
      <c r="N1793" s="30" t="str">
        <f>IF(E1793="Coinciden",D1793,IF(E1793="Revisar",VLOOKUP(A1793,Revisión!$A$2:$L$703,12,FALSE),""))</f>
        <v>Raoulia grandiflora</v>
      </c>
    </row>
    <row r="1794" spans="1:14" x14ac:dyDescent="0.3">
      <c r="A1794" t="s">
        <v>3693</v>
      </c>
      <c r="B1794" t="s">
        <v>3694</v>
      </c>
      <c r="C1794" t="s">
        <v>3694</v>
      </c>
      <c r="D1794" t="s">
        <v>3694</v>
      </c>
      <c r="E1794" t="s">
        <v>18</v>
      </c>
      <c r="F1794" t="s">
        <v>19</v>
      </c>
      <c r="H1794" s="23" t="e">
        <f>VLOOKUP(A1794,Revisión!$A$2:$L$703,6,FALSE)</f>
        <v>#N/A</v>
      </c>
      <c r="I1794" s="4" t="e">
        <f>VLOOKUP(A1794,Revisión!$A$2:$L$703,7,FALSE)</f>
        <v>#N/A</v>
      </c>
      <c r="J1794" s="4" t="e">
        <f>VLOOKUP(A1794,Revisión!$A$2:$L$703,8,FALSE)</f>
        <v>#N/A</v>
      </c>
      <c r="K1794" s="4" t="e">
        <f>VLOOKUP(A1794,Revisión!$A$2:$L$703,9,FALSE)</f>
        <v>#N/A</v>
      </c>
      <c r="L1794" s="4" t="e">
        <f>VLOOKUP(A1794,Revisión!$A$2:$L$703,10,FALSE)</f>
        <v>#N/A</v>
      </c>
      <c r="M1794" s="18" t="e">
        <f>VLOOKUP(A1794,Revisión!$A$2:$L$703,11,FALSE)</f>
        <v>#N/A</v>
      </c>
      <c r="N1794" s="30" t="str">
        <f>IF(E1794="Coinciden",D1794,IF(E1794="Revisar",VLOOKUP(A1794,Revisión!$A$2:$L$703,12,FALSE),""))</f>
        <v>Raphanus raphanistrum</v>
      </c>
    </row>
    <row r="1795" spans="1:14" x14ac:dyDescent="0.3">
      <c r="A1795" t="s">
        <v>3695</v>
      </c>
      <c r="B1795" t="s">
        <v>3696</v>
      </c>
      <c r="C1795" t="s">
        <v>3696</v>
      </c>
      <c r="D1795" t="s">
        <v>3696</v>
      </c>
      <c r="E1795" t="s">
        <v>18</v>
      </c>
      <c r="F1795" t="s">
        <v>19</v>
      </c>
      <c r="H1795" s="23" t="e">
        <f>VLOOKUP(A1795,Revisión!$A$2:$L$703,6,FALSE)</f>
        <v>#N/A</v>
      </c>
      <c r="I1795" s="4" t="e">
        <f>VLOOKUP(A1795,Revisión!$A$2:$L$703,7,FALSE)</f>
        <v>#N/A</v>
      </c>
      <c r="J1795" s="4" t="e">
        <f>VLOOKUP(A1795,Revisión!$A$2:$L$703,8,FALSE)</f>
        <v>#N/A</v>
      </c>
      <c r="K1795" s="4" t="e">
        <f>VLOOKUP(A1795,Revisión!$A$2:$L$703,9,FALSE)</f>
        <v>#N/A</v>
      </c>
      <c r="L1795" s="4" t="e">
        <f>VLOOKUP(A1795,Revisión!$A$2:$L$703,10,FALSE)</f>
        <v>#N/A</v>
      </c>
      <c r="M1795" s="18" t="e">
        <f>VLOOKUP(A1795,Revisión!$A$2:$L$703,11,FALSE)</f>
        <v>#N/A</v>
      </c>
      <c r="N1795" s="30" t="str">
        <f>IF(E1795="Coinciden",D1795,IF(E1795="Revisar",VLOOKUP(A1795,Revisión!$A$2:$L$703,12,FALSE),""))</f>
        <v>Rapistrum rugosum</v>
      </c>
    </row>
    <row r="1796" spans="1:14" x14ac:dyDescent="0.3">
      <c r="A1796" t="s">
        <v>3697</v>
      </c>
      <c r="B1796" t="s">
        <v>3698</v>
      </c>
      <c r="C1796" t="s">
        <v>3698</v>
      </c>
      <c r="D1796" t="s">
        <v>3698</v>
      </c>
      <c r="E1796" t="s">
        <v>18</v>
      </c>
      <c r="F1796" t="s">
        <v>19</v>
      </c>
      <c r="H1796" s="23" t="e">
        <f>VLOOKUP(A1796,Revisión!$A$2:$L$703,6,FALSE)</f>
        <v>#N/A</v>
      </c>
      <c r="I1796" s="4" t="e">
        <f>VLOOKUP(A1796,Revisión!$A$2:$L$703,7,FALSE)</f>
        <v>#N/A</v>
      </c>
      <c r="J1796" s="4" t="e">
        <f>VLOOKUP(A1796,Revisión!$A$2:$L$703,8,FALSE)</f>
        <v>#N/A</v>
      </c>
      <c r="K1796" s="4" t="e">
        <f>VLOOKUP(A1796,Revisión!$A$2:$L$703,9,FALSE)</f>
        <v>#N/A</v>
      </c>
      <c r="L1796" s="4" t="e">
        <f>VLOOKUP(A1796,Revisión!$A$2:$L$703,10,FALSE)</f>
        <v>#N/A</v>
      </c>
      <c r="M1796" s="18" t="e">
        <f>VLOOKUP(A1796,Revisión!$A$2:$L$703,11,FALSE)</f>
        <v>#N/A</v>
      </c>
      <c r="N1796" s="30" t="str">
        <f>IF(E1796="Coinciden",D1796,IF(E1796="Revisar",VLOOKUP(A1796,Revisión!$A$2:$L$703,12,FALSE),""))</f>
        <v>Reichardia picroides</v>
      </c>
    </row>
    <row r="1797" spans="1:14" x14ac:dyDescent="0.3">
      <c r="A1797" t="s">
        <v>3699</v>
      </c>
      <c r="B1797" t="s">
        <v>3700</v>
      </c>
      <c r="C1797" t="s">
        <v>3700</v>
      </c>
      <c r="D1797" t="s">
        <v>3700</v>
      </c>
      <c r="E1797" t="s">
        <v>18</v>
      </c>
      <c r="F1797" t="s">
        <v>19</v>
      </c>
      <c r="H1797" s="23" t="e">
        <f>VLOOKUP(A1797,Revisión!$A$2:$L$703,6,FALSE)</f>
        <v>#N/A</v>
      </c>
      <c r="I1797" s="4" t="e">
        <f>VLOOKUP(A1797,Revisión!$A$2:$L$703,7,FALSE)</f>
        <v>#N/A</v>
      </c>
      <c r="J1797" s="4" t="e">
        <f>VLOOKUP(A1797,Revisión!$A$2:$L$703,8,FALSE)</f>
        <v>#N/A</v>
      </c>
      <c r="K1797" s="4" t="e">
        <f>VLOOKUP(A1797,Revisión!$A$2:$L$703,9,FALSE)</f>
        <v>#N/A</v>
      </c>
      <c r="L1797" s="4" t="e">
        <f>VLOOKUP(A1797,Revisión!$A$2:$L$703,10,FALSE)</f>
        <v>#N/A</v>
      </c>
      <c r="M1797" s="18" t="e">
        <f>VLOOKUP(A1797,Revisión!$A$2:$L$703,11,FALSE)</f>
        <v>#N/A</v>
      </c>
      <c r="N1797" s="30" t="str">
        <f>IF(E1797="Coinciden",D1797,IF(E1797="Revisar",VLOOKUP(A1797,Revisión!$A$2:$L$703,12,FALSE),""))</f>
        <v>Remijia densiflora</v>
      </c>
    </row>
    <row r="1798" spans="1:14" x14ac:dyDescent="0.3">
      <c r="A1798" t="s">
        <v>3701</v>
      </c>
      <c r="B1798" t="s">
        <v>3702</v>
      </c>
      <c r="C1798" t="s">
        <v>3702</v>
      </c>
      <c r="D1798" t="s">
        <v>3702</v>
      </c>
      <c r="E1798" t="s">
        <v>18</v>
      </c>
      <c r="F1798" t="s">
        <v>19</v>
      </c>
      <c r="H1798" s="23" t="e">
        <f>VLOOKUP(A1798,Revisión!$A$2:$L$703,6,FALSE)</f>
        <v>#N/A</v>
      </c>
      <c r="I1798" s="4" t="e">
        <f>VLOOKUP(A1798,Revisión!$A$2:$L$703,7,FALSE)</f>
        <v>#N/A</v>
      </c>
      <c r="J1798" s="4" t="e">
        <f>VLOOKUP(A1798,Revisión!$A$2:$L$703,8,FALSE)</f>
        <v>#N/A</v>
      </c>
      <c r="K1798" s="4" t="e">
        <f>VLOOKUP(A1798,Revisión!$A$2:$L$703,9,FALSE)</f>
        <v>#N/A</v>
      </c>
      <c r="L1798" s="4" t="e">
        <f>VLOOKUP(A1798,Revisión!$A$2:$L$703,10,FALSE)</f>
        <v>#N/A</v>
      </c>
      <c r="M1798" s="18" t="e">
        <f>VLOOKUP(A1798,Revisión!$A$2:$L$703,11,FALSE)</f>
        <v>#N/A</v>
      </c>
      <c r="N1798" s="30" t="str">
        <f>IF(E1798="Coinciden",D1798,IF(E1798="Revisar",VLOOKUP(A1798,Revisión!$A$2:$L$703,12,FALSE),""))</f>
        <v>Reseda luteola</v>
      </c>
    </row>
    <row r="1799" spans="1:14" x14ac:dyDescent="0.3">
      <c r="A1799" t="s">
        <v>3703</v>
      </c>
      <c r="B1799" t="s">
        <v>3704</v>
      </c>
      <c r="C1799" t="s">
        <v>3704</v>
      </c>
      <c r="D1799" t="s">
        <v>3704</v>
      </c>
      <c r="E1799" t="s">
        <v>18</v>
      </c>
      <c r="F1799" t="s">
        <v>19</v>
      </c>
      <c r="H1799" s="23" t="e">
        <f>VLOOKUP(A1799,Revisión!$A$2:$L$703,6,FALSE)</f>
        <v>#N/A</v>
      </c>
      <c r="I1799" s="4" t="e">
        <f>VLOOKUP(A1799,Revisión!$A$2:$L$703,7,FALSE)</f>
        <v>#N/A</v>
      </c>
      <c r="J1799" s="4" t="e">
        <f>VLOOKUP(A1799,Revisión!$A$2:$L$703,8,FALSE)</f>
        <v>#N/A</v>
      </c>
      <c r="K1799" s="4" t="e">
        <f>VLOOKUP(A1799,Revisión!$A$2:$L$703,9,FALSE)</f>
        <v>#N/A</v>
      </c>
      <c r="L1799" s="4" t="e">
        <f>VLOOKUP(A1799,Revisión!$A$2:$L$703,10,FALSE)</f>
        <v>#N/A</v>
      </c>
      <c r="M1799" s="18" t="e">
        <f>VLOOKUP(A1799,Revisión!$A$2:$L$703,11,FALSE)</f>
        <v>#N/A</v>
      </c>
      <c r="N1799" s="30" t="str">
        <f>IF(E1799="Coinciden",D1799,IF(E1799="Revisar",VLOOKUP(A1799,Revisión!$A$2:$L$703,12,FALSE),""))</f>
        <v>Reseda alba</v>
      </c>
    </row>
    <row r="1800" spans="1:14" x14ac:dyDescent="0.3">
      <c r="A1800" t="s">
        <v>3705</v>
      </c>
      <c r="B1800" t="s">
        <v>3466</v>
      </c>
      <c r="C1800" t="s">
        <v>3466</v>
      </c>
      <c r="D1800" t="s">
        <v>3466</v>
      </c>
      <c r="E1800" t="s">
        <v>18</v>
      </c>
      <c r="F1800" t="s">
        <v>19</v>
      </c>
      <c r="H1800" s="23" t="e">
        <f>VLOOKUP(A1800,Revisión!$A$2:$L$703,6,FALSE)</f>
        <v>#N/A</v>
      </c>
      <c r="I1800" s="4" t="e">
        <f>VLOOKUP(A1800,Revisión!$A$2:$L$703,7,FALSE)</f>
        <v>#N/A</v>
      </c>
      <c r="J1800" s="4" t="e">
        <f>VLOOKUP(A1800,Revisión!$A$2:$L$703,8,FALSE)</f>
        <v>#N/A</v>
      </c>
      <c r="K1800" s="4" t="e">
        <f>VLOOKUP(A1800,Revisión!$A$2:$L$703,9,FALSE)</f>
        <v>#N/A</v>
      </c>
      <c r="L1800" s="4" t="e">
        <f>VLOOKUP(A1800,Revisión!$A$2:$L$703,10,FALSE)</f>
        <v>#N/A</v>
      </c>
      <c r="M1800" s="18" t="e">
        <f>VLOOKUP(A1800,Revisión!$A$2:$L$703,11,FALSE)</f>
        <v>#N/A</v>
      </c>
      <c r="N1800" s="30" t="str">
        <f>IF(E1800="Coinciden",D1800,IF(E1800="Revisar",VLOOKUP(A1800,Revisión!$A$2:$L$703,12,FALSE),""))</f>
        <v>Reynoutria japonica</v>
      </c>
    </row>
    <row r="1801" spans="1:14" x14ac:dyDescent="0.3">
      <c r="A1801" t="s">
        <v>3706</v>
      </c>
      <c r="B1801" t="s">
        <v>3707</v>
      </c>
      <c r="C1801" t="s">
        <v>3707</v>
      </c>
      <c r="D1801" t="s">
        <v>3707</v>
      </c>
      <c r="E1801" t="s">
        <v>18</v>
      </c>
      <c r="F1801" t="s">
        <v>19</v>
      </c>
      <c r="H1801" s="23" t="e">
        <f>VLOOKUP(A1801,Revisión!$A$2:$L$703,6,FALSE)</f>
        <v>#N/A</v>
      </c>
      <c r="I1801" s="4" t="e">
        <f>VLOOKUP(A1801,Revisión!$A$2:$L$703,7,FALSE)</f>
        <v>#N/A</v>
      </c>
      <c r="J1801" s="4" t="e">
        <f>VLOOKUP(A1801,Revisión!$A$2:$L$703,8,FALSE)</f>
        <v>#N/A</v>
      </c>
      <c r="K1801" s="4" t="e">
        <f>VLOOKUP(A1801,Revisión!$A$2:$L$703,9,FALSE)</f>
        <v>#N/A</v>
      </c>
      <c r="L1801" s="4" t="e">
        <f>VLOOKUP(A1801,Revisión!$A$2:$L$703,10,FALSE)</f>
        <v>#N/A</v>
      </c>
      <c r="M1801" s="18" t="e">
        <f>VLOOKUP(A1801,Revisión!$A$2:$L$703,11,FALSE)</f>
        <v>#N/A</v>
      </c>
      <c r="N1801" s="30" t="str">
        <f>IF(E1801="Coinciden",D1801,IF(E1801="Revisar",VLOOKUP(A1801,Revisión!$A$2:$L$703,12,FALSE),""))</f>
        <v>Rhabdadenia biflora</v>
      </c>
    </row>
    <row r="1802" spans="1:14" x14ac:dyDescent="0.3">
      <c r="A1802" t="s">
        <v>3708</v>
      </c>
      <c r="B1802" t="s">
        <v>3709</v>
      </c>
      <c r="C1802" t="s">
        <v>3709</v>
      </c>
      <c r="D1802" t="s">
        <v>3709</v>
      </c>
      <c r="E1802" t="s">
        <v>18</v>
      </c>
      <c r="F1802" t="s">
        <v>19</v>
      </c>
      <c r="H1802" s="23" t="e">
        <f>VLOOKUP(A1802,Revisión!$A$2:$L$703,6,FALSE)</f>
        <v>#N/A</v>
      </c>
      <c r="I1802" s="4" t="e">
        <f>VLOOKUP(A1802,Revisión!$A$2:$L$703,7,FALSE)</f>
        <v>#N/A</v>
      </c>
      <c r="J1802" s="4" t="e">
        <f>VLOOKUP(A1802,Revisión!$A$2:$L$703,8,FALSE)</f>
        <v>#N/A</v>
      </c>
      <c r="K1802" s="4" t="e">
        <f>VLOOKUP(A1802,Revisión!$A$2:$L$703,9,FALSE)</f>
        <v>#N/A</v>
      </c>
      <c r="L1802" s="4" t="e">
        <f>VLOOKUP(A1802,Revisión!$A$2:$L$703,10,FALSE)</f>
        <v>#N/A</v>
      </c>
      <c r="M1802" s="18" t="e">
        <f>VLOOKUP(A1802,Revisión!$A$2:$L$703,11,FALSE)</f>
        <v>#N/A</v>
      </c>
      <c r="N1802" s="30" t="str">
        <f>IF(E1802="Coinciden",D1802,IF(E1802="Revisar",VLOOKUP(A1802,Revisión!$A$2:$L$703,12,FALSE),""))</f>
        <v>Rhamnella franguloides</v>
      </c>
    </row>
    <row r="1803" spans="1:14" x14ac:dyDescent="0.3">
      <c r="A1803" t="s">
        <v>3710</v>
      </c>
      <c r="B1803" t="s">
        <v>3711</v>
      </c>
      <c r="C1803" t="s">
        <v>3712</v>
      </c>
      <c r="D1803" t="s">
        <v>3712</v>
      </c>
      <c r="E1803" t="s">
        <v>8</v>
      </c>
      <c r="F1803" t="s">
        <v>23</v>
      </c>
      <c r="H1803" s="23" t="str">
        <f>VLOOKUP(A1803,Revisión!$A$2:$L$703,6,FALSE)</f>
        <v>Endotropis lanceolata subsp. lanceolata</v>
      </c>
      <c r="I1803" s="4" t="str">
        <f>VLOOKUP(A1803,Revisión!$A$2:$L$703,7,FALSE)</f>
        <v>-</v>
      </c>
      <c r="J1803" s="4" t="str">
        <f>VLOOKUP(A1803,Revisión!$A$2:$L$703,8,FALSE)</f>
        <v>Rhamnus lanceolata</v>
      </c>
      <c r="K1803" s="4" t="str">
        <f>VLOOKUP(A1803,Revisión!$A$2:$L$703,9,FALSE)</f>
        <v>Endotropis lanceolata subsp. lanceolata</v>
      </c>
      <c r="L1803" s="4" t="str">
        <f>VLOOKUP(A1803,Revisión!$A$2:$L$703,10,FALSE)</f>
        <v>Endotropis lanceolata subsp. lanceolata</v>
      </c>
      <c r="M1803" s="18">
        <f>VLOOKUP(A1803,Revisión!$A$2:$L$703,11,FALSE)</f>
        <v>4</v>
      </c>
      <c r="N1803" s="30" t="str">
        <f>IF(E1803="Coinciden",D1803,IF(E1803="Revisar",VLOOKUP(A1803,Revisión!$A$2:$L$703,12,FALSE),""))</f>
        <v>Endotropis lanceolata subsp. lanceolata</v>
      </c>
    </row>
    <row r="1804" spans="1:14" x14ac:dyDescent="0.3">
      <c r="A1804" t="s">
        <v>3713</v>
      </c>
      <c r="B1804" t="s">
        <v>3714</v>
      </c>
      <c r="C1804" t="s">
        <v>3714</v>
      </c>
      <c r="D1804" t="s">
        <v>3714</v>
      </c>
      <c r="E1804" t="s">
        <v>18</v>
      </c>
      <c r="F1804" t="s">
        <v>19</v>
      </c>
      <c r="H1804" s="23" t="e">
        <f>VLOOKUP(A1804,Revisión!$A$2:$L$703,6,FALSE)</f>
        <v>#N/A</v>
      </c>
      <c r="I1804" s="4" t="e">
        <f>VLOOKUP(A1804,Revisión!$A$2:$L$703,7,FALSE)</f>
        <v>#N/A</v>
      </c>
      <c r="J1804" s="4" t="e">
        <f>VLOOKUP(A1804,Revisión!$A$2:$L$703,8,FALSE)</f>
        <v>#N/A</v>
      </c>
      <c r="K1804" s="4" t="e">
        <f>VLOOKUP(A1804,Revisión!$A$2:$L$703,9,FALSE)</f>
        <v>#N/A</v>
      </c>
      <c r="L1804" s="4" t="e">
        <f>VLOOKUP(A1804,Revisión!$A$2:$L$703,10,FALSE)</f>
        <v>#N/A</v>
      </c>
      <c r="M1804" s="18" t="e">
        <f>VLOOKUP(A1804,Revisión!$A$2:$L$703,11,FALSE)</f>
        <v>#N/A</v>
      </c>
      <c r="N1804" s="30" t="str">
        <f>IF(E1804="Coinciden",D1804,IF(E1804="Revisar",VLOOKUP(A1804,Revisión!$A$2:$L$703,12,FALSE),""))</f>
        <v>Rhamnus glandulosa</v>
      </c>
    </row>
    <row r="1805" spans="1:14" x14ac:dyDescent="0.3">
      <c r="A1805" t="s">
        <v>3715</v>
      </c>
      <c r="B1805" t="s">
        <v>3716</v>
      </c>
      <c r="C1805" t="s">
        <v>3716</v>
      </c>
      <c r="D1805" t="s">
        <v>3716</v>
      </c>
      <c r="E1805" t="s">
        <v>18</v>
      </c>
      <c r="F1805" t="s">
        <v>19</v>
      </c>
      <c r="H1805" s="23" t="e">
        <f>VLOOKUP(A1805,Revisión!$A$2:$L$703,6,FALSE)</f>
        <v>#N/A</v>
      </c>
      <c r="I1805" s="4" t="e">
        <f>VLOOKUP(A1805,Revisión!$A$2:$L$703,7,FALSE)</f>
        <v>#N/A</v>
      </c>
      <c r="J1805" s="4" t="e">
        <f>VLOOKUP(A1805,Revisión!$A$2:$L$703,8,FALSE)</f>
        <v>#N/A</v>
      </c>
      <c r="K1805" s="4" t="e">
        <f>VLOOKUP(A1805,Revisión!$A$2:$L$703,9,FALSE)</f>
        <v>#N/A</v>
      </c>
      <c r="L1805" s="4" t="e">
        <f>VLOOKUP(A1805,Revisión!$A$2:$L$703,10,FALSE)</f>
        <v>#N/A</v>
      </c>
      <c r="M1805" s="18" t="e">
        <f>VLOOKUP(A1805,Revisión!$A$2:$L$703,11,FALSE)</f>
        <v>#N/A</v>
      </c>
      <c r="N1805" s="30" t="str">
        <f>IF(E1805="Coinciden",D1805,IF(E1805="Revisar",VLOOKUP(A1805,Revisión!$A$2:$L$703,12,FALSE),""))</f>
        <v>Rhaphiolepis indica</v>
      </c>
    </row>
    <row r="1806" spans="1:14" x14ac:dyDescent="0.3">
      <c r="A1806" t="s">
        <v>3717</v>
      </c>
      <c r="B1806" t="s">
        <v>3718</v>
      </c>
      <c r="C1806" t="s">
        <v>3718</v>
      </c>
      <c r="D1806" t="s">
        <v>3718</v>
      </c>
      <c r="E1806" t="s">
        <v>18</v>
      </c>
      <c r="F1806" t="s">
        <v>19</v>
      </c>
      <c r="H1806" s="23" t="e">
        <f>VLOOKUP(A1806,Revisión!$A$2:$L$703,6,FALSE)</f>
        <v>#N/A</v>
      </c>
      <c r="I1806" s="4" t="e">
        <f>VLOOKUP(A1806,Revisión!$A$2:$L$703,7,FALSE)</f>
        <v>#N/A</v>
      </c>
      <c r="J1806" s="4" t="e">
        <f>VLOOKUP(A1806,Revisión!$A$2:$L$703,8,FALSE)</f>
        <v>#N/A</v>
      </c>
      <c r="K1806" s="4" t="e">
        <f>VLOOKUP(A1806,Revisión!$A$2:$L$703,9,FALSE)</f>
        <v>#N/A</v>
      </c>
      <c r="L1806" s="4" t="e">
        <f>VLOOKUP(A1806,Revisión!$A$2:$L$703,10,FALSE)</f>
        <v>#N/A</v>
      </c>
      <c r="M1806" s="18" t="e">
        <f>VLOOKUP(A1806,Revisión!$A$2:$L$703,11,FALSE)</f>
        <v>#N/A</v>
      </c>
      <c r="N1806" s="30" t="str">
        <f>IF(E1806="Coinciden",D1806,IF(E1806="Revisar",VLOOKUP(A1806,Revisión!$A$2:$L$703,12,FALSE),""))</f>
        <v>Rhaphithamnus spinosus</v>
      </c>
    </row>
    <row r="1807" spans="1:14" x14ac:dyDescent="0.3">
      <c r="A1807" t="s">
        <v>3719</v>
      </c>
      <c r="B1807" t="s">
        <v>3720</v>
      </c>
      <c r="C1807" t="s">
        <v>3720</v>
      </c>
      <c r="D1807" t="s">
        <v>3720</v>
      </c>
      <c r="E1807" t="s">
        <v>18</v>
      </c>
      <c r="F1807" t="s">
        <v>19</v>
      </c>
      <c r="H1807" s="23" t="e">
        <f>VLOOKUP(A1807,Revisión!$A$2:$L$703,6,FALSE)</f>
        <v>#N/A</v>
      </c>
      <c r="I1807" s="4" t="e">
        <f>VLOOKUP(A1807,Revisión!$A$2:$L$703,7,FALSE)</f>
        <v>#N/A</v>
      </c>
      <c r="J1807" s="4" t="e">
        <f>VLOOKUP(A1807,Revisión!$A$2:$L$703,8,FALSE)</f>
        <v>#N/A</v>
      </c>
      <c r="K1807" s="4" t="e">
        <f>VLOOKUP(A1807,Revisión!$A$2:$L$703,9,FALSE)</f>
        <v>#N/A</v>
      </c>
      <c r="L1807" s="4" t="e">
        <f>VLOOKUP(A1807,Revisión!$A$2:$L$703,10,FALSE)</f>
        <v>#N/A</v>
      </c>
      <c r="M1807" s="18" t="e">
        <f>VLOOKUP(A1807,Revisión!$A$2:$L$703,11,FALSE)</f>
        <v>#N/A</v>
      </c>
      <c r="N1807" s="30" t="str">
        <f>IF(E1807="Coinciden",D1807,IF(E1807="Revisar",VLOOKUP(A1807,Revisión!$A$2:$L$703,12,FALSE),""))</f>
        <v>Rhodiola rosea</v>
      </c>
    </row>
    <row r="1808" spans="1:14" x14ac:dyDescent="0.3">
      <c r="A1808" t="s">
        <v>3721</v>
      </c>
      <c r="C1808" t="s">
        <v>3722</v>
      </c>
      <c r="D1808" t="s">
        <v>3723</v>
      </c>
      <c r="E1808" t="s">
        <v>8</v>
      </c>
      <c r="F1808" t="s">
        <v>9</v>
      </c>
      <c r="H1808" s="23" t="str">
        <f>VLOOKUP(A1808,Revisión!$A$2:$L$703,6,FALSE)</f>
        <v>Rhododendron kiusianum</v>
      </c>
      <c r="I1808" s="4" t="str">
        <f>VLOOKUP(A1808,Revisión!$A$2:$L$703,7,FALSE)</f>
        <v>-</v>
      </c>
      <c r="J1808" s="4" t="str">
        <f>VLOOKUP(A1808,Revisión!$A$2:$L$703,8,FALSE)</f>
        <v>Rhododendron kiusianum</v>
      </c>
      <c r="K1808" s="4" t="str">
        <f>VLOOKUP(A1808,Revisión!$A$2:$L$703,9,FALSE)</f>
        <v>Rhododendron kiusianum</v>
      </c>
      <c r="L1808" s="4" t="str">
        <f>VLOOKUP(A1808,Revisión!$A$2:$L$703,10,FALSE)</f>
        <v>Rhododendron kiusianum</v>
      </c>
      <c r="M1808" s="18">
        <f>VLOOKUP(A1808,Revisión!$A$2:$L$703,11,FALSE)</f>
        <v>5</v>
      </c>
      <c r="N1808" s="30" t="str">
        <f>IF(E1808="Coinciden",D1808,IF(E1808="Revisar",VLOOKUP(A1808,Revisión!$A$2:$L$703,12,FALSE),""))</f>
        <v>Rhododendron kiusianum</v>
      </c>
    </row>
    <row r="1809" spans="1:14" x14ac:dyDescent="0.3">
      <c r="A1809" t="s">
        <v>3724</v>
      </c>
      <c r="B1809" t="s">
        <v>3725</v>
      </c>
      <c r="C1809" t="s">
        <v>3725</v>
      </c>
      <c r="D1809" t="s">
        <v>3725</v>
      </c>
      <c r="E1809" t="s">
        <v>18</v>
      </c>
      <c r="F1809" t="s">
        <v>19</v>
      </c>
      <c r="H1809" s="23" t="e">
        <f>VLOOKUP(A1809,Revisión!$A$2:$L$703,6,FALSE)</f>
        <v>#N/A</v>
      </c>
      <c r="I1809" s="4" t="e">
        <f>VLOOKUP(A1809,Revisión!$A$2:$L$703,7,FALSE)</f>
        <v>#N/A</v>
      </c>
      <c r="J1809" s="4" t="e">
        <f>VLOOKUP(A1809,Revisión!$A$2:$L$703,8,FALSE)</f>
        <v>#N/A</v>
      </c>
      <c r="K1809" s="4" t="e">
        <f>VLOOKUP(A1809,Revisión!$A$2:$L$703,9,FALSE)</f>
        <v>#N/A</v>
      </c>
      <c r="L1809" s="4" t="e">
        <f>VLOOKUP(A1809,Revisión!$A$2:$L$703,10,FALSE)</f>
        <v>#N/A</v>
      </c>
      <c r="M1809" s="18" t="e">
        <f>VLOOKUP(A1809,Revisión!$A$2:$L$703,11,FALSE)</f>
        <v>#N/A</v>
      </c>
      <c r="N1809" s="30" t="str">
        <f>IF(E1809="Coinciden",D1809,IF(E1809="Revisar",VLOOKUP(A1809,Revisión!$A$2:$L$703,12,FALSE),""))</f>
        <v>Rhododendron stenopetalum</v>
      </c>
    </row>
    <row r="1810" spans="1:14" x14ac:dyDescent="0.3">
      <c r="A1810" t="s">
        <v>3726</v>
      </c>
      <c r="B1810" t="s">
        <v>3727</v>
      </c>
      <c r="C1810" t="s">
        <v>3727</v>
      </c>
      <c r="D1810" t="s">
        <v>3727</v>
      </c>
      <c r="E1810" t="s">
        <v>18</v>
      </c>
      <c r="F1810" t="s">
        <v>19</v>
      </c>
      <c r="H1810" s="23" t="e">
        <f>VLOOKUP(A1810,Revisión!$A$2:$L$703,6,FALSE)</f>
        <v>#N/A</v>
      </c>
      <c r="I1810" s="4" t="e">
        <f>VLOOKUP(A1810,Revisión!$A$2:$L$703,7,FALSE)</f>
        <v>#N/A</v>
      </c>
      <c r="J1810" s="4" t="e">
        <f>VLOOKUP(A1810,Revisión!$A$2:$L$703,8,FALSE)</f>
        <v>#N/A</v>
      </c>
      <c r="K1810" s="4" t="e">
        <f>VLOOKUP(A1810,Revisión!$A$2:$L$703,9,FALSE)</f>
        <v>#N/A</v>
      </c>
      <c r="L1810" s="4" t="e">
        <f>VLOOKUP(A1810,Revisión!$A$2:$L$703,10,FALSE)</f>
        <v>#N/A</v>
      </c>
      <c r="M1810" s="18" t="e">
        <f>VLOOKUP(A1810,Revisión!$A$2:$L$703,11,FALSE)</f>
        <v>#N/A</v>
      </c>
      <c r="N1810" s="30" t="str">
        <f>IF(E1810="Coinciden",D1810,IF(E1810="Revisar",VLOOKUP(A1810,Revisión!$A$2:$L$703,12,FALSE),""))</f>
        <v>Rhododendron lapponicum</v>
      </c>
    </row>
    <row r="1811" spans="1:14" x14ac:dyDescent="0.3">
      <c r="A1811" t="s">
        <v>3728</v>
      </c>
      <c r="B1811" t="s">
        <v>3729</v>
      </c>
      <c r="C1811" t="s">
        <v>3729</v>
      </c>
      <c r="D1811" t="s">
        <v>3729</v>
      </c>
      <c r="E1811" t="s">
        <v>18</v>
      </c>
      <c r="F1811" t="s">
        <v>19</v>
      </c>
      <c r="H1811" s="23" t="e">
        <f>VLOOKUP(A1811,Revisión!$A$2:$L$703,6,FALSE)</f>
        <v>#N/A</v>
      </c>
      <c r="I1811" s="4" t="e">
        <f>VLOOKUP(A1811,Revisión!$A$2:$L$703,7,FALSE)</f>
        <v>#N/A</v>
      </c>
      <c r="J1811" s="4" t="e">
        <f>VLOOKUP(A1811,Revisión!$A$2:$L$703,8,FALSE)</f>
        <v>#N/A</v>
      </c>
      <c r="K1811" s="4" t="e">
        <f>VLOOKUP(A1811,Revisión!$A$2:$L$703,9,FALSE)</f>
        <v>#N/A</v>
      </c>
      <c r="L1811" s="4" t="e">
        <f>VLOOKUP(A1811,Revisión!$A$2:$L$703,10,FALSE)</f>
        <v>#N/A</v>
      </c>
      <c r="M1811" s="18" t="e">
        <f>VLOOKUP(A1811,Revisión!$A$2:$L$703,11,FALSE)</f>
        <v>#N/A</v>
      </c>
      <c r="N1811" s="30" t="str">
        <f>IF(E1811="Coinciden",D1811,IF(E1811="Revisar",VLOOKUP(A1811,Revisión!$A$2:$L$703,12,FALSE),""))</f>
        <v>Rhododendron mucronatum</v>
      </c>
    </row>
    <row r="1812" spans="1:14" x14ac:dyDescent="0.3">
      <c r="A1812" t="s">
        <v>3730</v>
      </c>
      <c r="B1812" t="s">
        <v>3731</v>
      </c>
      <c r="C1812" t="s">
        <v>3731</v>
      </c>
      <c r="D1812" t="s">
        <v>3731</v>
      </c>
      <c r="E1812" t="s">
        <v>18</v>
      </c>
      <c r="F1812" t="s">
        <v>19</v>
      </c>
      <c r="H1812" s="23" t="e">
        <f>VLOOKUP(A1812,Revisión!$A$2:$L$703,6,FALSE)</f>
        <v>#N/A</v>
      </c>
      <c r="I1812" s="4" t="e">
        <f>VLOOKUP(A1812,Revisión!$A$2:$L$703,7,FALSE)</f>
        <v>#N/A</v>
      </c>
      <c r="J1812" s="4" t="e">
        <f>VLOOKUP(A1812,Revisión!$A$2:$L$703,8,FALSE)</f>
        <v>#N/A</v>
      </c>
      <c r="K1812" s="4" t="e">
        <f>VLOOKUP(A1812,Revisión!$A$2:$L$703,9,FALSE)</f>
        <v>#N/A</v>
      </c>
      <c r="L1812" s="4" t="e">
        <f>VLOOKUP(A1812,Revisión!$A$2:$L$703,10,FALSE)</f>
        <v>#N/A</v>
      </c>
      <c r="M1812" s="18" t="e">
        <f>VLOOKUP(A1812,Revisión!$A$2:$L$703,11,FALSE)</f>
        <v>#N/A</v>
      </c>
      <c r="N1812" s="30" t="str">
        <f>IF(E1812="Coinciden",D1812,IF(E1812="Revisar",VLOOKUP(A1812,Revisión!$A$2:$L$703,12,FALSE),""))</f>
        <v>Rhododendron kaempferi</v>
      </c>
    </row>
    <row r="1813" spans="1:14" x14ac:dyDescent="0.3">
      <c r="A1813" t="s">
        <v>3732</v>
      </c>
      <c r="B1813" t="s">
        <v>3733</v>
      </c>
      <c r="C1813" t="s">
        <v>3733</v>
      </c>
      <c r="D1813" t="s">
        <v>3733</v>
      </c>
      <c r="E1813" t="s">
        <v>18</v>
      </c>
      <c r="F1813" t="s">
        <v>19</v>
      </c>
      <c r="H1813" s="23" t="e">
        <f>VLOOKUP(A1813,Revisión!$A$2:$L$703,6,FALSE)</f>
        <v>#N/A</v>
      </c>
      <c r="I1813" s="4" t="e">
        <f>VLOOKUP(A1813,Revisión!$A$2:$L$703,7,FALSE)</f>
        <v>#N/A</v>
      </c>
      <c r="J1813" s="4" t="e">
        <f>VLOOKUP(A1813,Revisión!$A$2:$L$703,8,FALSE)</f>
        <v>#N/A</v>
      </c>
      <c r="K1813" s="4" t="e">
        <f>VLOOKUP(A1813,Revisión!$A$2:$L$703,9,FALSE)</f>
        <v>#N/A</v>
      </c>
      <c r="L1813" s="4" t="e">
        <f>VLOOKUP(A1813,Revisión!$A$2:$L$703,10,FALSE)</f>
        <v>#N/A</v>
      </c>
      <c r="M1813" s="18" t="e">
        <f>VLOOKUP(A1813,Revisión!$A$2:$L$703,11,FALSE)</f>
        <v>#N/A</v>
      </c>
      <c r="N1813" s="30" t="str">
        <f>IF(E1813="Coinciden",D1813,IF(E1813="Revisar",VLOOKUP(A1813,Revisión!$A$2:$L$703,12,FALSE),""))</f>
        <v>Rhododendron reticulatum</v>
      </c>
    </row>
    <row r="1814" spans="1:14" x14ac:dyDescent="0.3">
      <c r="A1814" t="s">
        <v>3734</v>
      </c>
      <c r="B1814" t="s">
        <v>3735</v>
      </c>
      <c r="C1814" t="s">
        <v>3735</v>
      </c>
      <c r="D1814" t="s">
        <v>3735</v>
      </c>
      <c r="E1814" t="s">
        <v>18</v>
      </c>
      <c r="F1814" t="s">
        <v>19</v>
      </c>
      <c r="H1814" s="23" t="e">
        <f>VLOOKUP(A1814,Revisión!$A$2:$L$703,6,FALSE)</f>
        <v>#N/A</v>
      </c>
      <c r="I1814" s="4" t="e">
        <f>VLOOKUP(A1814,Revisión!$A$2:$L$703,7,FALSE)</f>
        <v>#N/A</v>
      </c>
      <c r="J1814" s="4" t="e">
        <f>VLOOKUP(A1814,Revisión!$A$2:$L$703,8,FALSE)</f>
        <v>#N/A</v>
      </c>
      <c r="K1814" s="4" t="e">
        <f>VLOOKUP(A1814,Revisión!$A$2:$L$703,9,FALSE)</f>
        <v>#N/A</v>
      </c>
      <c r="L1814" s="4" t="e">
        <f>VLOOKUP(A1814,Revisión!$A$2:$L$703,10,FALSE)</f>
        <v>#N/A</v>
      </c>
      <c r="M1814" s="18" t="e">
        <f>VLOOKUP(A1814,Revisión!$A$2:$L$703,11,FALSE)</f>
        <v>#N/A</v>
      </c>
      <c r="N1814" s="30" t="str">
        <f>IF(E1814="Coinciden",D1814,IF(E1814="Revisar",VLOOKUP(A1814,Revisión!$A$2:$L$703,12,FALSE),""))</f>
        <v>Rhododendron degronianum</v>
      </c>
    </row>
    <row r="1815" spans="1:14" x14ac:dyDescent="0.3">
      <c r="A1815" t="s">
        <v>3736</v>
      </c>
      <c r="B1815" t="s">
        <v>3737</v>
      </c>
      <c r="C1815" t="s">
        <v>3737</v>
      </c>
      <c r="D1815" t="s">
        <v>3737</v>
      </c>
      <c r="E1815" t="s">
        <v>18</v>
      </c>
      <c r="F1815" t="s">
        <v>19</v>
      </c>
      <c r="H1815" s="23" t="e">
        <f>VLOOKUP(A1815,Revisión!$A$2:$L$703,6,FALSE)</f>
        <v>#N/A</v>
      </c>
      <c r="I1815" s="4" t="e">
        <f>VLOOKUP(A1815,Revisión!$A$2:$L$703,7,FALSE)</f>
        <v>#N/A</v>
      </c>
      <c r="J1815" s="4" t="e">
        <f>VLOOKUP(A1815,Revisión!$A$2:$L$703,8,FALSE)</f>
        <v>#N/A</v>
      </c>
      <c r="K1815" s="4" t="e">
        <f>VLOOKUP(A1815,Revisión!$A$2:$L$703,9,FALSE)</f>
        <v>#N/A</v>
      </c>
      <c r="L1815" s="4" t="e">
        <f>VLOOKUP(A1815,Revisión!$A$2:$L$703,10,FALSE)</f>
        <v>#N/A</v>
      </c>
      <c r="M1815" s="18" t="e">
        <f>VLOOKUP(A1815,Revisión!$A$2:$L$703,11,FALSE)</f>
        <v>#N/A</v>
      </c>
      <c r="N1815" s="30" t="str">
        <f>IF(E1815="Coinciden",D1815,IF(E1815="Revisar",VLOOKUP(A1815,Revisión!$A$2:$L$703,12,FALSE),""))</f>
        <v>Rhododendron tashiroi</v>
      </c>
    </row>
    <row r="1816" spans="1:14" x14ac:dyDescent="0.3">
      <c r="A1816" t="s">
        <v>3738</v>
      </c>
      <c r="C1816" t="s">
        <v>3739</v>
      </c>
      <c r="D1816" t="s">
        <v>3740</v>
      </c>
      <c r="E1816" t="s">
        <v>8</v>
      </c>
      <c r="F1816" t="s">
        <v>9</v>
      </c>
      <c r="H1816" s="23" t="str">
        <f>VLOOKUP(A1816,Revisión!$A$2:$L$703,6,FALSE)</f>
        <v>Rhododendron × pulchrum</v>
      </c>
      <c r="I1816" s="4" t="str">
        <f>VLOOKUP(A1816,Revisión!$A$2:$L$703,7,FALSE)</f>
        <v>-</v>
      </c>
      <c r="J1816" s="4" t="str">
        <f>VLOOKUP(A1816,Revisión!$A$2:$L$703,8,FALSE)</f>
        <v>Rhododendron × pulchrum</v>
      </c>
      <c r="K1816" s="4" t="str">
        <f>VLOOKUP(A1816,Revisión!$A$2:$L$703,9,FALSE)</f>
        <v>Rhododendron × pulchrum</v>
      </c>
      <c r="L1816" s="4" t="str">
        <f>VLOOKUP(A1816,Revisión!$A$2:$L$703,10,FALSE)</f>
        <v>-</v>
      </c>
      <c r="M1816" s="18">
        <f>VLOOKUP(A1816,Revisión!$A$2:$L$703,11,FALSE)</f>
        <v>3</v>
      </c>
      <c r="N1816" s="30" t="str">
        <f>IF(E1816="Coinciden",D1816,IF(E1816="Revisar",VLOOKUP(A1816,Revisión!$A$2:$L$703,12,FALSE),""))</f>
        <v>Rhododendron × pulchrum</v>
      </c>
    </row>
    <row r="1817" spans="1:14" x14ac:dyDescent="0.3">
      <c r="A1817" t="s">
        <v>3741</v>
      </c>
      <c r="B1817" t="s">
        <v>3742</v>
      </c>
      <c r="C1817" t="s">
        <v>3742</v>
      </c>
      <c r="D1817" t="s">
        <v>3742</v>
      </c>
      <c r="E1817" t="s">
        <v>18</v>
      </c>
      <c r="F1817" t="s">
        <v>19</v>
      </c>
      <c r="H1817" s="23" t="e">
        <f>VLOOKUP(A1817,Revisión!$A$2:$L$703,6,FALSE)</f>
        <v>#N/A</v>
      </c>
      <c r="I1817" s="4" t="e">
        <f>VLOOKUP(A1817,Revisión!$A$2:$L$703,7,FALSE)</f>
        <v>#N/A</v>
      </c>
      <c r="J1817" s="4" t="e">
        <f>VLOOKUP(A1817,Revisión!$A$2:$L$703,8,FALSE)</f>
        <v>#N/A</v>
      </c>
      <c r="K1817" s="4" t="e">
        <f>VLOOKUP(A1817,Revisión!$A$2:$L$703,9,FALSE)</f>
        <v>#N/A</v>
      </c>
      <c r="L1817" s="4" t="e">
        <f>VLOOKUP(A1817,Revisión!$A$2:$L$703,10,FALSE)</f>
        <v>#N/A</v>
      </c>
      <c r="M1817" s="18" t="e">
        <f>VLOOKUP(A1817,Revisión!$A$2:$L$703,11,FALSE)</f>
        <v>#N/A</v>
      </c>
      <c r="N1817" s="30" t="str">
        <f>IF(E1817="Coinciden",D1817,IF(E1817="Revisar",VLOOKUP(A1817,Revisión!$A$2:$L$703,12,FALSE),""))</f>
        <v>Rhododendron wadanum</v>
      </c>
    </row>
    <row r="1818" spans="1:14" x14ac:dyDescent="0.3">
      <c r="A1818" t="s">
        <v>3743</v>
      </c>
      <c r="B1818" t="s">
        <v>3744</v>
      </c>
      <c r="C1818" t="s">
        <v>3744</v>
      </c>
      <c r="D1818" t="s">
        <v>3745</v>
      </c>
      <c r="E1818" t="s">
        <v>8</v>
      </c>
      <c r="F1818" t="s">
        <v>15</v>
      </c>
      <c r="H1818" s="23" t="str">
        <f>VLOOKUP(A1818,Revisión!$A$2:$L$703,6,FALSE)</f>
        <v>Zephyranthes montana</v>
      </c>
      <c r="I1818" s="4" t="str">
        <f>VLOOKUP(A1818,Revisión!$A$2:$L$703,7,FALSE)</f>
        <v>-</v>
      </c>
      <c r="J1818" s="4" t="str">
        <f>VLOOKUP(A1818,Revisión!$A$2:$L$703,8,FALSE)</f>
        <v>Zephyranthes montana</v>
      </c>
      <c r="K1818" s="4" t="str">
        <f>VLOOKUP(A1818,Revisión!$A$2:$L$703,9,FALSE)</f>
        <v>Zephyranthes montana</v>
      </c>
      <c r="L1818" s="4" t="str">
        <f>VLOOKUP(A1818,Revisión!$A$2:$L$703,10,FALSE)</f>
        <v>Zephyranthes montana</v>
      </c>
      <c r="M1818" s="18">
        <f>VLOOKUP(A1818,Revisión!$A$2:$L$703,11,FALSE)</f>
        <v>4</v>
      </c>
      <c r="N1818" s="30" t="str">
        <f>IF(E1818="Coinciden",D1818,IF(E1818="Revisar",VLOOKUP(A1818,Revisión!$A$2:$L$703,12,FALSE),""))</f>
        <v>Zephyranthes montana</v>
      </c>
    </row>
    <row r="1819" spans="1:14" x14ac:dyDescent="0.3">
      <c r="A1819" t="s">
        <v>3746</v>
      </c>
      <c r="B1819" t="s">
        <v>3747</v>
      </c>
      <c r="C1819" t="s">
        <v>3747</v>
      </c>
      <c r="D1819" t="s">
        <v>3747</v>
      </c>
      <c r="E1819" t="s">
        <v>18</v>
      </c>
      <c r="F1819" t="s">
        <v>19</v>
      </c>
      <c r="H1819" s="23" t="e">
        <f>VLOOKUP(A1819,Revisión!$A$2:$L$703,6,FALSE)</f>
        <v>#N/A</v>
      </c>
      <c r="I1819" s="4" t="e">
        <f>VLOOKUP(A1819,Revisión!$A$2:$L$703,7,FALSE)</f>
        <v>#N/A</v>
      </c>
      <c r="J1819" s="4" t="e">
        <f>VLOOKUP(A1819,Revisión!$A$2:$L$703,8,FALSE)</f>
        <v>#N/A</v>
      </c>
      <c r="K1819" s="4" t="e">
        <f>VLOOKUP(A1819,Revisión!$A$2:$L$703,9,FALSE)</f>
        <v>#N/A</v>
      </c>
      <c r="L1819" s="4" t="e">
        <f>VLOOKUP(A1819,Revisión!$A$2:$L$703,10,FALSE)</f>
        <v>#N/A</v>
      </c>
      <c r="M1819" s="18" t="e">
        <f>VLOOKUP(A1819,Revisión!$A$2:$L$703,11,FALSE)</f>
        <v>#N/A</v>
      </c>
      <c r="N1819" s="30" t="str">
        <f>IF(E1819="Coinciden",D1819,IF(E1819="Revisar",VLOOKUP(A1819,Revisión!$A$2:$L$703,12,FALSE),""))</f>
        <v>Rhus glabra</v>
      </c>
    </row>
    <row r="1820" spans="1:14" x14ac:dyDescent="0.3">
      <c r="A1820" t="s">
        <v>3748</v>
      </c>
      <c r="B1820" t="s">
        <v>3749</v>
      </c>
      <c r="C1820" t="s">
        <v>3749</v>
      </c>
      <c r="D1820" t="s">
        <v>3749</v>
      </c>
      <c r="E1820" t="s">
        <v>18</v>
      </c>
      <c r="F1820" t="s">
        <v>19</v>
      </c>
      <c r="H1820" s="23" t="e">
        <f>VLOOKUP(A1820,Revisión!$A$2:$L$703,6,FALSE)</f>
        <v>#N/A</v>
      </c>
      <c r="I1820" s="4" t="e">
        <f>VLOOKUP(A1820,Revisión!$A$2:$L$703,7,FALSE)</f>
        <v>#N/A</v>
      </c>
      <c r="J1820" s="4" t="e">
        <f>VLOOKUP(A1820,Revisión!$A$2:$L$703,8,FALSE)</f>
        <v>#N/A</v>
      </c>
      <c r="K1820" s="4" t="e">
        <f>VLOOKUP(A1820,Revisión!$A$2:$L$703,9,FALSE)</f>
        <v>#N/A</v>
      </c>
      <c r="L1820" s="4" t="e">
        <f>VLOOKUP(A1820,Revisión!$A$2:$L$703,10,FALSE)</f>
        <v>#N/A</v>
      </c>
      <c r="M1820" s="18" t="e">
        <f>VLOOKUP(A1820,Revisión!$A$2:$L$703,11,FALSE)</f>
        <v>#N/A</v>
      </c>
      <c r="N1820" s="30" t="str">
        <f>IF(E1820="Coinciden",D1820,IF(E1820="Revisar",VLOOKUP(A1820,Revisión!$A$2:$L$703,12,FALSE),""))</f>
        <v>Brucea javanica</v>
      </c>
    </row>
    <row r="1821" spans="1:14" x14ac:dyDescent="0.3">
      <c r="A1821" t="s">
        <v>3750</v>
      </c>
      <c r="B1821" t="s">
        <v>3751</v>
      </c>
      <c r="C1821" t="s">
        <v>3751</v>
      </c>
      <c r="D1821" t="s">
        <v>3751</v>
      </c>
      <c r="E1821" t="s">
        <v>18</v>
      </c>
      <c r="F1821" t="s">
        <v>19</v>
      </c>
      <c r="H1821" s="23" t="e">
        <f>VLOOKUP(A1821,Revisión!$A$2:$L$703,6,FALSE)</f>
        <v>#N/A</v>
      </c>
      <c r="I1821" s="4" t="e">
        <f>VLOOKUP(A1821,Revisión!$A$2:$L$703,7,FALSE)</f>
        <v>#N/A</v>
      </c>
      <c r="J1821" s="4" t="e">
        <f>VLOOKUP(A1821,Revisión!$A$2:$L$703,8,FALSE)</f>
        <v>#N/A</v>
      </c>
      <c r="K1821" s="4" t="e">
        <f>VLOOKUP(A1821,Revisión!$A$2:$L$703,9,FALSE)</f>
        <v>#N/A</v>
      </c>
      <c r="L1821" s="4" t="e">
        <f>VLOOKUP(A1821,Revisión!$A$2:$L$703,10,FALSE)</f>
        <v>#N/A</v>
      </c>
      <c r="M1821" s="18" t="e">
        <f>VLOOKUP(A1821,Revisión!$A$2:$L$703,11,FALSE)</f>
        <v>#N/A</v>
      </c>
      <c r="N1821" s="30" t="str">
        <f>IF(E1821="Coinciden",D1821,IF(E1821="Revisar",VLOOKUP(A1821,Revisión!$A$2:$L$703,12,FALSE),""))</f>
        <v>Toxicodendron trichocarpum</v>
      </c>
    </row>
    <row r="1822" spans="1:14" x14ac:dyDescent="0.3">
      <c r="A1822" t="s">
        <v>3752</v>
      </c>
      <c r="B1822" t="s">
        <v>3753</v>
      </c>
      <c r="C1822" t="s">
        <v>3753</v>
      </c>
      <c r="D1822" t="s">
        <v>3754</v>
      </c>
      <c r="E1822" t="s">
        <v>8</v>
      </c>
      <c r="F1822" t="s">
        <v>15</v>
      </c>
      <c r="H1822" s="23" t="str">
        <f>VLOOKUP(A1822,Revisión!$A$2:$L$703,6,FALSE)</f>
        <v>Toxicodendron sylvestre</v>
      </c>
      <c r="I1822" s="4" t="str">
        <f>VLOOKUP(A1822,Revisión!$A$2:$L$703,7,FALSE)</f>
        <v>-</v>
      </c>
      <c r="J1822" s="4" t="str">
        <f>VLOOKUP(A1822,Revisión!$A$2:$L$703,8,FALSE)</f>
        <v>Toxicodendron sylvestre</v>
      </c>
      <c r="K1822" s="4" t="str">
        <f>VLOOKUP(A1822,Revisión!$A$2:$L$703,9,FALSE)</f>
        <v>Toxicodendron sylvestre</v>
      </c>
      <c r="L1822" s="4" t="str">
        <f>VLOOKUP(A1822,Revisión!$A$2:$L$703,10,FALSE)</f>
        <v>Toxicodendron sylvestre</v>
      </c>
      <c r="M1822" s="18">
        <f>VLOOKUP(A1822,Revisión!$A$2:$L$703,11,FALSE)</f>
        <v>5</v>
      </c>
      <c r="N1822" s="30" t="str">
        <f>IF(E1822="Coinciden",D1822,IF(E1822="Revisar",VLOOKUP(A1822,Revisión!$A$2:$L$703,12,FALSE),""))</f>
        <v>Toxicodendron sylvestre</v>
      </c>
    </row>
    <row r="1823" spans="1:14" x14ac:dyDescent="0.3">
      <c r="A1823" t="s">
        <v>3755</v>
      </c>
      <c r="D1823" t="s">
        <v>3756</v>
      </c>
      <c r="E1823" t="s">
        <v>8</v>
      </c>
      <c r="F1823" t="s">
        <v>9</v>
      </c>
      <c r="H1823" s="23" t="str">
        <f>VLOOKUP(A1823,Revisión!$A$2:$L$703,6,FALSE)</f>
        <v>Rhus aromatica</v>
      </c>
      <c r="I1823" s="4" t="str">
        <f>VLOOKUP(A1823,Revisión!$A$2:$L$703,7,FALSE)</f>
        <v>-</v>
      </c>
      <c r="J1823" s="4" t="str">
        <f>VLOOKUP(A1823,Revisión!$A$2:$L$703,8,FALSE)</f>
        <v>Rhus aromatica var. aromatica</v>
      </c>
      <c r="K1823" s="4" t="str">
        <f>VLOOKUP(A1823,Revisión!$A$2:$L$703,9,FALSE)</f>
        <v>Rhus aromatica</v>
      </c>
      <c r="L1823" s="4" t="str">
        <f>VLOOKUP(A1823,Revisión!$A$2:$L$703,10,FALSE)</f>
        <v>Rhus aromatica</v>
      </c>
      <c r="M1823" s="18">
        <f>VLOOKUP(A1823,Revisión!$A$2:$L$703,11,FALSE)</f>
        <v>4</v>
      </c>
      <c r="N1823" s="30" t="str">
        <f>IF(E1823="Coinciden",D1823,IF(E1823="Revisar",VLOOKUP(A1823,Revisión!$A$2:$L$703,12,FALSE),""))</f>
        <v>Rhus aromatica</v>
      </c>
    </row>
    <row r="1824" spans="1:14" x14ac:dyDescent="0.3">
      <c r="A1824" t="s">
        <v>3757</v>
      </c>
      <c r="B1824" t="s">
        <v>3758</v>
      </c>
      <c r="C1824" t="s">
        <v>3759</v>
      </c>
      <c r="E1824" t="s">
        <v>8</v>
      </c>
      <c r="F1824" t="s">
        <v>9</v>
      </c>
      <c r="H1824" s="23" t="str">
        <f>VLOOKUP(A1824,Revisión!$A$2:$L$703,6,FALSE)</f>
        <v>Rhus copallina</v>
      </c>
      <c r="I1824" s="4" t="str">
        <f>VLOOKUP(A1824,Revisión!$A$2:$L$703,7,FALSE)</f>
        <v>-</v>
      </c>
      <c r="J1824" s="4" t="str">
        <f>VLOOKUP(A1824,Revisión!$A$2:$L$703,8,FALSE)</f>
        <v>Rhus copallinum</v>
      </c>
      <c r="K1824" s="4" t="str">
        <f>VLOOKUP(A1824,Revisión!$A$2:$L$703,9,FALSE)</f>
        <v>Rhus copallina</v>
      </c>
      <c r="L1824" s="4" t="str">
        <f>VLOOKUP(A1824,Revisión!$A$2:$L$703,10,FALSE)</f>
        <v>Rhus copallina</v>
      </c>
      <c r="M1824" s="18">
        <f>VLOOKUP(A1824,Revisión!$A$2:$L$703,11,FALSE)</f>
        <v>3</v>
      </c>
      <c r="N1824" s="30" t="str">
        <f>IF(E1824="Coinciden",D1824,IF(E1824="Revisar",VLOOKUP(A1824,Revisión!$A$2:$L$703,12,FALSE),""))</f>
        <v>Rhus copallina</v>
      </c>
    </row>
    <row r="1825" spans="1:14" x14ac:dyDescent="0.3">
      <c r="A1825" t="s">
        <v>3760</v>
      </c>
      <c r="C1825" t="s">
        <v>3761</v>
      </c>
      <c r="D1825" t="s">
        <v>3761</v>
      </c>
      <c r="E1825" t="s">
        <v>8</v>
      </c>
      <c r="F1825" t="s">
        <v>49</v>
      </c>
      <c r="H1825" s="23" t="str">
        <f>VLOOKUP(A1825,Revisión!$A$2:$L$703,6,FALSE)</f>
        <v>Toxicodendron pubescens</v>
      </c>
      <c r="I1825" s="4" t="str">
        <f>VLOOKUP(A1825,Revisión!$A$2:$L$703,7,FALSE)</f>
        <v>-</v>
      </c>
      <c r="J1825" s="4" t="str">
        <f>VLOOKUP(A1825,Revisión!$A$2:$L$703,8,FALSE)</f>
        <v>Toxicodendron pubescens</v>
      </c>
      <c r="K1825" s="4" t="str">
        <f>VLOOKUP(A1825,Revisión!$A$2:$L$703,9,FALSE)</f>
        <v>Toxicodendron pubescens</v>
      </c>
      <c r="L1825" s="4" t="str">
        <f>VLOOKUP(A1825,Revisión!$A$2:$L$703,10,FALSE)</f>
        <v>Toxicodendron pubescens</v>
      </c>
      <c r="M1825" s="18">
        <f>VLOOKUP(A1825,Revisión!$A$2:$L$703,11,FALSE)</f>
        <v>5</v>
      </c>
      <c r="N1825" s="30" t="str">
        <f>IF(E1825="Coinciden",D1825,IF(E1825="Revisar",VLOOKUP(A1825,Revisión!$A$2:$L$703,12,FALSE),""))</f>
        <v>Toxicodendron pubescens</v>
      </c>
    </row>
    <row r="1826" spans="1:14" x14ac:dyDescent="0.3">
      <c r="A1826" t="s">
        <v>3762</v>
      </c>
      <c r="B1826" t="s">
        <v>3763</v>
      </c>
      <c r="C1826" t="s">
        <v>3763</v>
      </c>
      <c r="D1826" t="s">
        <v>3763</v>
      </c>
      <c r="E1826" t="s">
        <v>18</v>
      </c>
      <c r="F1826" t="s">
        <v>19</v>
      </c>
      <c r="H1826" s="23" t="e">
        <f>VLOOKUP(A1826,Revisión!$A$2:$L$703,6,FALSE)</f>
        <v>#N/A</v>
      </c>
      <c r="I1826" s="4" t="e">
        <f>VLOOKUP(A1826,Revisión!$A$2:$L$703,7,FALSE)</f>
        <v>#N/A</v>
      </c>
      <c r="J1826" s="4" t="e">
        <f>VLOOKUP(A1826,Revisión!$A$2:$L$703,8,FALSE)</f>
        <v>#N/A</v>
      </c>
      <c r="K1826" s="4" t="e">
        <f>VLOOKUP(A1826,Revisión!$A$2:$L$703,9,FALSE)</f>
        <v>#N/A</v>
      </c>
      <c r="L1826" s="4" t="e">
        <f>VLOOKUP(A1826,Revisión!$A$2:$L$703,10,FALSE)</f>
        <v>#N/A</v>
      </c>
      <c r="M1826" s="18" t="e">
        <f>VLOOKUP(A1826,Revisión!$A$2:$L$703,11,FALSE)</f>
        <v>#N/A</v>
      </c>
      <c r="N1826" s="30" t="str">
        <f>IF(E1826="Coinciden",D1826,IF(E1826="Revisar",VLOOKUP(A1826,Revisión!$A$2:$L$703,12,FALSE),""))</f>
        <v>Rhynchanthera serrulata</v>
      </c>
    </row>
    <row r="1827" spans="1:14" x14ac:dyDescent="0.3">
      <c r="A1827" t="s">
        <v>3764</v>
      </c>
      <c r="B1827" t="s">
        <v>3765</v>
      </c>
      <c r="C1827" t="s">
        <v>3765</v>
      </c>
      <c r="D1827" t="s">
        <v>3765</v>
      </c>
      <c r="E1827" t="s">
        <v>18</v>
      </c>
      <c r="F1827" t="s">
        <v>19</v>
      </c>
      <c r="H1827" s="23" t="e">
        <f>VLOOKUP(A1827,Revisión!$A$2:$L$703,6,FALSE)</f>
        <v>#N/A</v>
      </c>
      <c r="I1827" s="4" t="e">
        <f>VLOOKUP(A1827,Revisión!$A$2:$L$703,7,FALSE)</f>
        <v>#N/A</v>
      </c>
      <c r="J1827" s="4" t="e">
        <f>VLOOKUP(A1827,Revisión!$A$2:$L$703,8,FALSE)</f>
        <v>#N/A</v>
      </c>
      <c r="K1827" s="4" t="e">
        <f>VLOOKUP(A1827,Revisión!$A$2:$L$703,9,FALSE)</f>
        <v>#N/A</v>
      </c>
      <c r="L1827" s="4" t="e">
        <f>VLOOKUP(A1827,Revisión!$A$2:$L$703,10,FALSE)</f>
        <v>#N/A</v>
      </c>
      <c r="M1827" s="18" t="e">
        <f>VLOOKUP(A1827,Revisión!$A$2:$L$703,11,FALSE)</f>
        <v>#N/A</v>
      </c>
      <c r="N1827" s="30" t="str">
        <f>IF(E1827="Coinciden",D1827,IF(E1827="Revisar",VLOOKUP(A1827,Revisión!$A$2:$L$703,12,FALSE),""))</f>
        <v>Rhynchosia minima</v>
      </c>
    </row>
    <row r="1828" spans="1:14" x14ac:dyDescent="0.3">
      <c r="A1828" t="s">
        <v>3766</v>
      </c>
      <c r="B1828" t="s">
        <v>3767</v>
      </c>
      <c r="C1828" t="s">
        <v>3767</v>
      </c>
      <c r="D1828" t="s">
        <v>3767</v>
      </c>
      <c r="E1828" t="s">
        <v>18</v>
      </c>
      <c r="F1828" t="s">
        <v>19</v>
      </c>
      <c r="H1828" s="23" t="e">
        <f>VLOOKUP(A1828,Revisión!$A$2:$L$703,6,FALSE)</f>
        <v>#N/A</v>
      </c>
      <c r="I1828" s="4" t="e">
        <f>VLOOKUP(A1828,Revisión!$A$2:$L$703,7,FALSE)</f>
        <v>#N/A</v>
      </c>
      <c r="J1828" s="4" t="e">
        <f>VLOOKUP(A1828,Revisión!$A$2:$L$703,8,FALSE)</f>
        <v>#N/A</v>
      </c>
      <c r="K1828" s="4" t="e">
        <f>VLOOKUP(A1828,Revisión!$A$2:$L$703,9,FALSE)</f>
        <v>#N/A</v>
      </c>
      <c r="L1828" s="4" t="e">
        <f>VLOOKUP(A1828,Revisión!$A$2:$L$703,10,FALSE)</f>
        <v>#N/A</v>
      </c>
      <c r="M1828" s="18" t="e">
        <f>VLOOKUP(A1828,Revisión!$A$2:$L$703,11,FALSE)</f>
        <v>#N/A</v>
      </c>
      <c r="N1828" s="30" t="str">
        <f>IF(E1828="Coinciden",D1828,IF(E1828="Revisar",VLOOKUP(A1828,Revisión!$A$2:$L$703,12,FALSE),""))</f>
        <v>Rhynchotechum discolor</v>
      </c>
    </row>
    <row r="1829" spans="1:14" x14ac:dyDescent="0.3">
      <c r="A1829" t="s">
        <v>3768</v>
      </c>
      <c r="B1829" t="s">
        <v>3769</v>
      </c>
      <c r="C1829" t="s">
        <v>3770</v>
      </c>
      <c r="D1829" t="s">
        <v>3769</v>
      </c>
      <c r="E1829" t="s">
        <v>8</v>
      </c>
      <c r="F1829" t="s">
        <v>493</v>
      </c>
      <c r="H1829" s="23" t="str">
        <f>VLOOKUP(A1829,Revisión!$A$2:$L$703,6,FALSE)</f>
        <v>Ribes maximowiczii</v>
      </c>
      <c r="I1829" s="4" t="str">
        <f>VLOOKUP(A1829,Revisión!$A$2:$L$703,7,FALSE)</f>
        <v>-</v>
      </c>
      <c r="J1829" s="4" t="str">
        <f>VLOOKUP(A1829,Revisión!$A$2:$L$703,8,FALSE)</f>
        <v>Ribes maximowiczii</v>
      </c>
      <c r="K1829" s="4" t="str">
        <f>VLOOKUP(A1829,Revisión!$A$2:$L$703,9,FALSE)</f>
        <v>Ribes maximowiczii</v>
      </c>
      <c r="L1829" s="4" t="str">
        <f>VLOOKUP(A1829,Revisión!$A$2:$L$703,10,FALSE)</f>
        <v>Ribes maximowiczii</v>
      </c>
      <c r="M1829" s="18">
        <f>VLOOKUP(A1829,Revisión!$A$2:$L$703,11,FALSE)</f>
        <v>5</v>
      </c>
      <c r="N1829" s="30" t="str">
        <f>IF(E1829="Coinciden",D1829,IF(E1829="Revisar",VLOOKUP(A1829,Revisión!$A$2:$L$703,12,FALSE),""))</f>
        <v>Ribes maximowiczii</v>
      </c>
    </row>
    <row r="1830" spans="1:14" x14ac:dyDescent="0.3">
      <c r="A1830" t="s">
        <v>3771</v>
      </c>
      <c r="B1830" t="s">
        <v>3772</v>
      </c>
      <c r="C1830" t="s">
        <v>3772</v>
      </c>
      <c r="D1830" t="s">
        <v>3772</v>
      </c>
      <c r="E1830" t="s">
        <v>18</v>
      </c>
      <c r="F1830" t="s">
        <v>19</v>
      </c>
      <c r="H1830" s="23" t="e">
        <f>VLOOKUP(A1830,Revisión!$A$2:$L$703,6,FALSE)</f>
        <v>#N/A</v>
      </c>
      <c r="I1830" s="4" t="e">
        <f>VLOOKUP(A1830,Revisión!$A$2:$L$703,7,FALSE)</f>
        <v>#N/A</v>
      </c>
      <c r="J1830" s="4" t="e">
        <f>VLOOKUP(A1830,Revisión!$A$2:$L$703,8,FALSE)</f>
        <v>#N/A</v>
      </c>
      <c r="K1830" s="4" t="e">
        <f>VLOOKUP(A1830,Revisión!$A$2:$L$703,9,FALSE)</f>
        <v>#N/A</v>
      </c>
      <c r="L1830" s="4" t="e">
        <f>VLOOKUP(A1830,Revisión!$A$2:$L$703,10,FALSE)</f>
        <v>#N/A</v>
      </c>
      <c r="M1830" s="18" t="e">
        <f>VLOOKUP(A1830,Revisión!$A$2:$L$703,11,FALSE)</f>
        <v>#N/A</v>
      </c>
      <c r="N1830" s="30" t="str">
        <f>IF(E1830="Coinciden",D1830,IF(E1830="Revisar",VLOOKUP(A1830,Revisión!$A$2:$L$703,12,FALSE),""))</f>
        <v>Ribes magellanicum</v>
      </c>
    </row>
    <row r="1831" spans="1:14" x14ac:dyDescent="0.3">
      <c r="A1831" t="s">
        <v>3773</v>
      </c>
      <c r="D1831" t="s">
        <v>3774</v>
      </c>
      <c r="E1831" t="s">
        <v>8</v>
      </c>
      <c r="F1831" t="s">
        <v>9</v>
      </c>
      <c r="H1831" s="23" t="str">
        <f>VLOOKUP(A1831,Revisión!$A$2:$L$703,6,FALSE)</f>
        <v>Ribes niveum</v>
      </c>
      <c r="I1831" s="4" t="str">
        <f>VLOOKUP(A1831,Revisión!$A$2:$L$703,7,FALSE)</f>
        <v>-</v>
      </c>
      <c r="J1831" s="4" t="str">
        <f>VLOOKUP(A1831,Revisión!$A$2:$L$703,8,FALSE)</f>
        <v>Ribes niveum</v>
      </c>
      <c r="K1831" s="4" t="str">
        <f>VLOOKUP(A1831,Revisión!$A$2:$L$703,9,FALSE)</f>
        <v>Ribes niveum</v>
      </c>
      <c r="L1831" s="4" t="str">
        <f>VLOOKUP(A1831,Revisión!$A$2:$L$703,10,FALSE)</f>
        <v>Ribes niveum</v>
      </c>
      <c r="M1831" s="18">
        <f>VLOOKUP(A1831,Revisión!$A$2:$L$703,11,FALSE)</f>
        <v>4</v>
      </c>
      <c r="N1831" s="30" t="str">
        <f>IF(E1831="Coinciden",D1831,IF(E1831="Revisar",VLOOKUP(A1831,Revisión!$A$2:$L$703,12,FALSE),""))</f>
        <v>Ribes niveum</v>
      </c>
    </row>
    <row r="1832" spans="1:14" x14ac:dyDescent="0.3">
      <c r="A1832" t="s">
        <v>3775</v>
      </c>
      <c r="B1832" t="s">
        <v>3776</v>
      </c>
      <c r="C1832" t="s">
        <v>3777</v>
      </c>
      <c r="D1832" t="s">
        <v>3776</v>
      </c>
      <c r="E1832" t="s">
        <v>8</v>
      </c>
      <c r="F1832" t="s">
        <v>493</v>
      </c>
      <c r="H1832" s="23" t="str">
        <f>VLOOKUP(A1832,Revisión!$A$2:$L$703,6,FALSE)</f>
        <v>Dracophyllum continentis</v>
      </c>
      <c r="I1832" s="4" t="str">
        <f>VLOOKUP(A1832,Revisión!$A$2:$L$703,7,FALSE)</f>
        <v>-</v>
      </c>
      <c r="J1832" s="4" t="str">
        <f>VLOOKUP(A1832,Revisión!$A$2:$L$703,8,FALSE)</f>
        <v>Richea continentis</v>
      </c>
      <c r="K1832" s="4" t="str">
        <f>VLOOKUP(A1832,Revisión!$A$2:$L$703,9,FALSE)</f>
        <v>Dracophyllum continentis</v>
      </c>
      <c r="L1832" s="4" t="str">
        <f>VLOOKUP(A1832,Revisión!$A$2:$L$703,10,FALSE)</f>
        <v>Dracophyllum continentis</v>
      </c>
      <c r="M1832" s="18">
        <f>VLOOKUP(A1832,Revisión!$A$2:$L$703,11,FALSE)</f>
        <v>3</v>
      </c>
      <c r="N1832" s="30" t="str">
        <f>IF(E1832="Coinciden",D1832,IF(E1832="Revisar",VLOOKUP(A1832,Revisión!$A$2:$L$703,12,FALSE),""))</f>
        <v>Dracophyllum continentis</v>
      </c>
    </row>
    <row r="1833" spans="1:14" x14ac:dyDescent="0.3">
      <c r="A1833" t="s">
        <v>3778</v>
      </c>
      <c r="B1833" t="s">
        <v>3779</v>
      </c>
      <c r="C1833" t="s">
        <v>3779</v>
      </c>
      <c r="D1833" t="s">
        <v>3779</v>
      </c>
      <c r="E1833" t="s">
        <v>18</v>
      </c>
      <c r="F1833" t="s">
        <v>19</v>
      </c>
      <c r="H1833" s="23" t="e">
        <f>VLOOKUP(A1833,Revisión!$A$2:$L$703,6,FALSE)</f>
        <v>#N/A</v>
      </c>
      <c r="I1833" s="4" t="e">
        <f>VLOOKUP(A1833,Revisión!$A$2:$L$703,7,FALSE)</f>
        <v>#N/A</v>
      </c>
      <c r="J1833" s="4" t="e">
        <f>VLOOKUP(A1833,Revisión!$A$2:$L$703,8,FALSE)</f>
        <v>#N/A</v>
      </c>
      <c r="K1833" s="4" t="e">
        <f>VLOOKUP(A1833,Revisión!$A$2:$L$703,9,FALSE)</f>
        <v>#N/A</v>
      </c>
      <c r="L1833" s="4" t="e">
        <f>VLOOKUP(A1833,Revisión!$A$2:$L$703,10,FALSE)</f>
        <v>#N/A</v>
      </c>
      <c r="M1833" s="18" t="e">
        <f>VLOOKUP(A1833,Revisión!$A$2:$L$703,11,FALSE)</f>
        <v>#N/A</v>
      </c>
      <c r="N1833" s="30" t="str">
        <f>IF(E1833="Coinciden",D1833,IF(E1833="Revisar",VLOOKUP(A1833,Revisión!$A$2:$L$703,12,FALSE),""))</f>
        <v>Robinia pseudoacacia</v>
      </c>
    </row>
    <row r="1834" spans="1:14" x14ac:dyDescent="0.3">
      <c r="A1834" t="s">
        <v>3780</v>
      </c>
      <c r="B1834" t="s">
        <v>3781</v>
      </c>
      <c r="C1834" t="s">
        <v>3781</v>
      </c>
      <c r="D1834" t="s">
        <v>3781</v>
      </c>
      <c r="E1834" t="s">
        <v>18</v>
      </c>
      <c r="F1834" t="s">
        <v>19</v>
      </c>
      <c r="H1834" s="23" t="e">
        <f>VLOOKUP(A1834,Revisión!$A$2:$L$703,6,FALSE)</f>
        <v>#N/A</v>
      </c>
      <c r="I1834" s="4" t="e">
        <f>VLOOKUP(A1834,Revisión!$A$2:$L$703,7,FALSE)</f>
        <v>#N/A</v>
      </c>
      <c r="J1834" s="4" t="e">
        <f>VLOOKUP(A1834,Revisión!$A$2:$L$703,8,FALSE)</f>
        <v>#N/A</v>
      </c>
      <c r="K1834" s="4" t="e">
        <f>VLOOKUP(A1834,Revisión!$A$2:$L$703,9,FALSE)</f>
        <v>#N/A</v>
      </c>
      <c r="L1834" s="4" t="e">
        <f>VLOOKUP(A1834,Revisión!$A$2:$L$703,10,FALSE)</f>
        <v>#N/A</v>
      </c>
      <c r="M1834" s="18" t="e">
        <f>VLOOKUP(A1834,Revisión!$A$2:$L$703,11,FALSE)</f>
        <v>#N/A</v>
      </c>
      <c r="N1834" s="30" t="str">
        <f>IF(E1834="Coinciden",D1834,IF(E1834="Revisar",VLOOKUP(A1834,Revisión!$A$2:$L$703,12,FALSE),""))</f>
        <v>Rodgersia podophylla</v>
      </c>
    </row>
    <row r="1835" spans="1:14" x14ac:dyDescent="0.3">
      <c r="A1835" t="s">
        <v>3782</v>
      </c>
      <c r="C1835" t="s">
        <v>3783</v>
      </c>
      <c r="D1835" t="s">
        <v>3784</v>
      </c>
      <c r="E1835" t="s">
        <v>8</v>
      </c>
      <c r="F1835" t="s">
        <v>9</v>
      </c>
      <c r="H1835" s="23" t="str">
        <f>VLOOKUP(A1835,Revisión!$A$2:$L$703,6,FALSE)</f>
        <v>Zephyranthes bifida</v>
      </c>
      <c r="I1835" s="4" t="str">
        <f>VLOOKUP(A1835,Revisión!$A$2:$L$703,7,FALSE)</f>
        <v>-</v>
      </c>
      <c r="J1835" s="4" t="str">
        <f>VLOOKUP(A1835,Revisión!$A$2:$L$703,8,FALSE)</f>
        <v>Zephyranthes bifida</v>
      </c>
      <c r="K1835" s="4" t="str">
        <f>VLOOKUP(A1835,Revisión!$A$2:$L$703,9,FALSE)</f>
        <v>Zephyranthes bifida</v>
      </c>
      <c r="L1835" s="4" t="str">
        <f>VLOOKUP(A1835,Revisión!$A$2:$L$703,10,FALSE)</f>
        <v>Zephyranthes bifida</v>
      </c>
      <c r="M1835" s="18">
        <f>VLOOKUP(A1835,Revisión!$A$2:$L$703,11,FALSE)</f>
        <v>5</v>
      </c>
      <c r="N1835" s="30" t="str">
        <f>IF(E1835="Coinciden",D1835,IF(E1835="Revisar",VLOOKUP(A1835,Revisión!$A$2:$L$703,12,FALSE),""))</f>
        <v>Zephyranthes bifida</v>
      </c>
    </row>
    <row r="1836" spans="1:14" x14ac:dyDescent="0.3">
      <c r="A1836" t="s">
        <v>3785</v>
      </c>
      <c r="B1836" t="s">
        <v>3786</v>
      </c>
      <c r="C1836" t="s">
        <v>3786</v>
      </c>
      <c r="D1836" t="s">
        <v>3786</v>
      </c>
      <c r="E1836" t="s">
        <v>18</v>
      </c>
      <c r="F1836" t="s">
        <v>19</v>
      </c>
      <c r="H1836" s="23" t="e">
        <f>VLOOKUP(A1836,Revisión!$A$2:$L$703,6,FALSE)</f>
        <v>#N/A</v>
      </c>
      <c r="I1836" s="4" t="e">
        <f>VLOOKUP(A1836,Revisión!$A$2:$L$703,7,FALSE)</f>
        <v>#N/A</v>
      </c>
      <c r="J1836" s="4" t="e">
        <f>VLOOKUP(A1836,Revisión!$A$2:$L$703,8,FALSE)</f>
        <v>#N/A</v>
      </c>
      <c r="K1836" s="4" t="e">
        <f>VLOOKUP(A1836,Revisión!$A$2:$L$703,9,FALSE)</f>
        <v>#N/A</v>
      </c>
      <c r="L1836" s="4" t="e">
        <f>VLOOKUP(A1836,Revisión!$A$2:$L$703,10,FALSE)</f>
        <v>#N/A</v>
      </c>
      <c r="M1836" s="18" t="e">
        <f>VLOOKUP(A1836,Revisión!$A$2:$L$703,11,FALSE)</f>
        <v>#N/A</v>
      </c>
      <c r="N1836" s="30" t="str">
        <f>IF(E1836="Coinciden",D1836,IF(E1836="Revisar",VLOOKUP(A1836,Revisión!$A$2:$L$703,12,FALSE),""))</f>
        <v>Rorippa indica</v>
      </c>
    </row>
    <row r="1837" spans="1:14" x14ac:dyDescent="0.3">
      <c r="A1837" t="s">
        <v>3787</v>
      </c>
      <c r="C1837" t="s">
        <v>3788</v>
      </c>
      <c r="D1837" t="s">
        <v>3788</v>
      </c>
      <c r="E1837" t="s">
        <v>8</v>
      </c>
      <c r="F1837" t="s">
        <v>49</v>
      </c>
      <c r="H1837" s="23" t="str">
        <f>VLOOKUP(A1837,Revisión!$A$2:$L$703,6,FALSE)</f>
        <v>Rosa rubiginosa</v>
      </c>
      <c r="I1837" s="4" t="str">
        <f>VLOOKUP(A1837,Revisión!$A$2:$L$703,7,FALSE)</f>
        <v>-</v>
      </c>
      <c r="J1837" s="4" t="str">
        <f>VLOOKUP(A1837,Revisión!$A$2:$L$703,8,FALSE)</f>
        <v>Rosa rubiginosa</v>
      </c>
      <c r="K1837" s="4" t="str">
        <f>VLOOKUP(A1837,Revisión!$A$2:$L$703,9,FALSE)</f>
        <v>Rosa rubiginosa</v>
      </c>
      <c r="L1837" s="4" t="str">
        <f>VLOOKUP(A1837,Revisión!$A$2:$L$703,10,FALSE)</f>
        <v>Rosa rubiginosa</v>
      </c>
      <c r="M1837" s="18">
        <f>VLOOKUP(A1837,Revisión!$A$2:$L$703,11,FALSE)</f>
        <v>5</v>
      </c>
      <c r="N1837" s="30" t="str">
        <f>IF(E1837="Coinciden",D1837,IF(E1837="Revisar",VLOOKUP(A1837,Revisión!$A$2:$L$703,12,FALSE),""))</f>
        <v>Rosa rubiginosa</v>
      </c>
    </row>
    <row r="1838" spans="1:14" x14ac:dyDescent="0.3">
      <c r="A1838" t="s">
        <v>3789</v>
      </c>
      <c r="B1838" t="s">
        <v>3788</v>
      </c>
      <c r="C1838" t="s">
        <v>3788</v>
      </c>
      <c r="D1838" t="s">
        <v>3788</v>
      </c>
      <c r="E1838" t="s">
        <v>18</v>
      </c>
      <c r="F1838" t="s">
        <v>19</v>
      </c>
      <c r="H1838" s="23" t="e">
        <f>VLOOKUP(A1838,Revisión!$A$2:$L$703,6,FALSE)</f>
        <v>#N/A</v>
      </c>
      <c r="I1838" s="4" t="e">
        <f>VLOOKUP(A1838,Revisión!$A$2:$L$703,7,FALSE)</f>
        <v>#N/A</v>
      </c>
      <c r="J1838" s="4" t="e">
        <f>VLOOKUP(A1838,Revisión!$A$2:$L$703,8,FALSE)</f>
        <v>#N/A</v>
      </c>
      <c r="K1838" s="4" t="e">
        <f>VLOOKUP(A1838,Revisión!$A$2:$L$703,9,FALSE)</f>
        <v>#N/A</v>
      </c>
      <c r="L1838" s="4" t="e">
        <f>VLOOKUP(A1838,Revisión!$A$2:$L$703,10,FALSE)</f>
        <v>#N/A</v>
      </c>
      <c r="M1838" s="18" t="e">
        <f>VLOOKUP(A1838,Revisión!$A$2:$L$703,11,FALSE)</f>
        <v>#N/A</v>
      </c>
      <c r="N1838" s="30" t="str">
        <f>IF(E1838="Coinciden",D1838,IF(E1838="Revisar",VLOOKUP(A1838,Revisión!$A$2:$L$703,12,FALSE),""))</f>
        <v>Rosa rubiginosa</v>
      </c>
    </row>
    <row r="1839" spans="1:14" x14ac:dyDescent="0.3">
      <c r="A1839" t="s">
        <v>3790</v>
      </c>
      <c r="B1839" t="s">
        <v>3791</v>
      </c>
      <c r="D1839" t="s">
        <v>3791</v>
      </c>
      <c r="E1839" t="s">
        <v>8</v>
      </c>
      <c r="F1839" t="s">
        <v>34</v>
      </c>
      <c r="H1839" s="23" t="str">
        <f>VLOOKUP(A1839,Revisión!$A$2:$L$703,6,FALSE)</f>
        <v>Rosa multiflora</v>
      </c>
      <c r="I1839" s="4" t="str">
        <f>VLOOKUP(A1839,Revisión!$A$2:$L$703,7,FALSE)</f>
        <v>-</v>
      </c>
      <c r="J1839" s="4" t="str">
        <f>VLOOKUP(A1839,Revisión!$A$2:$L$703,8,FALSE)</f>
        <v>Rosa multiflora</v>
      </c>
      <c r="K1839" s="4" t="str">
        <f>VLOOKUP(A1839,Revisión!$A$2:$L$703,9,FALSE)</f>
        <v>Rosa multiflora</v>
      </c>
      <c r="L1839" s="4" t="str">
        <f>VLOOKUP(A1839,Revisión!$A$2:$L$703,10,FALSE)</f>
        <v>Rosa multiflora</v>
      </c>
      <c r="M1839" s="18">
        <f>VLOOKUP(A1839,Revisión!$A$2:$L$703,11,FALSE)</f>
        <v>5</v>
      </c>
      <c r="N1839" s="30" t="str">
        <f>IF(E1839="Coinciden",D1839,IF(E1839="Revisar",VLOOKUP(A1839,Revisión!$A$2:$L$703,12,FALSE),""))</f>
        <v>Rosa multiflora</v>
      </c>
    </row>
    <row r="1840" spans="1:14" x14ac:dyDescent="0.3">
      <c r="A1840" t="s">
        <v>3792</v>
      </c>
      <c r="B1840" t="s">
        <v>3793</v>
      </c>
      <c r="C1840" t="s">
        <v>3793</v>
      </c>
      <c r="D1840" t="s">
        <v>3793</v>
      </c>
      <c r="E1840" t="s">
        <v>18</v>
      </c>
      <c r="F1840" t="s">
        <v>19</v>
      </c>
      <c r="H1840" s="23" t="e">
        <f>VLOOKUP(A1840,Revisión!$A$2:$L$703,6,FALSE)</f>
        <v>#N/A</v>
      </c>
      <c r="I1840" s="4" t="e">
        <f>VLOOKUP(A1840,Revisión!$A$2:$L$703,7,FALSE)</f>
        <v>#N/A</v>
      </c>
      <c r="J1840" s="4" t="e">
        <f>VLOOKUP(A1840,Revisión!$A$2:$L$703,8,FALSE)</f>
        <v>#N/A</v>
      </c>
      <c r="K1840" s="4" t="e">
        <f>VLOOKUP(A1840,Revisión!$A$2:$L$703,9,FALSE)</f>
        <v>#N/A</v>
      </c>
      <c r="L1840" s="4" t="e">
        <f>VLOOKUP(A1840,Revisión!$A$2:$L$703,10,FALSE)</f>
        <v>#N/A</v>
      </c>
      <c r="M1840" s="18" t="e">
        <f>VLOOKUP(A1840,Revisión!$A$2:$L$703,11,FALSE)</f>
        <v>#N/A</v>
      </c>
      <c r="N1840" s="30" t="str">
        <f>IF(E1840="Coinciden",D1840,IF(E1840="Revisar",VLOOKUP(A1840,Revisión!$A$2:$L$703,12,FALSE),""))</f>
        <v>Rosa setigera</v>
      </c>
    </row>
    <row r="1841" spans="1:14" x14ac:dyDescent="0.3">
      <c r="A1841" t="s">
        <v>3794</v>
      </c>
      <c r="E1841" t="s">
        <v>8</v>
      </c>
      <c r="F1841" t="s">
        <v>11</v>
      </c>
      <c r="H1841" s="23" t="str">
        <f>VLOOKUP(A1841,Revisión!$A$2:$L$703,6,FALSE)</f>
        <v>Rosa borboniana</v>
      </c>
      <c r="I1841" s="4" t="str">
        <f>VLOOKUP(A1841,Revisión!$A$2:$L$703,7,FALSE)</f>
        <v>-</v>
      </c>
      <c r="J1841" s="4" t="str">
        <f>VLOOKUP(A1841,Revisión!$A$2:$L$703,8,FALSE)</f>
        <v>Rosa x burboniana</v>
      </c>
      <c r="K1841" s="4" t="str">
        <f>VLOOKUP(A1841,Revisión!$A$2:$L$703,9,FALSE)</f>
        <v>Rosa borboniana</v>
      </c>
      <c r="L1841" s="4" t="str">
        <f>VLOOKUP(A1841,Revisión!$A$2:$L$703,10,FALSE)</f>
        <v>-</v>
      </c>
      <c r="M1841" s="18">
        <f>VLOOKUP(A1841,Revisión!$A$2:$L$703,11,FALSE)</f>
        <v>2</v>
      </c>
      <c r="N1841" s="30" t="str">
        <f>IF(E1841="Coinciden",D1841,IF(E1841="Revisar",VLOOKUP(A1841,Revisión!$A$2:$L$703,12,FALSE),""))</f>
        <v>Rosa borboniana</v>
      </c>
    </row>
    <row r="1842" spans="1:14" x14ac:dyDescent="0.3">
      <c r="A1842" t="s">
        <v>3795</v>
      </c>
      <c r="B1842" t="s">
        <v>3796</v>
      </c>
      <c r="C1842" t="s">
        <v>3796</v>
      </c>
      <c r="D1842" t="s">
        <v>3796</v>
      </c>
      <c r="E1842" t="s">
        <v>18</v>
      </c>
      <c r="F1842" t="s">
        <v>19</v>
      </c>
      <c r="H1842" s="23" t="e">
        <f>VLOOKUP(A1842,Revisión!$A$2:$L$703,6,FALSE)</f>
        <v>#N/A</v>
      </c>
      <c r="I1842" s="4" t="e">
        <f>VLOOKUP(A1842,Revisión!$A$2:$L$703,7,FALSE)</f>
        <v>#N/A</v>
      </c>
      <c r="J1842" s="4" t="e">
        <f>VLOOKUP(A1842,Revisión!$A$2:$L$703,8,FALSE)</f>
        <v>#N/A</v>
      </c>
      <c r="K1842" s="4" t="e">
        <f>VLOOKUP(A1842,Revisión!$A$2:$L$703,9,FALSE)</f>
        <v>#N/A</v>
      </c>
      <c r="L1842" s="4" t="e">
        <f>VLOOKUP(A1842,Revisión!$A$2:$L$703,10,FALSE)</f>
        <v>#N/A</v>
      </c>
      <c r="M1842" s="18" t="e">
        <f>VLOOKUP(A1842,Revisión!$A$2:$L$703,11,FALSE)</f>
        <v>#N/A</v>
      </c>
      <c r="N1842" s="30" t="str">
        <f>IF(E1842="Coinciden",D1842,IF(E1842="Revisar",VLOOKUP(A1842,Revisión!$A$2:$L$703,12,FALSE),""))</f>
        <v>Rosa acicularis</v>
      </c>
    </row>
    <row r="1843" spans="1:14" x14ac:dyDescent="0.3">
      <c r="A1843" t="s">
        <v>3797</v>
      </c>
      <c r="D1843" t="s">
        <v>3791</v>
      </c>
      <c r="E1843" t="s">
        <v>8</v>
      </c>
      <c r="F1843" t="s">
        <v>9</v>
      </c>
      <c r="H1843" s="23" t="e">
        <f>VLOOKUP(A1843,Revisión!$A$2:$L$703,6,FALSE)</f>
        <v>#N/A</v>
      </c>
      <c r="I1843" s="4" t="e">
        <f>VLOOKUP(A1843,Revisión!$A$2:$L$703,7,FALSE)</f>
        <v>#N/A</v>
      </c>
      <c r="J1843" s="4" t="e">
        <f>VLOOKUP(A1843,Revisión!$A$2:$L$703,8,FALSE)</f>
        <v>#N/A</v>
      </c>
      <c r="K1843" s="4" t="e">
        <f>VLOOKUP(A1843,Revisión!$A$2:$L$703,9,FALSE)</f>
        <v>#N/A</v>
      </c>
      <c r="L1843" s="4" t="e">
        <f>VLOOKUP(A1843,Revisión!$A$2:$L$703,10,FALSE)</f>
        <v>#N/A</v>
      </c>
      <c r="M1843" s="18" t="e">
        <f>VLOOKUP(A1843,Revisión!$A$2:$L$703,11,FALSE)</f>
        <v>#N/A</v>
      </c>
      <c r="N1843" s="30" t="e">
        <f>IF(E1843="Coinciden",D1843,IF(E1843="Revisar",VLOOKUP(A1843,Revisión!$A$2:$L$703,12,FALSE),""))</f>
        <v>#N/A</v>
      </c>
    </row>
    <row r="1844" spans="1:14" x14ac:dyDescent="0.3">
      <c r="A1844" t="s">
        <v>3798</v>
      </c>
      <c r="D1844" t="s">
        <v>3799</v>
      </c>
      <c r="E1844" t="s">
        <v>8</v>
      </c>
      <c r="F1844" t="s">
        <v>9</v>
      </c>
      <c r="H1844" s="23" t="str">
        <f>VLOOKUP(A1844,Revisión!$A$2:$L$703,6,FALSE)</f>
        <v>Rosa carolina subsp. carolina</v>
      </c>
      <c r="I1844" s="4" t="str">
        <f>VLOOKUP(A1844,Revisión!$A$2:$L$703,7,FALSE)</f>
        <v>-</v>
      </c>
      <c r="J1844" s="4" t="str">
        <f>VLOOKUP(A1844,Revisión!$A$2:$L$703,8,FALSE)</f>
        <v>Rosa carolina subsp. carolina</v>
      </c>
      <c r="K1844" s="4" t="str">
        <f>VLOOKUP(A1844,Revisión!$A$2:$L$703,9,FALSE)</f>
        <v>Rosa carolina subsp. carolina</v>
      </c>
      <c r="L1844" s="4" t="str">
        <f>VLOOKUP(A1844,Revisión!$A$2:$L$703,10,FALSE)</f>
        <v>Rosa carolina subsp. carolina</v>
      </c>
      <c r="M1844" s="18">
        <f>VLOOKUP(A1844,Revisión!$A$2:$L$703,11,FALSE)</f>
        <v>4</v>
      </c>
      <c r="N1844" s="30" t="str">
        <f>IF(E1844="Coinciden",D1844,IF(E1844="Revisar",VLOOKUP(A1844,Revisión!$A$2:$L$703,12,FALSE),""))</f>
        <v>Rosa carolina subsp. carolina</v>
      </c>
    </row>
    <row r="1845" spans="1:14" x14ac:dyDescent="0.3">
      <c r="A1845" t="s">
        <v>3800</v>
      </c>
      <c r="B1845" t="s">
        <v>3801</v>
      </c>
      <c r="C1845" t="s">
        <v>3801</v>
      </c>
      <c r="D1845" t="s">
        <v>3801</v>
      </c>
      <c r="E1845" t="s">
        <v>18</v>
      </c>
      <c r="F1845" t="s">
        <v>19</v>
      </c>
      <c r="H1845" s="23" t="e">
        <f>VLOOKUP(A1845,Revisión!$A$2:$L$703,6,FALSE)</f>
        <v>#N/A</v>
      </c>
      <c r="I1845" s="4" t="e">
        <f>VLOOKUP(A1845,Revisión!$A$2:$L$703,7,FALSE)</f>
        <v>#N/A</v>
      </c>
      <c r="J1845" s="4" t="e">
        <f>VLOOKUP(A1845,Revisión!$A$2:$L$703,8,FALSE)</f>
        <v>#N/A</v>
      </c>
      <c r="K1845" s="4" t="e">
        <f>VLOOKUP(A1845,Revisión!$A$2:$L$703,9,FALSE)</f>
        <v>#N/A</v>
      </c>
      <c r="L1845" s="4" t="e">
        <f>VLOOKUP(A1845,Revisión!$A$2:$L$703,10,FALSE)</f>
        <v>#N/A</v>
      </c>
      <c r="M1845" s="18" t="e">
        <f>VLOOKUP(A1845,Revisión!$A$2:$L$703,11,FALSE)</f>
        <v>#N/A</v>
      </c>
      <c r="N1845" s="30" t="str">
        <f>IF(E1845="Coinciden",D1845,IF(E1845="Revisar",VLOOKUP(A1845,Revisión!$A$2:$L$703,12,FALSE),""))</f>
        <v>Roscheria melanochaetes</v>
      </c>
    </row>
    <row r="1846" spans="1:14" x14ac:dyDescent="0.3">
      <c r="A1846" t="s">
        <v>3802</v>
      </c>
      <c r="B1846" t="s">
        <v>3803</v>
      </c>
      <c r="C1846" t="s">
        <v>3803</v>
      </c>
      <c r="D1846" t="s">
        <v>3803</v>
      </c>
      <c r="E1846" t="s">
        <v>18</v>
      </c>
      <c r="F1846" t="s">
        <v>19</v>
      </c>
      <c r="H1846" s="23" t="e">
        <f>VLOOKUP(A1846,Revisión!$A$2:$L$703,6,FALSE)</f>
        <v>#N/A</v>
      </c>
      <c r="I1846" s="4" t="e">
        <f>VLOOKUP(A1846,Revisión!$A$2:$L$703,7,FALSE)</f>
        <v>#N/A</v>
      </c>
      <c r="J1846" s="4" t="e">
        <f>VLOOKUP(A1846,Revisión!$A$2:$L$703,8,FALSE)</f>
        <v>#N/A</v>
      </c>
      <c r="K1846" s="4" t="e">
        <f>VLOOKUP(A1846,Revisión!$A$2:$L$703,9,FALSE)</f>
        <v>#N/A</v>
      </c>
      <c r="L1846" s="4" t="e">
        <f>VLOOKUP(A1846,Revisión!$A$2:$L$703,10,FALSE)</f>
        <v>#N/A</v>
      </c>
      <c r="M1846" s="18" t="e">
        <f>VLOOKUP(A1846,Revisión!$A$2:$L$703,11,FALSE)</f>
        <v>#N/A</v>
      </c>
      <c r="N1846" s="30" t="str">
        <f>IF(E1846="Coinciden",D1846,IF(E1846="Revisar",VLOOKUP(A1846,Revisión!$A$2:$L$703,12,FALSE),""))</f>
        <v>Salvia rosmarinus</v>
      </c>
    </row>
    <row r="1847" spans="1:14" x14ac:dyDescent="0.3">
      <c r="A1847" t="s">
        <v>3804</v>
      </c>
      <c r="B1847" t="s">
        <v>3805</v>
      </c>
      <c r="C1847" t="s">
        <v>3805</v>
      </c>
      <c r="D1847" t="s">
        <v>3805</v>
      </c>
      <c r="E1847" t="s">
        <v>18</v>
      </c>
      <c r="F1847" t="s">
        <v>19</v>
      </c>
      <c r="H1847" s="23" t="e">
        <f>VLOOKUP(A1847,Revisión!$A$2:$L$703,6,FALSE)</f>
        <v>#N/A</v>
      </c>
      <c r="I1847" s="4" t="e">
        <f>VLOOKUP(A1847,Revisión!$A$2:$L$703,7,FALSE)</f>
        <v>#N/A</v>
      </c>
      <c r="J1847" s="4" t="e">
        <f>VLOOKUP(A1847,Revisión!$A$2:$L$703,8,FALSE)</f>
        <v>#N/A</v>
      </c>
      <c r="K1847" s="4" t="e">
        <f>VLOOKUP(A1847,Revisión!$A$2:$L$703,9,FALSE)</f>
        <v>#N/A</v>
      </c>
      <c r="L1847" s="4" t="e">
        <f>VLOOKUP(A1847,Revisión!$A$2:$L$703,10,FALSE)</f>
        <v>#N/A</v>
      </c>
      <c r="M1847" s="18" t="e">
        <f>VLOOKUP(A1847,Revisión!$A$2:$L$703,11,FALSE)</f>
        <v>#N/A</v>
      </c>
      <c r="N1847" s="30" t="str">
        <f>IF(E1847="Coinciden",D1847,IF(E1847="Revisar",VLOOKUP(A1847,Revisión!$A$2:$L$703,12,FALSE),""))</f>
        <v>Roussea simplex</v>
      </c>
    </row>
    <row r="1848" spans="1:14" x14ac:dyDescent="0.3">
      <c r="A1848" t="s">
        <v>3806</v>
      </c>
      <c r="B1848" t="s">
        <v>3807</v>
      </c>
      <c r="C1848" t="s">
        <v>3807</v>
      </c>
      <c r="D1848" t="s">
        <v>3807</v>
      </c>
      <c r="E1848" t="s">
        <v>18</v>
      </c>
      <c r="F1848" t="s">
        <v>19</v>
      </c>
      <c r="H1848" s="23" t="e">
        <f>VLOOKUP(A1848,Revisión!$A$2:$L$703,6,FALSE)</f>
        <v>#N/A</v>
      </c>
      <c r="I1848" s="4" t="e">
        <f>VLOOKUP(A1848,Revisión!$A$2:$L$703,7,FALSE)</f>
        <v>#N/A</v>
      </c>
      <c r="J1848" s="4" t="e">
        <f>VLOOKUP(A1848,Revisión!$A$2:$L$703,8,FALSE)</f>
        <v>#N/A</v>
      </c>
      <c r="K1848" s="4" t="e">
        <f>VLOOKUP(A1848,Revisión!$A$2:$L$703,9,FALSE)</f>
        <v>#N/A</v>
      </c>
      <c r="L1848" s="4" t="e">
        <f>VLOOKUP(A1848,Revisión!$A$2:$L$703,10,FALSE)</f>
        <v>#N/A</v>
      </c>
      <c r="M1848" s="18" t="e">
        <f>VLOOKUP(A1848,Revisión!$A$2:$L$703,11,FALSE)</f>
        <v>#N/A</v>
      </c>
      <c r="N1848" s="30" t="str">
        <f>IF(E1848="Coinciden",D1848,IF(E1848="Revisar",VLOOKUP(A1848,Revisión!$A$2:$L$703,12,FALSE),""))</f>
        <v>Rubus ulmifolius</v>
      </c>
    </row>
    <row r="1849" spans="1:14" x14ac:dyDescent="0.3">
      <c r="A1849" t="s">
        <v>3808</v>
      </c>
      <c r="B1849" t="s">
        <v>3809</v>
      </c>
      <c r="C1849" t="s">
        <v>3809</v>
      </c>
      <c r="D1849" t="s">
        <v>3809</v>
      </c>
      <c r="E1849" t="s">
        <v>18</v>
      </c>
      <c r="F1849" t="s">
        <v>19</v>
      </c>
      <c r="H1849" s="23" t="e">
        <f>VLOOKUP(A1849,Revisión!$A$2:$L$703,6,FALSE)</f>
        <v>#N/A</v>
      </c>
      <c r="I1849" s="4" t="e">
        <f>VLOOKUP(A1849,Revisión!$A$2:$L$703,7,FALSE)</f>
        <v>#N/A</v>
      </c>
      <c r="J1849" s="4" t="e">
        <f>VLOOKUP(A1849,Revisión!$A$2:$L$703,8,FALSE)</f>
        <v>#N/A</v>
      </c>
      <c r="K1849" s="4" t="e">
        <f>VLOOKUP(A1849,Revisión!$A$2:$L$703,9,FALSE)</f>
        <v>#N/A</v>
      </c>
      <c r="L1849" s="4" t="e">
        <f>VLOOKUP(A1849,Revisión!$A$2:$L$703,10,FALSE)</f>
        <v>#N/A</v>
      </c>
      <c r="M1849" s="18" t="e">
        <f>VLOOKUP(A1849,Revisión!$A$2:$L$703,11,FALSE)</f>
        <v>#N/A</v>
      </c>
      <c r="N1849" s="30" t="str">
        <f>IF(E1849="Coinciden",D1849,IF(E1849="Revisar",VLOOKUP(A1849,Revisión!$A$2:$L$703,12,FALSE),""))</f>
        <v>Rubus idaeus</v>
      </c>
    </row>
    <row r="1850" spans="1:14" x14ac:dyDescent="0.3">
      <c r="A1850" t="s">
        <v>3810</v>
      </c>
      <c r="B1850" t="s">
        <v>3811</v>
      </c>
      <c r="D1850" t="s">
        <v>3811</v>
      </c>
      <c r="E1850" t="s">
        <v>8</v>
      </c>
      <c r="F1850" t="s">
        <v>34</v>
      </c>
      <c r="H1850" s="23" t="str">
        <f>VLOOKUP(A1850,Revisión!$A$2:$L$703,6,FALSE)</f>
        <v>Rubus occidentalis</v>
      </c>
      <c r="I1850" s="4" t="str">
        <f>VLOOKUP(A1850,Revisión!$A$2:$L$703,7,FALSE)</f>
        <v>-</v>
      </c>
      <c r="J1850" s="4" t="str">
        <f>VLOOKUP(A1850,Revisión!$A$2:$L$703,8,FALSE)</f>
        <v>Rubus occidentalis</v>
      </c>
      <c r="K1850" s="4" t="str">
        <f>VLOOKUP(A1850,Revisión!$A$2:$L$703,9,FALSE)</f>
        <v>Rubus occidentalis</v>
      </c>
      <c r="L1850" s="4" t="str">
        <f>VLOOKUP(A1850,Revisión!$A$2:$L$703,10,FALSE)</f>
        <v>Rubus occidentalis</v>
      </c>
      <c r="M1850" s="18">
        <f>VLOOKUP(A1850,Revisión!$A$2:$L$703,11,FALSE)</f>
        <v>5</v>
      </c>
      <c r="N1850" s="30" t="str">
        <f>IF(E1850="Coinciden",D1850,IF(E1850="Revisar",VLOOKUP(A1850,Revisión!$A$2:$L$703,12,FALSE),""))</f>
        <v>Rubus occidentalis</v>
      </c>
    </row>
    <row r="1851" spans="1:14" x14ac:dyDescent="0.3">
      <c r="A1851" t="s">
        <v>3812</v>
      </c>
      <c r="B1851" t="s">
        <v>3813</v>
      </c>
      <c r="D1851" t="s">
        <v>3813</v>
      </c>
      <c r="E1851" t="s">
        <v>8</v>
      </c>
      <c r="F1851" t="s">
        <v>34</v>
      </c>
      <c r="H1851" s="23" t="str">
        <f>VLOOKUP(A1851,Revisión!$A$2:$L$703,6,FALSE)</f>
        <v>Rubus palmatus</v>
      </c>
      <c r="I1851" s="4" t="str">
        <f>VLOOKUP(A1851,Revisión!$A$2:$L$703,7,FALSE)</f>
        <v>-</v>
      </c>
      <c r="J1851" s="4" t="str">
        <f>VLOOKUP(A1851,Revisión!$A$2:$L$703,8,FALSE)</f>
        <v>Rubus palmatus</v>
      </c>
      <c r="K1851" s="4" t="str">
        <f>VLOOKUP(A1851,Revisión!$A$2:$L$703,9,FALSE)</f>
        <v>Rubus palmatus</v>
      </c>
      <c r="L1851" s="4" t="str">
        <f>VLOOKUP(A1851,Revisión!$A$2:$L$703,10,FALSE)</f>
        <v>Rubus palmatus</v>
      </c>
      <c r="M1851" s="18">
        <f>VLOOKUP(A1851,Revisión!$A$2:$L$703,11,FALSE)</f>
        <v>5</v>
      </c>
      <c r="N1851" s="30" t="str">
        <f>IF(E1851="Coinciden",D1851,IF(E1851="Revisar",VLOOKUP(A1851,Revisión!$A$2:$L$703,12,FALSE),""))</f>
        <v>Rubus palmatus</v>
      </c>
    </row>
    <row r="1852" spans="1:14" x14ac:dyDescent="0.3">
      <c r="A1852" t="s">
        <v>3814</v>
      </c>
      <c r="C1852" t="s">
        <v>3815</v>
      </c>
      <c r="D1852" t="s">
        <v>3815</v>
      </c>
      <c r="E1852" t="s">
        <v>8</v>
      </c>
      <c r="F1852" t="s">
        <v>49</v>
      </c>
      <c r="H1852" s="23" t="str">
        <f>VLOOKUP(A1852,Revisión!$A$2:$L$703,6,FALSE)</f>
        <v>Rubus alceifolius</v>
      </c>
      <c r="I1852" s="4" t="str">
        <f>VLOOKUP(A1852,Revisión!$A$2:$L$703,7,FALSE)</f>
        <v>-</v>
      </c>
      <c r="J1852" s="4" t="str">
        <f>VLOOKUP(A1852,Revisión!$A$2:$L$703,8,FALSE)</f>
        <v>Rubus alceifolius</v>
      </c>
      <c r="K1852" s="4" t="str">
        <f>VLOOKUP(A1852,Revisión!$A$2:$L$703,9,FALSE)</f>
        <v>Rubus alceifolius</v>
      </c>
      <c r="L1852" s="4" t="str">
        <f>VLOOKUP(A1852,Revisión!$A$2:$L$703,10,FALSE)</f>
        <v>Rubus alceifolius</v>
      </c>
      <c r="M1852" s="18">
        <f>VLOOKUP(A1852,Revisión!$A$2:$L$703,11,FALSE)</f>
        <v>5</v>
      </c>
      <c r="N1852" s="30" t="str">
        <f>IF(E1852="Coinciden",D1852,IF(E1852="Revisar",VLOOKUP(A1852,Revisión!$A$2:$L$703,12,FALSE),""))</f>
        <v>Rubus alceifolius</v>
      </c>
    </row>
    <row r="1853" spans="1:14" x14ac:dyDescent="0.3">
      <c r="A1853" t="s">
        <v>3816</v>
      </c>
      <c r="B1853" t="s">
        <v>3817</v>
      </c>
      <c r="C1853" t="s">
        <v>3817</v>
      </c>
      <c r="D1853" t="s">
        <v>3817</v>
      </c>
      <c r="E1853" t="s">
        <v>18</v>
      </c>
      <c r="F1853" t="s">
        <v>19</v>
      </c>
      <c r="H1853" s="23" t="e">
        <f>VLOOKUP(A1853,Revisión!$A$2:$L$703,6,FALSE)</f>
        <v>#N/A</v>
      </c>
      <c r="I1853" s="4" t="e">
        <f>VLOOKUP(A1853,Revisión!$A$2:$L$703,7,FALSE)</f>
        <v>#N/A</v>
      </c>
      <c r="J1853" s="4" t="e">
        <f>VLOOKUP(A1853,Revisión!$A$2:$L$703,8,FALSE)</f>
        <v>#N/A</v>
      </c>
      <c r="K1853" s="4" t="e">
        <f>VLOOKUP(A1853,Revisión!$A$2:$L$703,9,FALSE)</f>
        <v>#N/A</v>
      </c>
      <c r="L1853" s="4" t="e">
        <f>VLOOKUP(A1853,Revisión!$A$2:$L$703,10,FALSE)</f>
        <v>#N/A</v>
      </c>
      <c r="M1853" s="18" t="e">
        <f>VLOOKUP(A1853,Revisión!$A$2:$L$703,11,FALSE)</f>
        <v>#N/A</v>
      </c>
      <c r="N1853" s="30" t="str">
        <f>IF(E1853="Coinciden",D1853,IF(E1853="Revisar",VLOOKUP(A1853,Revisión!$A$2:$L$703,12,FALSE),""))</f>
        <v>Rubus microphyllus</v>
      </c>
    </row>
    <row r="1854" spans="1:14" x14ac:dyDescent="0.3">
      <c r="A1854" t="s">
        <v>3818</v>
      </c>
      <c r="B1854" t="s">
        <v>3819</v>
      </c>
      <c r="C1854" t="s">
        <v>3819</v>
      </c>
      <c r="D1854" t="s">
        <v>3819</v>
      </c>
      <c r="E1854" t="s">
        <v>18</v>
      </c>
      <c r="F1854" t="s">
        <v>19</v>
      </c>
      <c r="H1854" s="23" t="e">
        <f>VLOOKUP(A1854,Revisión!$A$2:$L$703,6,FALSE)</f>
        <v>#N/A</v>
      </c>
      <c r="I1854" s="4" t="e">
        <f>VLOOKUP(A1854,Revisión!$A$2:$L$703,7,FALSE)</f>
        <v>#N/A</v>
      </c>
      <c r="J1854" s="4" t="e">
        <f>VLOOKUP(A1854,Revisión!$A$2:$L$703,8,FALSE)</f>
        <v>#N/A</v>
      </c>
      <c r="K1854" s="4" t="e">
        <f>VLOOKUP(A1854,Revisión!$A$2:$L$703,9,FALSE)</f>
        <v>#N/A</v>
      </c>
      <c r="L1854" s="4" t="e">
        <f>VLOOKUP(A1854,Revisión!$A$2:$L$703,10,FALSE)</f>
        <v>#N/A</v>
      </c>
      <c r="M1854" s="18" t="e">
        <f>VLOOKUP(A1854,Revisión!$A$2:$L$703,11,FALSE)</f>
        <v>#N/A</v>
      </c>
      <c r="N1854" s="30" t="str">
        <f>IF(E1854="Coinciden",D1854,IF(E1854="Revisar",VLOOKUP(A1854,Revisión!$A$2:$L$703,12,FALSE),""))</f>
        <v>Rubus deliciosus</v>
      </c>
    </row>
    <row r="1855" spans="1:14" x14ac:dyDescent="0.3">
      <c r="A1855" t="s">
        <v>3820</v>
      </c>
      <c r="B1855" t="s">
        <v>3821</v>
      </c>
      <c r="C1855" t="s">
        <v>3821</v>
      </c>
      <c r="D1855" t="s">
        <v>3821</v>
      </c>
      <c r="E1855" t="s">
        <v>18</v>
      </c>
      <c r="F1855" t="s">
        <v>19</v>
      </c>
      <c r="H1855" s="23" t="e">
        <f>VLOOKUP(A1855,Revisión!$A$2:$L$703,6,FALSE)</f>
        <v>#N/A</v>
      </c>
      <c r="I1855" s="4" t="e">
        <f>VLOOKUP(A1855,Revisión!$A$2:$L$703,7,FALSE)</f>
        <v>#N/A</v>
      </c>
      <c r="J1855" s="4" t="e">
        <f>VLOOKUP(A1855,Revisión!$A$2:$L$703,8,FALSE)</f>
        <v>#N/A</v>
      </c>
      <c r="K1855" s="4" t="e">
        <f>VLOOKUP(A1855,Revisión!$A$2:$L$703,9,FALSE)</f>
        <v>#N/A</v>
      </c>
      <c r="L1855" s="4" t="e">
        <f>VLOOKUP(A1855,Revisión!$A$2:$L$703,10,FALSE)</f>
        <v>#N/A</v>
      </c>
      <c r="M1855" s="18" t="e">
        <f>VLOOKUP(A1855,Revisión!$A$2:$L$703,11,FALSE)</f>
        <v>#N/A</v>
      </c>
      <c r="N1855" s="30" t="str">
        <f>IF(E1855="Coinciden",D1855,IF(E1855="Revisar",VLOOKUP(A1855,Revisión!$A$2:$L$703,12,FALSE),""))</f>
        <v>Rubus buergeri</v>
      </c>
    </row>
    <row r="1856" spans="1:14" x14ac:dyDescent="0.3">
      <c r="A1856" t="s">
        <v>3822</v>
      </c>
      <c r="B1856" t="s">
        <v>3823</v>
      </c>
      <c r="D1856" t="s">
        <v>3823</v>
      </c>
      <c r="E1856" t="s">
        <v>8</v>
      </c>
      <c r="F1856" t="s">
        <v>34</v>
      </c>
      <c r="H1856" s="23" t="str">
        <f>VLOOKUP(A1856,Revisión!$A$2:$L$703,6,FALSE)</f>
        <v>Rubus parvifolius</v>
      </c>
      <c r="I1856" s="4" t="str">
        <f>VLOOKUP(A1856,Revisión!$A$2:$L$703,7,FALSE)</f>
        <v>-</v>
      </c>
      <c r="J1856" s="4" t="str">
        <f>VLOOKUP(A1856,Revisión!$A$2:$L$703,8,FALSE)</f>
        <v>Rubus parvifolius</v>
      </c>
      <c r="K1856" s="4" t="str">
        <f>VLOOKUP(A1856,Revisión!$A$2:$L$703,9,FALSE)</f>
        <v>Rubus parvifolius</v>
      </c>
      <c r="L1856" s="4" t="str">
        <f>VLOOKUP(A1856,Revisión!$A$2:$L$703,10,FALSE)</f>
        <v>Rubus parvifolius</v>
      </c>
      <c r="M1856" s="18">
        <f>VLOOKUP(A1856,Revisión!$A$2:$L$703,11,FALSE)</f>
        <v>5</v>
      </c>
      <c r="N1856" s="30" t="str">
        <f>IF(E1856="Coinciden",D1856,IF(E1856="Revisar",VLOOKUP(A1856,Revisión!$A$2:$L$703,12,FALSE),""))</f>
        <v>Rubus parvifolius</v>
      </c>
    </row>
    <row r="1857" spans="1:14" x14ac:dyDescent="0.3">
      <c r="A1857" t="s">
        <v>3824</v>
      </c>
      <c r="B1857" t="s">
        <v>3825</v>
      </c>
      <c r="C1857" t="s">
        <v>3825</v>
      </c>
      <c r="D1857" t="s">
        <v>3825</v>
      </c>
      <c r="E1857" t="s">
        <v>18</v>
      </c>
      <c r="F1857" t="s">
        <v>19</v>
      </c>
      <c r="H1857" s="23" t="e">
        <f>VLOOKUP(A1857,Revisión!$A$2:$L$703,6,FALSE)</f>
        <v>#N/A</v>
      </c>
      <c r="I1857" s="4" t="e">
        <f>VLOOKUP(A1857,Revisión!$A$2:$L$703,7,FALSE)</f>
        <v>#N/A</v>
      </c>
      <c r="J1857" s="4" t="e">
        <f>VLOOKUP(A1857,Revisión!$A$2:$L$703,8,FALSE)</f>
        <v>#N/A</v>
      </c>
      <c r="K1857" s="4" t="e">
        <f>VLOOKUP(A1857,Revisión!$A$2:$L$703,9,FALSE)</f>
        <v>#N/A</v>
      </c>
      <c r="L1857" s="4" t="e">
        <f>VLOOKUP(A1857,Revisión!$A$2:$L$703,10,FALSE)</f>
        <v>#N/A</v>
      </c>
      <c r="M1857" s="18" t="e">
        <f>VLOOKUP(A1857,Revisión!$A$2:$L$703,11,FALSE)</f>
        <v>#N/A</v>
      </c>
      <c r="N1857" s="30" t="str">
        <f>IF(E1857="Coinciden",D1857,IF(E1857="Revisar",VLOOKUP(A1857,Revisión!$A$2:$L$703,12,FALSE),""))</f>
        <v>Rubus grayanus</v>
      </c>
    </row>
    <row r="1858" spans="1:14" x14ac:dyDescent="0.3">
      <c r="A1858" t="s">
        <v>3826</v>
      </c>
      <c r="B1858" t="s">
        <v>3827</v>
      </c>
      <c r="C1858" t="s">
        <v>3827</v>
      </c>
      <c r="D1858" t="s">
        <v>3827</v>
      </c>
      <c r="E1858" t="s">
        <v>18</v>
      </c>
      <c r="F1858" t="s">
        <v>19</v>
      </c>
      <c r="H1858" s="23" t="e">
        <f>VLOOKUP(A1858,Revisión!$A$2:$L$703,6,FALSE)</f>
        <v>#N/A</v>
      </c>
      <c r="I1858" s="4" t="e">
        <f>VLOOKUP(A1858,Revisión!$A$2:$L$703,7,FALSE)</f>
        <v>#N/A</v>
      </c>
      <c r="J1858" s="4" t="e">
        <f>VLOOKUP(A1858,Revisión!$A$2:$L$703,8,FALSE)</f>
        <v>#N/A</v>
      </c>
      <c r="K1858" s="4" t="e">
        <f>VLOOKUP(A1858,Revisión!$A$2:$L$703,9,FALSE)</f>
        <v>#N/A</v>
      </c>
      <c r="L1858" s="4" t="e">
        <f>VLOOKUP(A1858,Revisión!$A$2:$L$703,10,FALSE)</f>
        <v>#N/A</v>
      </c>
      <c r="M1858" s="18" t="e">
        <f>VLOOKUP(A1858,Revisión!$A$2:$L$703,11,FALSE)</f>
        <v>#N/A</v>
      </c>
      <c r="N1858" s="30" t="str">
        <f>IF(E1858="Coinciden",D1858,IF(E1858="Revisar",VLOOKUP(A1858,Revisión!$A$2:$L$703,12,FALSE),""))</f>
        <v>Rubus crataegifolius</v>
      </c>
    </row>
    <row r="1859" spans="1:14" x14ac:dyDescent="0.3">
      <c r="A1859" t="s">
        <v>3828</v>
      </c>
      <c r="E1859" t="s">
        <v>8</v>
      </c>
      <c r="F1859" t="s">
        <v>11</v>
      </c>
      <c r="H1859" s="23" t="str">
        <f>VLOOKUP(A1859,Revisión!$A$2:$L$703,6,FALSE)</f>
        <v>Rubus serratus</v>
      </c>
      <c r="I1859" s="4" t="str">
        <f>VLOOKUP(A1859,Revisión!$A$2:$L$703,7,FALSE)</f>
        <v>-</v>
      </c>
      <c r="J1859" s="4" t="str">
        <f>VLOOKUP(A1859,Revisión!$A$2:$L$703,8,FALSE)</f>
        <v>Rubus villosus</v>
      </c>
      <c r="K1859" s="4" t="str">
        <f>VLOOKUP(A1859,Revisión!$A$2:$L$703,9,FALSE)</f>
        <v>Rubus radula</v>
      </c>
      <c r="L1859" s="4" t="str">
        <f>VLOOKUP(A1859,Revisión!$A$2:$L$703,10,FALSE)</f>
        <v>Rubus flagellaris</v>
      </c>
      <c r="M1859" s="18">
        <f>VLOOKUP(A1859,Revisión!$A$2:$L$703,11,FALSE)</f>
        <v>2</v>
      </c>
      <c r="N1859" s="30" t="str">
        <f>IF(E1859="Coinciden",D1859,IF(E1859="Revisar",VLOOKUP(A1859,Revisión!$A$2:$L$703,12,FALSE),""))</f>
        <v>Rubus villosus</v>
      </c>
    </row>
    <row r="1860" spans="1:14" x14ac:dyDescent="0.3">
      <c r="A1860" t="s">
        <v>3829</v>
      </c>
      <c r="B1860" t="s">
        <v>3830</v>
      </c>
      <c r="C1860" t="s">
        <v>3830</v>
      </c>
      <c r="D1860" t="s">
        <v>3830</v>
      </c>
      <c r="E1860" t="s">
        <v>18</v>
      </c>
      <c r="F1860" t="s">
        <v>19</v>
      </c>
      <c r="H1860" s="23" t="e">
        <f>VLOOKUP(A1860,Revisión!$A$2:$L$703,6,FALSE)</f>
        <v>#N/A</v>
      </c>
      <c r="I1860" s="4" t="e">
        <f>VLOOKUP(A1860,Revisión!$A$2:$L$703,7,FALSE)</f>
        <v>#N/A</v>
      </c>
      <c r="J1860" s="4" t="e">
        <f>VLOOKUP(A1860,Revisión!$A$2:$L$703,8,FALSE)</f>
        <v>#N/A</v>
      </c>
      <c r="K1860" s="4" t="e">
        <f>VLOOKUP(A1860,Revisión!$A$2:$L$703,9,FALSE)</f>
        <v>#N/A</v>
      </c>
      <c r="L1860" s="4" t="e">
        <f>VLOOKUP(A1860,Revisión!$A$2:$L$703,10,FALSE)</f>
        <v>#N/A</v>
      </c>
      <c r="M1860" s="18" t="e">
        <f>VLOOKUP(A1860,Revisión!$A$2:$L$703,11,FALSE)</f>
        <v>#N/A</v>
      </c>
      <c r="N1860" s="30" t="str">
        <f>IF(E1860="Coinciden",D1860,IF(E1860="Revisar",VLOOKUP(A1860,Revisión!$A$2:$L$703,12,FALSE),""))</f>
        <v>Rubus fruticosus</v>
      </c>
    </row>
    <row r="1861" spans="1:14" x14ac:dyDescent="0.3">
      <c r="A1861" t="s">
        <v>3831</v>
      </c>
      <c r="B1861" t="s">
        <v>3832</v>
      </c>
      <c r="C1861" t="s">
        <v>3832</v>
      </c>
      <c r="D1861" t="s">
        <v>3832</v>
      </c>
      <c r="E1861" t="s">
        <v>18</v>
      </c>
      <c r="F1861" t="s">
        <v>19</v>
      </c>
      <c r="H1861" s="23" t="e">
        <f>VLOOKUP(A1861,Revisión!$A$2:$L$703,6,FALSE)</f>
        <v>#N/A</v>
      </c>
      <c r="I1861" s="4" t="e">
        <f>VLOOKUP(A1861,Revisión!$A$2:$L$703,7,FALSE)</f>
        <v>#N/A</v>
      </c>
      <c r="J1861" s="4" t="e">
        <f>VLOOKUP(A1861,Revisión!$A$2:$L$703,8,FALSE)</f>
        <v>#N/A</v>
      </c>
      <c r="K1861" s="4" t="e">
        <f>VLOOKUP(A1861,Revisión!$A$2:$L$703,9,FALSE)</f>
        <v>#N/A</v>
      </c>
      <c r="L1861" s="4" t="e">
        <f>VLOOKUP(A1861,Revisión!$A$2:$L$703,10,FALSE)</f>
        <v>#N/A</v>
      </c>
      <c r="M1861" s="18" t="e">
        <f>VLOOKUP(A1861,Revisión!$A$2:$L$703,11,FALSE)</f>
        <v>#N/A</v>
      </c>
      <c r="N1861" s="30" t="str">
        <f>IF(E1861="Coinciden",D1861,IF(E1861="Revisar",VLOOKUP(A1861,Revisión!$A$2:$L$703,12,FALSE),""))</f>
        <v>Rubus sieboldii</v>
      </c>
    </row>
    <row r="1862" spans="1:14" x14ac:dyDescent="0.3">
      <c r="A1862" t="s">
        <v>3833</v>
      </c>
      <c r="B1862" t="s">
        <v>3834</v>
      </c>
      <c r="D1862" t="s">
        <v>3834</v>
      </c>
      <c r="E1862" t="s">
        <v>8</v>
      </c>
      <c r="F1862" t="s">
        <v>34</v>
      </c>
      <c r="H1862" s="23" t="str">
        <f>VLOOKUP(A1862,Revisión!$A$2:$L$703,6,FALSE)</f>
        <v>Rubus pungens</v>
      </c>
      <c r="I1862" s="4" t="str">
        <f>VLOOKUP(A1862,Revisión!$A$2:$L$703,7,FALSE)</f>
        <v>-</v>
      </c>
      <c r="J1862" s="4" t="str">
        <f>VLOOKUP(A1862,Revisión!$A$2:$L$703,8,FALSE)</f>
        <v>Rubus pungens</v>
      </c>
      <c r="K1862" s="4" t="str">
        <f>VLOOKUP(A1862,Revisión!$A$2:$L$703,9,FALSE)</f>
        <v>Rubus pungens</v>
      </c>
      <c r="L1862" s="4" t="str">
        <f>VLOOKUP(A1862,Revisión!$A$2:$L$703,10,FALSE)</f>
        <v>Rubus pungens</v>
      </c>
      <c r="M1862" s="18">
        <f>VLOOKUP(A1862,Revisión!$A$2:$L$703,11,FALSE)</f>
        <v>4</v>
      </c>
      <c r="N1862" s="30" t="str">
        <f>IF(E1862="Coinciden",D1862,IF(E1862="Revisar",VLOOKUP(A1862,Revisión!$A$2:$L$703,12,FALSE),""))</f>
        <v>Rubus pungens</v>
      </c>
    </row>
    <row r="1863" spans="1:14" x14ac:dyDescent="0.3">
      <c r="A1863" t="s">
        <v>3835</v>
      </c>
      <c r="B1863" t="s">
        <v>3836</v>
      </c>
      <c r="C1863" t="s">
        <v>3836</v>
      </c>
      <c r="D1863" t="s">
        <v>3836</v>
      </c>
      <c r="E1863" t="s">
        <v>18</v>
      </c>
      <c r="F1863" t="s">
        <v>19</v>
      </c>
      <c r="H1863" s="23" t="e">
        <f>VLOOKUP(A1863,Revisión!$A$2:$L$703,6,FALSE)</f>
        <v>#N/A</v>
      </c>
      <c r="I1863" s="4" t="e">
        <f>VLOOKUP(A1863,Revisión!$A$2:$L$703,7,FALSE)</f>
        <v>#N/A</v>
      </c>
      <c r="J1863" s="4" t="e">
        <f>VLOOKUP(A1863,Revisión!$A$2:$L$703,8,FALSE)</f>
        <v>#N/A</v>
      </c>
      <c r="K1863" s="4" t="e">
        <f>VLOOKUP(A1863,Revisión!$A$2:$L$703,9,FALSE)</f>
        <v>#N/A</v>
      </c>
      <c r="L1863" s="4" t="e">
        <f>VLOOKUP(A1863,Revisión!$A$2:$L$703,10,FALSE)</f>
        <v>#N/A</v>
      </c>
      <c r="M1863" s="18" t="e">
        <f>VLOOKUP(A1863,Revisión!$A$2:$L$703,11,FALSE)</f>
        <v>#N/A</v>
      </c>
      <c r="N1863" s="30" t="str">
        <f>IF(E1863="Coinciden",D1863,IF(E1863="Revisar",VLOOKUP(A1863,Revisión!$A$2:$L$703,12,FALSE),""))</f>
        <v>Rubus phoenicolasius</v>
      </c>
    </row>
    <row r="1864" spans="1:14" x14ac:dyDescent="0.3">
      <c r="A1864" t="s">
        <v>3837</v>
      </c>
      <c r="B1864" t="s">
        <v>3838</v>
      </c>
      <c r="C1864" t="s">
        <v>3838</v>
      </c>
      <c r="D1864" t="s">
        <v>3838</v>
      </c>
      <c r="E1864" t="s">
        <v>18</v>
      </c>
      <c r="F1864" t="s">
        <v>19</v>
      </c>
      <c r="H1864" s="23" t="e">
        <f>VLOOKUP(A1864,Revisión!$A$2:$L$703,6,FALSE)</f>
        <v>#N/A</v>
      </c>
      <c r="I1864" s="4" t="e">
        <f>VLOOKUP(A1864,Revisión!$A$2:$L$703,7,FALSE)</f>
        <v>#N/A</v>
      </c>
      <c r="J1864" s="4" t="e">
        <f>VLOOKUP(A1864,Revisión!$A$2:$L$703,8,FALSE)</f>
        <v>#N/A</v>
      </c>
      <c r="K1864" s="4" t="e">
        <f>VLOOKUP(A1864,Revisión!$A$2:$L$703,9,FALSE)</f>
        <v>#N/A</v>
      </c>
      <c r="L1864" s="4" t="e">
        <f>VLOOKUP(A1864,Revisión!$A$2:$L$703,10,FALSE)</f>
        <v>#N/A</v>
      </c>
      <c r="M1864" s="18" t="e">
        <f>VLOOKUP(A1864,Revisión!$A$2:$L$703,11,FALSE)</f>
        <v>#N/A</v>
      </c>
      <c r="N1864" s="30" t="str">
        <f>IF(E1864="Coinciden",D1864,IF(E1864="Revisar",VLOOKUP(A1864,Revisión!$A$2:$L$703,12,FALSE),""))</f>
        <v>Rubus illecebrosus</v>
      </c>
    </row>
    <row r="1865" spans="1:14" x14ac:dyDescent="0.3">
      <c r="A1865" t="s">
        <v>3839</v>
      </c>
      <c r="B1865" t="s">
        <v>3840</v>
      </c>
      <c r="C1865" t="s">
        <v>3840</v>
      </c>
      <c r="D1865" t="s">
        <v>3840</v>
      </c>
      <c r="E1865" t="s">
        <v>18</v>
      </c>
      <c r="F1865" t="s">
        <v>19</v>
      </c>
      <c r="H1865" s="23" t="e">
        <f>VLOOKUP(A1865,Revisión!$A$2:$L$703,6,FALSE)</f>
        <v>#N/A</v>
      </c>
      <c r="I1865" s="4" t="e">
        <f>VLOOKUP(A1865,Revisión!$A$2:$L$703,7,FALSE)</f>
        <v>#N/A</v>
      </c>
      <c r="J1865" s="4" t="e">
        <f>VLOOKUP(A1865,Revisión!$A$2:$L$703,8,FALSE)</f>
        <v>#N/A</v>
      </c>
      <c r="K1865" s="4" t="e">
        <f>VLOOKUP(A1865,Revisión!$A$2:$L$703,9,FALSE)</f>
        <v>#N/A</v>
      </c>
      <c r="L1865" s="4" t="e">
        <f>VLOOKUP(A1865,Revisión!$A$2:$L$703,10,FALSE)</f>
        <v>#N/A</v>
      </c>
      <c r="M1865" s="18" t="e">
        <f>VLOOKUP(A1865,Revisión!$A$2:$L$703,11,FALSE)</f>
        <v>#N/A</v>
      </c>
      <c r="N1865" s="30" t="str">
        <f>IF(E1865="Coinciden",D1865,IF(E1865="Revisar",VLOOKUP(A1865,Revisión!$A$2:$L$703,12,FALSE),""))</f>
        <v>Rubus croceacanthus</v>
      </c>
    </row>
    <row r="1866" spans="1:14" x14ac:dyDescent="0.3">
      <c r="A1866" t="s">
        <v>3841</v>
      </c>
      <c r="B1866" t="s">
        <v>3842</v>
      </c>
      <c r="C1866" t="s">
        <v>3842</v>
      </c>
      <c r="D1866" t="s">
        <v>3842</v>
      </c>
      <c r="E1866" t="s">
        <v>18</v>
      </c>
      <c r="F1866" t="s">
        <v>19</v>
      </c>
      <c r="H1866" s="23" t="e">
        <f>VLOOKUP(A1866,Revisión!$A$2:$L$703,6,FALSE)</f>
        <v>#N/A</v>
      </c>
      <c r="I1866" s="4" t="e">
        <f>VLOOKUP(A1866,Revisión!$A$2:$L$703,7,FALSE)</f>
        <v>#N/A</v>
      </c>
      <c r="J1866" s="4" t="e">
        <f>VLOOKUP(A1866,Revisión!$A$2:$L$703,8,FALSE)</f>
        <v>#N/A</v>
      </c>
      <c r="K1866" s="4" t="e">
        <f>VLOOKUP(A1866,Revisión!$A$2:$L$703,9,FALSE)</f>
        <v>#N/A</v>
      </c>
      <c r="L1866" s="4" t="e">
        <f>VLOOKUP(A1866,Revisión!$A$2:$L$703,10,FALSE)</f>
        <v>#N/A</v>
      </c>
      <c r="M1866" s="18" t="e">
        <f>VLOOKUP(A1866,Revisión!$A$2:$L$703,11,FALSE)</f>
        <v>#N/A</v>
      </c>
      <c r="N1866" s="30" t="str">
        <f>IF(E1866="Coinciden",D1866,IF(E1866="Revisar",VLOOKUP(A1866,Revisión!$A$2:$L$703,12,FALSE),""))</f>
        <v>Rubus idaeus subsp. strigosus</v>
      </c>
    </row>
    <row r="1867" spans="1:14" x14ac:dyDescent="0.3">
      <c r="A1867" t="s">
        <v>3843</v>
      </c>
      <c r="B1867" t="s">
        <v>3844</v>
      </c>
      <c r="D1867" t="s">
        <v>3844</v>
      </c>
      <c r="E1867" t="s">
        <v>8</v>
      </c>
      <c r="F1867" t="s">
        <v>34</v>
      </c>
      <c r="H1867" s="23" t="str">
        <f>VLOOKUP(A1867,Revisión!$A$2:$L$703,6,FALSE)</f>
        <v>Rubus canadensis</v>
      </c>
      <c r="I1867" s="4" t="str">
        <f>VLOOKUP(A1867,Revisión!$A$2:$L$703,7,FALSE)</f>
        <v>-</v>
      </c>
      <c r="J1867" s="4" t="str">
        <f>VLOOKUP(A1867,Revisión!$A$2:$L$703,8,FALSE)</f>
        <v>Rubus canadensis</v>
      </c>
      <c r="K1867" s="4" t="str">
        <f>VLOOKUP(A1867,Revisión!$A$2:$L$703,9,FALSE)</f>
        <v>Rubus canadensis</v>
      </c>
      <c r="L1867" s="4" t="str">
        <f>VLOOKUP(A1867,Revisión!$A$2:$L$703,10,FALSE)</f>
        <v>Rubus canadensis</v>
      </c>
      <c r="M1867" s="18">
        <f>VLOOKUP(A1867,Revisión!$A$2:$L$703,11,FALSE)</f>
        <v>5</v>
      </c>
      <c r="N1867" s="30" t="str">
        <f>IF(E1867="Coinciden",D1867,IF(E1867="Revisar",VLOOKUP(A1867,Revisión!$A$2:$L$703,12,FALSE),""))</f>
        <v>Rubus canadensis</v>
      </c>
    </row>
    <row r="1868" spans="1:14" x14ac:dyDescent="0.3">
      <c r="A1868" t="s">
        <v>3845</v>
      </c>
      <c r="B1868" t="s">
        <v>3846</v>
      </c>
      <c r="C1868" t="s">
        <v>3846</v>
      </c>
      <c r="D1868" t="s">
        <v>3846</v>
      </c>
      <c r="E1868" t="s">
        <v>18</v>
      </c>
      <c r="F1868" t="s">
        <v>19</v>
      </c>
      <c r="H1868" s="23" t="e">
        <f>VLOOKUP(A1868,Revisión!$A$2:$L$703,6,FALSE)</f>
        <v>#N/A</v>
      </c>
      <c r="I1868" s="4" t="e">
        <f>VLOOKUP(A1868,Revisión!$A$2:$L$703,7,FALSE)</f>
        <v>#N/A</v>
      </c>
      <c r="J1868" s="4" t="e">
        <f>VLOOKUP(A1868,Revisión!$A$2:$L$703,8,FALSE)</f>
        <v>#N/A</v>
      </c>
      <c r="K1868" s="4" t="e">
        <f>VLOOKUP(A1868,Revisión!$A$2:$L$703,9,FALSE)</f>
        <v>#N/A</v>
      </c>
      <c r="L1868" s="4" t="e">
        <f>VLOOKUP(A1868,Revisión!$A$2:$L$703,10,FALSE)</f>
        <v>#N/A</v>
      </c>
      <c r="M1868" s="18" t="e">
        <f>VLOOKUP(A1868,Revisión!$A$2:$L$703,11,FALSE)</f>
        <v>#N/A</v>
      </c>
      <c r="N1868" s="30" t="str">
        <f>IF(E1868="Coinciden",D1868,IF(E1868="Revisar",VLOOKUP(A1868,Revisión!$A$2:$L$703,12,FALSE),""))</f>
        <v>Rudbeckia subtomentosa</v>
      </c>
    </row>
    <row r="1869" spans="1:14" x14ac:dyDescent="0.3">
      <c r="A1869" t="s">
        <v>3847</v>
      </c>
      <c r="B1869" t="s">
        <v>3848</v>
      </c>
      <c r="C1869" t="s">
        <v>3848</v>
      </c>
      <c r="D1869" t="s">
        <v>3848</v>
      </c>
      <c r="E1869" t="s">
        <v>18</v>
      </c>
      <c r="F1869" t="s">
        <v>19</v>
      </c>
      <c r="H1869" s="23" t="e">
        <f>VLOOKUP(A1869,Revisión!$A$2:$L$703,6,FALSE)</f>
        <v>#N/A</v>
      </c>
      <c r="I1869" s="4" t="e">
        <f>VLOOKUP(A1869,Revisión!$A$2:$L$703,7,FALSE)</f>
        <v>#N/A</v>
      </c>
      <c r="J1869" s="4" t="e">
        <f>VLOOKUP(A1869,Revisión!$A$2:$L$703,8,FALSE)</f>
        <v>#N/A</v>
      </c>
      <c r="K1869" s="4" t="e">
        <f>VLOOKUP(A1869,Revisión!$A$2:$L$703,9,FALSE)</f>
        <v>#N/A</v>
      </c>
      <c r="L1869" s="4" t="e">
        <f>VLOOKUP(A1869,Revisión!$A$2:$L$703,10,FALSE)</f>
        <v>#N/A</v>
      </c>
      <c r="M1869" s="18" t="e">
        <f>VLOOKUP(A1869,Revisión!$A$2:$L$703,11,FALSE)</f>
        <v>#N/A</v>
      </c>
      <c r="N1869" s="30" t="str">
        <f>IF(E1869="Coinciden",D1869,IF(E1869="Revisar",VLOOKUP(A1869,Revisión!$A$2:$L$703,12,FALSE),""))</f>
        <v>Rudbeckia laciniata</v>
      </c>
    </row>
    <row r="1870" spans="1:14" x14ac:dyDescent="0.3">
      <c r="A1870" t="s">
        <v>3849</v>
      </c>
      <c r="B1870" t="s">
        <v>3850</v>
      </c>
      <c r="C1870" t="s">
        <v>3850</v>
      </c>
      <c r="D1870" t="s">
        <v>3850</v>
      </c>
      <c r="E1870" t="s">
        <v>18</v>
      </c>
      <c r="F1870" t="s">
        <v>19</v>
      </c>
      <c r="H1870" s="23" t="e">
        <f>VLOOKUP(A1870,Revisión!$A$2:$L$703,6,FALSE)</f>
        <v>#N/A</v>
      </c>
      <c r="I1870" s="4" t="e">
        <f>VLOOKUP(A1870,Revisión!$A$2:$L$703,7,FALSE)</f>
        <v>#N/A</v>
      </c>
      <c r="J1870" s="4" t="e">
        <f>VLOOKUP(A1870,Revisión!$A$2:$L$703,8,FALSE)</f>
        <v>#N/A</v>
      </c>
      <c r="K1870" s="4" t="e">
        <f>VLOOKUP(A1870,Revisión!$A$2:$L$703,9,FALSE)</f>
        <v>#N/A</v>
      </c>
      <c r="L1870" s="4" t="e">
        <f>VLOOKUP(A1870,Revisión!$A$2:$L$703,10,FALSE)</f>
        <v>#N/A</v>
      </c>
      <c r="M1870" s="18" t="e">
        <f>VLOOKUP(A1870,Revisión!$A$2:$L$703,11,FALSE)</f>
        <v>#N/A</v>
      </c>
      <c r="N1870" s="30" t="str">
        <f>IF(E1870="Coinciden",D1870,IF(E1870="Revisar",VLOOKUP(A1870,Revisión!$A$2:$L$703,12,FALSE),""))</f>
        <v>Rudbeckia triloba</v>
      </c>
    </row>
    <row r="1871" spans="1:14" x14ac:dyDescent="0.3">
      <c r="A1871" t="s">
        <v>3851</v>
      </c>
      <c r="B1871" t="s">
        <v>3852</v>
      </c>
      <c r="C1871" t="s">
        <v>3852</v>
      </c>
      <c r="D1871" t="s">
        <v>3852</v>
      </c>
      <c r="E1871" t="s">
        <v>18</v>
      </c>
      <c r="F1871" t="s">
        <v>19</v>
      </c>
      <c r="H1871" s="23" t="e">
        <f>VLOOKUP(A1871,Revisión!$A$2:$L$703,6,FALSE)</f>
        <v>#N/A</v>
      </c>
      <c r="I1871" s="4" t="e">
        <f>VLOOKUP(A1871,Revisión!$A$2:$L$703,7,FALSE)</f>
        <v>#N/A</v>
      </c>
      <c r="J1871" s="4" t="e">
        <f>VLOOKUP(A1871,Revisión!$A$2:$L$703,8,FALSE)</f>
        <v>#N/A</v>
      </c>
      <c r="K1871" s="4" t="e">
        <f>VLOOKUP(A1871,Revisión!$A$2:$L$703,9,FALSE)</f>
        <v>#N/A</v>
      </c>
      <c r="L1871" s="4" t="e">
        <f>VLOOKUP(A1871,Revisión!$A$2:$L$703,10,FALSE)</f>
        <v>#N/A</v>
      </c>
      <c r="M1871" s="18" t="e">
        <f>VLOOKUP(A1871,Revisión!$A$2:$L$703,11,FALSE)</f>
        <v>#N/A</v>
      </c>
      <c r="N1871" s="30" t="str">
        <f>IF(E1871="Coinciden",D1871,IF(E1871="Revisar",VLOOKUP(A1871,Revisión!$A$2:$L$703,12,FALSE),""))</f>
        <v>Rudbeckia hirta</v>
      </c>
    </row>
    <row r="1872" spans="1:14" x14ac:dyDescent="0.3">
      <c r="A1872" t="s">
        <v>3853</v>
      </c>
      <c r="B1872" t="s">
        <v>3854</v>
      </c>
      <c r="C1872" t="s">
        <v>3854</v>
      </c>
      <c r="D1872" t="s">
        <v>3854</v>
      </c>
      <c r="E1872" t="s">
        <v>18</v>
      </c>
      <c r="F1872" t="s">
        <v>19</v>
      </c>
      <c r="H1872" s="23" t="e">
        <f>VLOOKUP(A1872,Revisión!$A$2:$L$703,6,FALSE)</f>
        <v>#N/A</v>
      </c>
      <c r="I1872" s="4" t="e">
        <f>VLOOKUP(A1872,Revisión!$A$2:$L$703,7,FALSE)</f>
        <v>#N/A</v>
      </c>
      <c r="J1872" s="4" t="e">
        <f>VLOOKUP(A1872,Revisión!$A$2:$L$703,8,FALSE)</f>
        <v>#N/A</v>
      </c>
      <c r="K1872" s="4" t="e">
        <f>VLOOKUP(A1872,Revisión!$A$2:$L$703,9,FALSE)</f>
        <v>#N/A</v>
      </c>
      <c r="L1872" s="4" t="e">
        <f>VLOOKUP(A1872,Revisión!$A$2:$L$703,10,FALSE)</f>
        <v>#N/A</v>
      </c>
      <c r="M1872" s="18" t="e">
        <f>VLOOKUP(A1872,Revisión!$A$2:$L$703,11,FALSE)</f>
        <v>#N/A</v>
      </c>
      <c r="N1872" s="30" t="str">
        <f>IF(E1872="Coinciden",D1872,IF(E1872="Revisar",VLOOKUP(A1872,Revisión!$A$2:$L$703,12,FALSE),""))</f>
        <v>Ruellia caroliniensis subsp. ciliosa</v>
      </c>
    </row>
    <row r="1873" spans="1:14" x14ac:dyDescent="0.3">
      <c r="A1873" t="s">
        <v>3855</v>
      </c>
      <c r="B1873" t="s">
        <v>3856</v>
      </c>
      <c r="C1873" t="s">
        <v>3856</v>
      </c>
      <c r="D1873" t="s">
        <v>3856</v>
      </c>
      <c r="E1873" t="s">
        <v>18</v>
      </c>
      <c r="F1873" t="s">
        <v>19</v>
      </c>
      <c r="H1873" s="23" t="e">
        <f>VLOOKUP(A1873,Revisión!$A$2:$L$703,6,FALSE)</f>
        <v>#N/A</v>
      </c>
      <c r="I1873" s="4" t="e">
        <f>VLOOKUP(A1873,Revisión!$A$2:$L$703,7,FALSE)</f>
        <v>#N/A</v>
      </c>
      <c r="J1873" s="4" t="e">
        <f>VLOOKUP(A1873,Revisión!$A$2:$L$703,8,FALSE)</f>
        <v>#N/A</v>
      </c>
      <c r="K1873" s="4" t="e">
        <f>VLOOKUP(A1873,Revisión!$A$2:$L$703,9,FALSE)</f>
        <v>#N/A</v>
      </c>
      <c r="L1873" s="4" t="e">
        <f>VLOOKUP(A1873,Revisión!$A$2:$L$703,10,FALSE)</f>
        <v>#N/A</v>
      </c>
      <c r="M1873" s="18" t="e">
        <f>VLOOKUP(A1873,Revisión!$A$2:$L$703,11,FALSE)</f>
        <v>#N/A</v>
      </c>
      <c r="N1873" s="30" t="str">
        <f>IF(E1873="Coinciden",D1873,IF(E1873="Revisar",VLOOKUP(A1873,Revisión!$A$2:$L$703,12,FALSE),""))</f>
        <v>Ruellia strepens</v>
      </c>
    </row>
    <row r="1874" spans="1:14" x14ac:dyDescent="0.3">
      <c r="A1874" t="s">
        <v>3857</v>
      </c>
      <c r="B1874" t="s">
        <v>3858</v>
      </c>
      <c r="C1874" t="s">
        <v>3858</v>
      </c>
      <c r="D1874" t="s">
        <v>3858</v>
      </c>
      <c r="E1874" t="s">
        <v>18</v>
      </c>
      <c r="F1874" t="s">
        <v>19</v>
      </c>
      <c r="H1874" s="23" t="e">
        <f>VLOOKUP(A1874,Revisión!$A$2:$L$703,6,FALSE)</f>
        <v>#N/A</v>
      </c>
      <c r="I1874" s="4" t="e">
        <f>VLOOKUP(A1874,Revisión!$A$2:$L$703,7,FALSE)</f>
        <v>#N/A</v>
      </c>
      <c r="J1874" s="4" t="e">
        <f>VLOOKUP(A1874,Revisión!$A$2:$L$703,8,FALSE)</f>
        <v>#N/A</v>
      </c>
      <c r="K1874" s="4" t="e">
        <f>VLOOKUP(A1874,Revisión!$A$2:$L$703,9,FALSE)</f>
        <v>#N/A</v>
      </c>
      <c r="L1874" s="4" t="e">
        <f>VLOOKUP(A1874,Revisión!$A$2:$L$703,10,FALSE)</f>
        <v>#N/A</v>
      </c>
      <c r="M1874" s="18" t="e">
        <f>VLOOKUP(A1874,Revisión!$A$2:$L$703,11,FALSE)</f>
        <v>#N/A</v>
      </c>
      <c r="N1874" s="30" t="str">
        <f>IF(E1874="Coinciden",D1874,IF(E1874="Revisar",VLOOKUP(A1874,Revisión!$A$2:$L$703,12,FALSE),""))</f>
        <v>Ruta chalepensis</v>
      </c>
    </row>
    <row r="1875" spans="1:14" x14ac:dyDescent="0.3">
      <c r="A1875" t="s">
        <v>3859</v>
      </c>
      <c r="B1875" t="s">
        <v>3860</v>
      </c>
      <c r="C1875" t="s">
        <v>3860</v>
      </c>
      <c r="D1875" t="s">
        <v>3860</v>
      </c>
      <c r="E1875" t="s">
        <v>18</v>
      </c>
      <c r="F1875" t="s">
        <v>19</v>
      </c>
      <c r="H1875" s="23" t="e">
        <f>VLOOKUP(A1875,Revisión!$A$2:$L$703,6,FALSE)</f>
        <v>#N/A</v>
      </c>
      <c r="I1875" s="4" t="e">
        <f>VLOOKUP(A1875,Revisión!$A$2:$L$703,7,FALSE)</f>
        <v>#N/A</v>
      </c>
      <c r="J1875" s="4" t="e">
        <f>VLOOKUP(A1875,Revisión!$A$2:$L$703,8,FALSE)</f>
        <v>#N/A</v>
      </c>
      <c r="K1875" s="4" t="e">
        <f>VLOOKUP(A1875,Revisión!$A$2:$L$703,9,FALSE)</f>
        <v>#N/A</v>
      </c>
      <c r="L1875" s="4" t="e">
        <f>VLOOKUP(A1875,Revisión!$A$2:$L$703,10,FALSE)</f>
        <v>#N/A</v>
      </c>
      <c r="M1875" s="18" t="e">
        <f>VLOOKUP(A1875,Revisión!$A$2:$L$703,11,FALSE)</f>
        <v>#N/A</v>
      </c>
      <c r="N1875" s="30" t="str">
        <f>IF(E1875="Coinciden",D1875,IF(E1875="Revisar",VLOOKUP(A1875,Revisión!$A$2:$L$703,12,FALSE),""))</f>
        <v>Ruta graveolens</v>
      </c>
    </row>
    <row r="1876" spans="1:14" x14ac:dyDescent="0.3">
      <c r="A1876" t="s">
        <v>3861</v>
      </c>
      <c r="C1876" t="s">
        <v>3862</v>
      </c>
      <c r="D1876" t="s">
        <v>3862</v>
      </c>
      <c r="E1876" t="s">
        <v>8</v>
      </c>
      <c r="F1876" t="s">
        <v>49</v>
      </c>
      <c r="H1876" s="23" t="str">
        <f>VLOOKUP(A1876,Revisión!$A$2:$L$703,6,FALSE)</f>
        <v>Hymenoxys grandiflora </v>
      </c>
      <c r="I1876" s="4" t="str">
        <f>VLOOKUP(A1876,Revisión!$A$2:$L$703,7,FALSE)</f>
        <v>-</v>
      </c>
      <c r="J1876" s="4" t="str">
        <f>VLOOKUP(A1876,Revisión!$A$2:$L$703,8,FALSE)</f>
        <v>Hymenoxys grandiflora</v>
      </c>
      <c r="K1876" s="4" t="str">
        <f>VLOOKUP(A1876,Revisión!$A$2:$L$703,9,FALSE)</f>
        <v>Hymenoxys grandiflora </v>
      </c>
      <c r="L1876" s="4" t="str">
        <f>VLOOKUP(A1876,Revisión!$A$2:$L$703,10,FALSE)</f>
        <v>Hymenoxys grandiflora </v>
      </c>
      <c r="M1876" s="18">
        <f>VLOOKUP(A1876,Revisión!$A$2:$L$703,11,FALSE)</f>
        <v>4</v>
      </c>
      <c r="N1876" s="30" t="str">
        <f>IF(E1876="Coinciden",D1876,IF(E1876="Revisar",VLOOKUP(A1876,Revisión!$A$2:$L$703,12,FALSE),""))</f>
        <v>Hymenoxys grandiflora </v>
      </c>
    </row>
    <row r="1877" spans="1:14" x14ac:dyDescent="0.3">
      <c r="A1877" t="s">
        <v>3863</v>
      </c>
      <c r="C1877" t="s">
        <v>3864</v>
      </c>
      <c r="D1877" t="s">
        <v>3864</v>
      </c>
      <c r="E1877" t="s">
        <v>8</v>
      </c>
      <c r="F1877" t="s">
        <v>49</v>
      </c>
      <c r="H1877" s="23" t="str">
        <f>VLOOKUP(A1877,Revisión!$A$2:$L$703,6,FALSE)</f>
        <v>Sagittaria guayanensis</v>
      </c>
      <c r="I1877" s="4" t="str">
        <f>VLOOKUP(A1877,Revisión!$A$2:$L$703,7,FALSE)</f>
        <v>-</v>
      </c>
      <c r="J1877" s="4" t="str">
        <f>VLOOKUP(A1877,Revisión!$A$2:$L$703,8,FALSE)</f>
        <v>Sagittaria guayanensis</v>
      </c>
      <c r="K1877" s="4" t="str">
        <f>VLOOKUP(A1877,Revisión!$A$2:$L$703,9,FALSE)</f>
        <v>Sagittaria guayanensis</v>
      </c>
      <c r="L1877" s="4" t="str">
        <f>VLOOKUP(A1877,Revisión!$A$2:$L$703,10,FALSE)</f>
        <v>Sagittaria guayanensis</v>
      </c>
      <c r="M1877" s="18">
        <f>VLOOKUP(A1877,Revisión!$A$2:$L$703,11,FALSE)</f>
        <v>5</v>
      </c>
      <c r="N1877" s="30" t="str">
        <f>IF(E1877="Coinciden",D1877,IF(E1877="Revisar",VLOOKUP(A1877,Revisión!$A$2:$L$703,12,FALSE),""))</f>
        <v>Sagittaria guayanensis</v>
      </c>
    </row>
    <row r="1878" spans="1:14" x14ac:dyDescent="0.3">
      <c r="A1878" t="s">
        <v>3865</v>
      </c>
      <c r="B1878" t="s">
        <v>3866</v>
      </c>
      <c r="C1878" t="s">
        <v>3866</v>
      </c>
      <c r="D1878" t="s">
        <v>3866</v>
      </c>
      <c r="E1878" t="s">
        <v>18</v>
      </c>
      <c r="F1878" t="s">
        <v>19</v>
      </c>
      <c r="H1878" s="23" t="e">
        <f>VLOOKUP(A1878,Revisión!$A$2:$L$703,6,FALSE)</f>
        <v>#N/A</v>
      </c>
      <c r="I1878" s="4" t="e">
        <f>VLOOKUP(A1878,Revisión!$A$2:$L$703,7,FALSE)</f>
        <v>#N/A</v>
      </c>
      <c r="J1878" s="4" t="e">
        <f>VLOOKUP(A1878,Revisión!$A$2:$L$703,8,FALSE)</f>
        <v>#N/A</v>
      </c>
      <c r="K1878" s="4" t="e">
        <f>VLOOKUP(A1878,Revisión!$A$2:$L$703,9,FALSE)</f>
        <v>#N/A</v>
      </c>
      <c r="L1878" s="4" t="e">
        <f>VLOOKUP(A1878,Revisión!$A$2:$L$703,10,FALSE)</f>
        <v>#N/A</v>
      </c>
      <c r="M1878" s="18" t="e">
        <f>VLOOKUP(A1878,Revisión!$A$2:$L$703,11,FALSE)</f>
        <v>#N/A</v>
      </c>
      <c r="N1878" s="30" t="str">
        <f>IF(E1878="Coinciden",D1878,IF(E1878="Revisar",VLOOKUP(A1878,Revisión!$A$2:$L$703,12,FALSE),""))</f>
        <v>Sagittaria latifolia</v>
      </c>
    </row>
    <row r="1879" spans="1:14" x14ac:dyDescent="0.3">
      <c r="A1879" t="s">
        <v>3867</v>
      </c>
      <c r="B1879" t="s">
        <v>3868</v>
      </c>
      <c r="C1879" t="s">
        <v>3868</v>
      </c>
      <c r="D1879" t="s">
        <v>3868</v>
      </c>
      <c r="E1879" t="s">
        <v>18</v>
      </c>
      <c r="F1879" t="s">
        <v>19</v>
      </c>
      <c r="H1879" s="23" t="e">
        <f>VLOOKUP(A1879,Revisión!$A$2:$L$703,6,FALSE)</f>
        <v>#N/A</v>
      </c>
      <c r="I1879" s="4" t="e">
        <f>VLOOKUP(A1879,Revisión!$A$2:$L$703,7,FALSE)</f>
        <v>#N/A</v>
      </c>
      <c r="J1879" s="4" t="e">
        <f>VLOOKUP(A1879,Revisión!$A$2:$L$703,8,FALSE)</f>
        <v>#N/A</v>
      </c>
      <c r="K1879" s="4" t="e">
        <f>VLOOKUP(A1879,Revisión!$A$2:$L$703,9,FALSE)</f>
        <v>#N/A</v>
      </c>
      <c r="L1879" s="4" t="e">
        <f>VLOOKUP(A1879,Revisión!$A$2:$L$703,10,FALSE)</f>
        <v>#N/A</v>
      </c>
      <c r="M1879" s="18" t="e">
        <f>VLOOKUP(A1879,Revisión!$A$2:$L$703,11,FALSE)</f>
        <v>#N/A</v>
      </c>
      <c r="N1879" s="30" t="str">
        <f>IF(E1879="Coinciden",D1879,IF(E1879="Revisar",VLOOKUP(A1879,Revisión!$A$2:$L$703,12,FALSE),""))</f>
        <v>Sagittaria trifolia</v>
      </c>
    </row>
    <row r="1880" spans="1:14" x14ac:dyDescent="0.3">
      <c r="A1880" t="s">
        <v>3869</v>
      </c>
      <c r="B1880" t="s">
        <v>3870</v>
      </c>
      <c r="D1880" t="s">
        <v>3870</v>
      </c>
      <c r="E1880" t="s">
        <v>8</v>
      </c>
      <c r="F1880" t="s">
        <v>34</v>
      </c>
      <c r="H1880" s="23" t="str">
        <f>VLOOKUP(A1880,Revisión!$A$2:$L$703,6,FALSE)</f>
        <v>Salix repens</v>
      </c>
      <c r="I1880" s="4" t="str">
        <f>VLOOKUP(A1880,Revisión!$A$2:$L$703,7,FALSE)</f>
        <v>-</v>
      </c>
      <c r="J1880" s="4" t="str">
        <f>VLOOKUP(A1880,Revisión!$A$2:$L$703,8,FALSE)</f>
        <v>Salix repens</v>
      </c>
      <c r="K1880" s="4" t="str">
        <f>VLOOKUP(A1880,Revisión!$A$2:$L$703,9,FALSE)</f>
        <v>Salix repens</v>
      </c>
      <c r="L1880" s="4" t="str">
        <f>VLOOKUP(A1880,Revisión!$A$2:$L$703,10,FALSE)</f>
        <v>Salix repens</v>
      </c>
      <c r="M1880" s="18">
        <f>VLOOKUP(A1880,Revisión!$A$2:$L$703,11,FALSE)</f>
        <v>5</v>
      </c>
      <c r="N1880" s="30" t="str">
        <f>IF(E1880="Coinciden",D1880,IF(E1880="Revisar",VLOOKUP(A1880,Revisión!$A$2:$L$703,12,FALSE),""))</f>
        <v>Salix repens</v>
      </c>
    </row>
    <row r="1881" spans="1:14" x14ac:dyDescent="0.3">
      <c r="A1881" t="s">
        <v>3871</v>
      </c>
      <c r="B1881" t="s">
        <v>3872</v>
      </c>
      <c r="D1881" t="s">
        <v>3872</v>
      </c>
      <c r="E1881" t="s">
        <v>8</v>
      </c>
      <c r="F1881" t="s">
        <v>34</v>
      </c>
      <c r="H1881" s="23" t="str">
        <f>VLOOKUP(A1881,Revisión!$A$2:$L$703,6,FALSE)</f>
        <v>Salix humilis</v>
      </c>
      <c r="I1881" s="4" t="str">
        <f>VLOOKUP(A1881,Revisión!$A$2:$L$703,7,FALSE)</f>
        <v>-</v>
      </c>
      <c r="J1881" s="4" t="str">
        <f>VLOOKUP(A1881,Revisión!$A$2:$L$703,8,FALSE)</f>
        <v>Salix humilis</v>
      </c>
      <c r="K1881" s="4" t="str">
        <f>VLOOKUP(A1881,Revisión!$A$2:$L$703,9,FALSE)</f>
        <v>Salix humilis</v>
      </c>
      <c r="L1881" s="4" t="str">
        <f>VLOOKUP(A1881,Revisión!$A$2:$L$703,10,FALSE)</f>
        <v>Salix humilis</v>
      </c>
      <c r="M1881" s="18">
        <f>VLOOKUP(A1881,Revisión!$A$2:$L$703,11,FALSE)</f>
        <v>5</v>
      </c>
      <c r="N1881" s="30" t="str">
        <f>IF(E1881="Coinciden",D1881,IF(E1881="Revisar",VLOOKUP(A1881,Revisión!$A$2:$L$703,12,FALSE),""))</f>
        <v>Salix humilis</v>
      </c>
    </row>
    <row r="1882" spans="1:14" x14ac:dyDescent="0.3">
      <c r="A1882" t="s">
        <v>3873</v>
      </c>
      <c r="B1882" t="s">
        <v>3874</v>
      </c>
      <c r="D1882" t="s">
        <v>3874</v>
      </c>
      <c r="E1882" t="s">
        <v>8</v>
      </c>
      <c r="F1882" t="s">
        <v>34</v>
      </c>
      <c r="H1882" s="23" t="str">
        <f>VLOOKUP(A1882,Revisión!$A$2:$L$703,6,FALSE)</f>
        <v>Salix aurita</v>
      </c>
      <c r="I1882" s="4" t="str">
        <f>VLOOKUP(A1882,Revisión!$A$2:$L$703,7,FALSE)</f>
        <v>-</v>
      </c>
      <c r="J1882" s="4" t="str">
        <f>VLOOKUP(A1882,Revisión!$A$2:$L$703,8,FALSE)</f>
        <v>Salix aurita</v>
      </c>
      <c r="K1882" s="4" t="str">
        <f>VLOOKUP(A1882,Revisión!$A$2:$L$703,9,FALSE)</f>
        <v>Salix aurita</v>
      </c>
      <c r="L1882" s="4" t="str">
        <f>VLOOKUP(A1882,Revisión!$A$2:$L$703,10,FALSE)</f>
        <v>Salix aurita</v>
      </c>
      <c r="M1882" s="18">
        <f>VLOOKUP(A1882,Revisión!$A$2:$L$703,11,FALSE)</f>
        <v>5</v>
      </c>
      <c r="N1882" s="30" t="str">
        <f>IF(E1882="Coinciden",D1882,IF(E1882="Revisar",VLOOKUP(A1882,Revisión!$A$2:$L$703,12,FALSE),""))</f>
        <v>Salix aurita</v>
      </c>
    </row>
    <row r="1883" spans="1:14" x14ac:dyDescent="0.3">
      <c r="A1883" t="s">
        <v>3875</v>
      </c>
      <c r="B1883" t="s">
        <v>3876</v>
      </c>
      <c r="C1883" t="s">
        <v>3876</v>
      </c>
      <c r="D1883" t="s">
        <v>3876</v>
      </c>
      <c r="E1883" t="s">
        <v>18</v>
      </c>
      <c r="F1883" t="s">
        <v>19</v>
      </c>
      <c r="H1883" s="23" t="e">
        <f>VLOOKUP(A1883,Revisión!$A$2:$L$703,6,FALSE)</f>
        <v>#N/A</v>
      </c>
      <c r="I1883" s="4" t="e">
        <f>VLOOKUP(A1883,Revisión!$A$2:$L$703,7,FALSE)</f>
        <v>#N/A</v>
      </c>
      <c r="J1883" s="4" t="e">
        <f>VLOOKUP(A1883,Revisión!$A$2:$L$703,8,FALSE)</f>
        <v>#N/A</v>
      </c>
      <c r="K1883" s="4" t="e">
        <f>VLOOKUP(A1883,Revisión!$A$2:$L$703,9,FALSE)</f>
        <v>#N/A</v>
      </c>
      <c r="L1883" s="4" t="e">
        <f>VLOOKUP(A1883,Revisión!$A$2:$L$703,10,FALSE)</f>
        <v>#N/A</v>
      </c>
      <c r="M1883" s="18" t="e">
        <f>VLOOKUP(A1883,Revisión!$A$2:$L$703,11,FALSE)</f>
        <v>#N/A</v>
      </c>
      <c r="N1883" s="30" t="str">
        <f>IF(E1883="Coinciden",D1883,IF(E1883="Revisar",VLOOKUP(A1883,Revisión!$A$2:$L$703,12,FALSE),""))</f>
        <v>Salix amygdaloides</v>
      </c>
    </row>
    <row r="1884" spans="1:14" x14ac:dyDescent="0.3">
      <c r="A1884" t="s">
        <v>3877</v>
      </c>
      <c r="B1884" t="s">
        <v>3878</v>
      </c>
      <c r="C1884" t="s">
        <v>3878</v>
      </c>
      <c r="D1884" t="s">
        <v>3878</v>
      </c>
      <c r="E1884" t="s">
        <v>18</v>
      </c>
      <c r="F1884" t="s">
        <v>19</v>
      </c>
      <c r="H1884" s="23" t="e">
        <f>VLOOKUP(A1884,Revisión!$A$2:$L$703,6,FALSE)</f>
        <v>#N/A</v>
      </c>
      <c r="I1884" s="4" t="e">
        <f>VLOOKUP(A1884,Revisión!$A$2:$L$703,7,FALSE)</f>
        <v>#N/A</v>
      </c>
      <c r="J1884" s="4" t="e">
        <f>VLOOKUP(A1884,Revisión!$A$2:$L$703,8,FALSE)</f>
        <v>#N/A</v>
      </c>
      <c r="K1884" s="4" t="e">
        <f>VLOOKUP(A1884,Revisión!$A$2:$L$703,9,FALSE)</f>
        <v>#N/A</v>
      </c>
      <c r="L1884" s="4" t="e">
        <f>VLOOKUP(A1884,Revisión!$A$2:$L$703,10,FALSE)</f>
        <v>#N/A</v>
      </c>
      <c r="M1884" s="18" t="e">
        <f>VLOOKUP(A1884,Revisión!$A$2:$L$703,11,FALSE)</f>
        <v>#N/A</v>
      </c>
      <c r="N1884" s="30" t="str">
        <f>IF(E1884="Coinciden",D1884,IF(E1884="Revisar",VLOOKUP(A1884,Revisión!$A$2:$L$703,12,FALSE),""))</f>
        <v>Salix sieboldiana</v>
      </c>
    </row>
    <row r="1885" spans="1:14" x14ac:dyDescent="0.3">
      <c r="A1885" t="s">
        <v>3879</v>
      </c>
      <c r="B1885" t="s">
        <v>3880</v>
      </c>
      <c r="D1885" t="s">
        <v>3880</v>
      </c>
      <c r="E1885" t="s">
        <v>8</v>
      </c>
      <c r="F1885" t="s">
        <v>34</v>
      </c>
      <c r="H1885" s="23" t="str">
        <f>VLOOKUP(A1885,Revisión!$A$2:$L$703,6,FALSE)</f>
        <v>Salix cordata</v>
      </c>
      <c r="I1885" s="4" t="str">
        <f>VLOOKUP(A1885,Revisión!$A$2:$L$703,7,FALSE)</f>
        <v>-</v>
      </c>
      <c r="J1885" s="4" t="str">
        <f>VLOOKUP(A1885,Revisión!$A$2:$L$703,8,FALSE)</f>
        <v>Salix cordata</v>
      </c>
      <c r="K1885" s="4" t="str">
        <f>VLOOKUP(A1885,Revisión!$A$2:$L$703,9,FALSE)</f>
        <v>Salix cordata</v>
      </c>
      <c r="L1885" s="4" t="str">
        <f>VLOOKUP(A1885,Revisión!$A$2:$L$703,10,FALSE)</f>
        <v>Salix cordata</v>
      </c>
      <c r="M1885" s="18">
        <f>VLOOKUP(A1885,Revisión!$A$2:$L$703,11,FALSE)</f>
        <v>5</v>
      </c>
      <c r="N1885" s="30" t="str">
        <f>IF(E1885="Coinciden",D1885,IF(E1885="Revisar",VLOOKUP(A1885,Revisión!$A$2:$L$703,12,FALSE),""))</f>
        <v>Salix cordata</v>
      </c>
    </row>
    <row r="1886" spans="1:14" x14ac:dyDescent="0.3">
      <c r="A1886" t="s">
        <v>3881</v>
      </c>
      <c r="B1886" t="s">
        <v>3882</v>
      </c>
      <c r="C1886" t="s">
        <v>3882</v>
      </c>
      <c r="D1886" t="s">
        <v>3882</v>
      </c>
      <c r="E1886" t="s">
        <v>18</v>
      </c>
      <c r="F1886" t="s">
        <v>19</v>
      </c>
      <c r="H1886" s="23" t="e">
        <f>VLOOKUP(A1886,Revisión!$A$2:$L$703,6,FALSE)</f>
        <v>#N/A</v>
      </c>
      <c r="I1886" s="4" t="e">
        <f>VLOOKUP(A1886,Revisión!$A$2:$L$703,7,FALSE)</f>
        <v>#N/A</v>
      </c>
      <c r="J1886" s="4" t="e">
        <f>VLOOKUP(A1886,Revisión!$A$2:$L$703,8,FALSE)</f>
        <v>#N/A</v>
      </c>
      <c r="K1886" s="4" t="e">
        <f>VLOOKUP(A1886,Revisión!$A$2:$L$703,9,FALSE)</f>
        <v>#N/A</v>
      </c>
      <c r="L1886" s="4" t="e">
        <f>VLOOKUP(A1886,Revisión!$A$2:$L$703,10,FALSE)</f>
        <v>#N/A</v>
      </c>
      <c r="M1886" s="18" t="e">
        <f>VLOOKUP(A1886,Revisión!$A$2:$L$703,11,FALSE)</f>
        <v>#N/A</v>
      </c>
      <c r="N1886" s="30" t="str">
        <f>IF(E1886="Coinciden",D1886,IF(E1886="Revisar",VLOOKUP(A1886,Revisión!$A$2:$L$703,12,FALSE),""))</f>
        <v>Salix reticulata</v>
      </c>
    </row>
    <row r="1887" spans="1:14" x14ac:dyDescent="0.3">
      <c r="A1887" t="s">
        <v>3883</v>
      </c>
      <c r="B1887" t="s">
        <v>3884</v>
      </c>
      <c r="C1887" t="s">
        <v>3884</v>
      </c>
      <c r="D1887" t="s">
        <v>3884</v>
      </c>
      <c r="E1887" t="s">
        <v>18</v>
      </c>
      <c r="F1887" t="s">
        <v>19</v>
      </c>
      <c r="H1887" s="23" t="e">
        <f>VLOOKUP(A1887,Revisión!$A$2:$L$703,6,FALSE)</f>
        <v>#N/A</v>
      </c>
      <c r="I1887" s="4" t="e">
        <f>VLOOKUP(A1887,Revisión!$A$2:$L$703,7,FALSE)</f>
        <v>#N/A</v>
      </c>
      <c r="J1887" s="4" t="e">
        <f>VLOOKUP(A1887,Revisión!$A$2:$L$703,8,FALSE)</f>
        <v>#N/A</v>
      </c>
      <c r="K1887" s="4" t="e">
        <f>VLOOKUP(A1887,Revisión!$A$2:$L$703,9,FALSE)</f>
        <v>#N/A</v>
      </c>
      <c r="L1887" s="4" t="e">
        <f>VLOOKUP(A1887,Revisión!$A$2:$L$703,10,FALSE)</f>
        <v>#N/A</v>
      </c>
      <c r="M1887" s="18" t="e">
        <f>VLOOKUP(A1887,Revisión!$A$2:$L$703,11,FALSE)</f>
        <v>#N/A</v>
      </c>
      <c r="N1887" s="30" t="str">
        <f>IF(E1887="Coinciden",D1887,IF(E1887="Revisar",VLOOKUP(A1887,Revisión!$A$2:$L$703,12,FALSE),""))</f>
        <v>Salix gracilistyla</v>
      </c>
    </row>
    <row r="1888" spans="1:14" x14ac:dyDescent="0.3">
      <c r="A1888" t="s">
        <v>3885</v>
      </c>
      <c r="B1888" t="s">
        <v>3886</v>
      </c>
      <c r="C1888" t="s">
        <v>3886</v>
      </c>
      <c r="D1888" t="s">
        <v>3886</v>
      </c>
      <c r="E1888" t="s">
        <v>18</v>
      </c>
      <c r="F1888" t="s">
        <v>19</v>
      </c>
      <c r="H1888" s="23" t="e">
        <f>VLOOKUP(A1888,Revisión!$A$2:$L$703,6,FALSE)</f>
        <v>#N/A</v>
      </c>
      <c r="I1888" s="4" t="e">
        <f>VLOOKUP(A1888,Revisión!$A$2:$L$703,7,FALSE)</f>
        <v>#N/A</v>
      </c>
      <c r="J1888" s="4" t="e">
        <f>VLOOKUP(A1888,Revisión!$A$2:$L$703,8,FALSE)</f>
        <v>#N/A</v>
      </c>
      <c r="K1888" s="4" t="e">
        <f>VLOOKUP(A1888,Revisión!$A$2:$L$703,9,FALSE)</f>
        <v>#N/A</v>
      </c>
      <c r="L1888" s="4" t="e">
        <f>VLOOKUP(A1888,Revisión!$A$2:$L$703,10,FALSE)</f>
        <v>#N/A</v>
      </c>
      <c r="M1888" s="18" t="e">
        <f>VLOOKUP(A1888,Revisión!$A$2:$L$703,11,FALSE)</f>
        <v>#N/A</v>
      </c>
      <c r="N1888" s="30" t="str">
        <f>IF(E1888="Coinciden",D1888,IF(E1888="Revisar",VLOOKUP(A1888,Revisión!$A$2:$L$703,12,FALSE),""))</f>
        <v>Salix vulpina</v>
      </c>
    </row>
    <row r="1889" spans="1:14" x14ac:dyDescent="0.3">
      <c r="A1889" t="s">
        <v>3887</v>
      </c>
      <c r="B1889" t="s">
        <v>3888</v>
      </c>
      <c r="C1889" t="s">
        <v>3888</v>
      </c>
      <c r="D1889" t="s">
        <v>3888</v>
      </c>
      <c r="E1889" t="s">
        <v>18</v>
      </c>
      <c r="F1889" t="s">
        <v>19</v>
      </c>
      <c r="H1889" s="23" t="e">
        <f>VLOOKUP(A1889,Revisión!$A$2:$L$703,6,FALSE)</f>
        <v>#N/A</v>
      </c>
      <c r="I1889" s="4" t="e">
        <f>VLOOKUP(A1889,Revisión!$A$2:$L$703,7,FALSE)</f>
        <v>#N/A</v>
      </c>
      <c r="J1889" s="4" t="e">
        <f>VLOOKUP(A1889,Revisión!$A$2:$L$703,8,FALSE)</f>
        <v>#N/A</v>
      </c>
      <c r="K1889" s="4" t="e">
        <f>VLOOKUP(A1889,Revisión!$A$2:$L$703,9,FALSE)</f>
        <v>#N/A</v>
      </c>
      <c r="L1889" s="4" t="e">
        <f>VLOOKUP(A1889,Revisión!$A$2:$L$703,10,FALSE)</f>
        <v>#N/A</v>
      </c>
      <c r="M1889" s="18" t="e">
        <f>VLOOKUP(A1889,Revisión!$A$2:$L$703,11,FALSE)</f>
        <v>#N/A</v>
      </c>
      <c r="N1889" s="30" t="str">
        <f>IF(E1889="Coinciden",D1889,IF(E1889="Revisar",VLOOKUP(A1889,Revisión!$A$2:$L$703,12,FALSE),""))</f>
        <v>Salix nigra</v>
      </c>
    </row>
    <row r="1890" spans="1:14" x14ac:dyDescent="0.3">
      <c r="A1890" t="s">
        <v>3889</v>
      </c>
      <c r="B1890" t="s">
        <v>3890</v>
      </c>
      <c r="C1890" t="s">
        <v>3890</v>
      </c>
      <c r="D1890" t="s">
        <v>3890</v>
      </c>
      <c r="E1890" t="s">
        <v>18</v>
      </c>
      <c r="F1890" t="s">
        <v>19</v>
      </c>
      <c r="H1890" s="23" t="e">
        <f>VLOOKUP(A1890,Revisión!$A$2:$L$703,6,FALSE)</f>
        <v>#N/A</v>
      </c>
      <c r="I1890" s="4" t="e">
        <f>VLOOKUP(A1890,Revisión!$A$2:$L$703,7,FALSE)</f>
        <v>#N/A</v>
      </c>
      <c r="J1890" s="4" t="e">
        <f>VLOOKUP(A1890,Revisión!$A$2:$L$703,8,FALSE)</f>
        <v>#N/A</v>
      </c>
      <c r="K1890" s="4" t="e">
        <f>VLOOKUP(A1890,Revisión!$A$2:$L$703,9,FALSE)</f>
        <v>#N/A</v>
      </c>
      <c r="L1890" s="4" t="e">
        <f>VLOOKUP(A1890,Revisión!$A$2:$L$703,10,FALSE)</f>
        <v>#N/A</v>
      </c>
      <c r="M1890" s="18" t="e">
        <f>VLOOKUP(A1890,Revisión!$A$2:$L$703,11,FALSE)</f>
        <v>#N/A</v>
      </c>
      <c r="N1890" s="30" t="str">
        <f>IF(E1890="Coinciden",D1890,IF(E1890="Revisar",VLOOKUP(A1890,Revisión!$A$2:$L$703,12,FALSE),""))</f>
        <v>Salix arctica</v>
      </c>
    </row>
    <row r="1891" spans="1:14" x14ac:dyDescent="0.3">
      <c r="A1891" t="s">
        <v>3891</v>
      </c>
      <c r="B1891" t="s">
        <v>3892</v>
      </c>
      <c r="C1891" t="s">
        <v>3892</v>
      </c>
      <c r="D1891" t="s">
        <v>3892</v>
      </c>
      <c r="E1891" t="s">
        <v>18</v>
      </c>
      <c r="F1891" t="s">
        <v>19</v>
      </c>
      <c r="H1891" s="23" t="e">
        <f>VLOOKUP(A1891,Revisión!$A$2:$L$703,6,FALSE)</f>
        <v>#N/A</v>
      </c>
      <c r="I1891" s="4" t="e">
        <f>VLOOKUP(A1891,Revisión!$A$2:$L$703,7,FALSE)</f>
        <v>#N/A</v>
      </c>
      <c r="J1891" s="4" t="e">
        <f>VLOOKUP(A1891,Revisión!$A$2:$L$703,8,FALSE)</f>
        <v>#N/A</v>
      </c>
      <c r="K1891" s="4" t="e">
        <f>VLOOKUP(A1891,Revisión!$A$2:$L$703,9,FALSE)</f>
        <v>#N/A</v>
      </c>
      <c r="L1891" s="4" t="e">
        <f>VLOOKUP(A1891,Revisión!$A$2:$L$703,10,FALSE)</f>
        <v>#N/A</v>
      </c>
      <c r="M1891" s="18" t="e">
        <f>VLOOKUP(A1891,Revisión!$A$2:$L$703,11,FALSE)</f>
        <v>#N/A</v>
      </c>
      <c r="N1891" s="30" t="str">
        <f>IF(E1891="Coinciden",D1891,IF(E1891="Revisar",VLOOKUP(A1891,Revisión!$A$2:$L$703,12,FALSE),""))</f>
        <v>Salix polaris</v>
      </c>
    </row>
    <row r="1892" spans="1:14" x14ac:dyDescent="0.3">
      <c r="A1892" t="s">
        <v>3893</v>
      </c>
      <c r="D1892" t="s">
        <v>3894</v>
      </c>
      <c r="E1892" t="s">
        <v>8</v>
      </c>
      <c r="F1892" t="s">
        <v>9</v>
      </c>
      <c r="H1892" s="23" t="str">
        <f>VLOOKUP(A1892,Revisión!$A$2:$L$703,6,FALSE)</f>
        <v>Salix interior</v>
      </c>
      <c r="I1892" s="4" t="str">
        <f>VLOOKUP(A1892,Revisión!$A$2:$L$703,7,FALSE)</f>
        <v>-</v>
      </c>
      <c r="J1892" s="4" t="str">
        <f>VLOOKUP(A1892,Revisión!$A$2:$L$703,8,FALSE)</f>
        <v>Salix interior</v>
      </c>
      <c r="K1892" s="4" t="str">
        <f>VLOOKUP(A1892,Revisión!$A$2:$L$703,9,FALSE)</f>
        <v>Salix interior</v>
      </c>
      <c r="L1892" s="4" t="str">
        <f>VLOOKUP(A1892,Revisión!$A$2:$L$703,10,FALSE)</f>
        <v>Salix interior</v>
      </c>
      <c r="M1892" s="18">
        <f>VLOOKUP(A1892,Revisión!$A$2:$L$703,11,FALSE)</f>
        <v>4</v>
      </c>
      <c r="N1892" s="30" t="str">
        <f>IF(E1892="Coinciden",D1892,IF(E1892="Revisar",VLOOKUP(A1892,Revisión!$A$2:$L$703,12,FALSE),""))</f>
        <v>Salix interior</v>
      </c>
    </row>
    <row r="1893" spans="1:14" x14ac:dyDescent="0.3">
      <c r="A1893" t="s">
        <v>3895</v>
      </c>
      <c r="B1893" t="s">
        <v>3896</v>
      </c>
      <c r="D1893" t="s">
        <v>3897</v>
      </c>
      <c r="E1893" t="s">
        <v>8</v>
      </c>
      <c r="F1893" t="s">
        <v>9</v>
      </c>
      <c r="H1893" s="23" t="str">
        <f>VLOOKUP(A1893,Revisión!$A$2:$L$703,6,FALSE)</f>
        <v>Salix fragilis</v>
      </c>
      <c r="I1893" s="4" t="str">
        <f>VLOOKUP(A1893,Revisión!$A$2:$L$703,7,FALSE)</f>
        <v>-</v>
      </c>
      <c r="J1893" s="4" t="str">
        <f>VLOOKUP(A1893,Revisión!$A$2:$L$703,8,FALSE)</f>
        <v>Salix × fragilis</v>
      </c>
      <c r="K1893" s="4" t="str">
        <f>VLOOKUP(A1893,Revisión!$A$2:$L$703,9,FALSE)</f>
        <v>Salix fragilis</v>
      </c>
      <c r="L1893" s="4" t="str">
        <f>VLOOKUP(A1893,Revisión!$A$2:$L$703,10,FALSE)</f>
        <v>Salix fragilis</v>
      </c>
      <c r="M1893" s="18">
        <f>VLOOKUP(A1893,Revisión!$A$2:$L$703,11,FALSE)</f>
        <v>3</v>
      </c>
      <c r="N1893" s="30" t="str">
        <f>IF(E1893="Coinciden",D1893,IF(E1893="Revisar",VLOOKUP(A1893,Revisión!$A$2:$L$703,12,FALSE),""))</f>
        <v>Salix fragilis</v>
      </c>
    </row>
    <row r="1894" spans="1:14" x14ac:dyDescent="0.3">
      <c r="A1894" t="s">
        <v>3898</v>
      </c>
      <c r="E1894" t="s">
        <v>8</v>
      </c>
      <c r="F1894" t="s">
        <v>11</v>
      </c>
      <c r="H1894" s="23" t="e">
        <f>VLOOKUP(A1894,Revisión!$A$2:$L$703,6,FALSE)</f>
        <v>#N/A</v>
      </c>
      <c r="I1894" s="4" t="e">
        <f>VLOOKUP(A1894,Revisión!$A$2:$L$703,7,FALSE)</f>
        <v>#N/A</v>
      </c>
      <c r="J1894" s="4" t="e">
        <f>VLOOKUP(A1894,Revisión!$A$2:$L$703,8,FALSE)</f>
        <v>#N/A</v>
      </c>
      <c r="K1894" s="4" t="e">
        <f>VLOOKUP(A1894,Revisión!$A$2:$L$703,9,FALSE)</f>
        <v>#N/A</v>
      </c>
      <c r="L1894" s="4" t="e">
        <f>VLOOKUP(A1894,Revisión!$A$2:$L$703,10,FALSE)</f>
        <v>#N/A</v>
      </c>
      <c r="M1894" s="18" t="e">
        <f>VLOOKUP(A1894,Revisión!$A$2:$L$703,11,FALSE)</f>
        <v>#N/A</v>
      </c>
      <c r="N1894" s="30" t="e">
        <f>IF(E1894="Coinciden",D1894,IF(E1894="Revisar",VLOOKUP(A1894,Revisión!$A$2:$L$703,12,FALSE),""))</f>
        <v>#N/A</v>
      </c>
    </row>
    <row r="1895" spans="1:14" x14ac:dyDescent="0.3">
      <c r="A1895" t="s">
        <v>3899</v>
      </c>
      <c r="B1895" t="s">
        <v>3900</v>
      </c>
      <c r="D1895" t="s">
        <v>3900</v>
      </c>
      <c r="E1895" t="s">
        <v>8</v>
      </c>
      <c r="F1895" t="s">
        <v>34</v>
      </c>
      <c r="H1895" s="23" t="str">
        <f>VLOOKUP(A1895,Revisión!$A$2:$L$703,6,FALSE)</f>
        <v>Salix lanata</v>
      </c>
      <c r="I1895" s="4" t="str">
        <f>VLOOKUP(A1895,Revisión!$A$2:$L$703,7,FALSE)</f>
        <v>-</v>
      </c>
      <c r="J1895" s="4" t="str">
        <f>VLOOKUP(A1895,Revisión!$A$2:$L$703,8,FALSE)</f>
        <v>Salix lanata</v>
      </c>
      <c r="K1895" s="4" t="str">
        <f>VLOOKUP(A1895,Revisión!$A$2:$L$703,9,FALSE)</f>
        <v>Salix lanata</v>
      </c>
      <c r="L1895" s="4" t="str">
        <f>VLOOKUP(A1895,Revisión!$A$2:$L$703,10,FALSE)</f>
        <v>Salix lanata</v>
      </c>
      <c r="M1895" s="18">
        <f>VLOOKUP(A1895,Revisión!$A$2:$L$703,11,FALSE)</f>
        <v>5</v>
      </c>
      <c r="N1895" s="30" t="str">
        <f>IF(E1895="Coinciden",D1895,IF(E1895="Revisar",VLOOKUP(A1895,Revisión!$A$2:$L$703,12,FALSE),""))</f>
        <v>Salix lanata</v>
      </c>
    </row>
    <row r="1896" spans="1:14" x14ac:dyDescent="0.3">
      <c r="A1896" t="s">
        <v>3901</v>
      </c>
      <c r="E1896" t="s">
        <v>8</v>
      </c>
      <c r="F1896" t="s">
        <v>11</v>
      </c>
      <c r="H1896" s="23" t="e">
        <f>VLOOKUP(A1896,Revisión!$A$2:$L$703,6,FALSE)</f>
        <v>#N/A</v>
      </c>
      <c r="I1896" s="4" t="e">
        <f>VLOOKUP(A1896,Revisión!$A$2:$L$703,7,FALSE)</f>
        <v>#N/A</v>
      </c>
      <c r="J1896" s="4" t="e">
        <f>VLOOKUP(A1896,Revisión!$A$2:$L$703,8,FALSE)</f>
        <v>#N/A</v>
      </c>
      <c r="K1896" s="4" t="e">
        <f>VLOOKUP(A1896,Revisión!$A$2:$L$703,9,FALSE)</f>
        <v>#N/A</v>
      </c>
      <c r="L1896" s="4" t="e">
        <f>VLOOKUP(A1896,Revisión!$A$2:$L$703,10,FALSE)</f>
        <v>#N/A</v>
      </c>
      <c r="M1896" s="18" t="e">
        <f>VLOOKUP(A1896,Revisión!$A$2:$L$703,11,FALSE)</f>
        <v>#N/A</v>
      </c>
      <c r="N1896" s="30" t="e">
        <f>IF(E1896="Coinciden",D1896,IF(E1896="Revisar",VLOOKUP(A1896,Revisión!$A$2:$L$703,12,FALSE),""))</f>
        <v>#N/A</v>
      </c>
    </row>
    <row r="1897" spans="1:14" x14ac:dyDescent="0.3">
      <c r="A1897" t="s">
        <v>3902</v>
      </c>
      <c r="B1897" t="s">
        <v>3903</v>
      </c>
      <c r="C1897" t="s">
        <v>3903</v>
      </c>
      <c r="D1897" t="s">
        <v>3903</v>
      </c>
      <c r="E1897" t="s">
        <v>18</v>
      </c>
      <c r="F1897" t="s">
        <v>19</v>
      </c>
      <c r="H1897" s="23" t="e">
        <f>VLOOKUP(A1897,Revisión!$A$2:$L$703,6,FALSE)</f>
        <v>#N/A</v>
      </c>
      <c r="I1897" s="4" t="e">
        <f>VLOOKUP(A1897,Revisión!$A$2:$L$703,7,FALSE)</f>
        <v>#N/A</v>
      </c>
      <c r="J1897" s="4" t="e">
        <f>VLOOKUP(A1897,Revisión!$A$2:$L$703,8,FALSE)</f>
        <v>#N/A</v>
      </c>
      <c r="K1897" s="4" t="e">
        <f>VLOOKUP(A1897,Revisión!$A$2:$L$703,9,FALSE)</f>
        <v>#N/A</v>
      </c>
      <c r="L1897" s="4" t="e">
        <f>VLOOKUP(A1897,Revisión!$A$2:$L$703,10,FALSE)</f>
        <v>#N/A</v>
      </c>
      <c r="M1897" s="18" t="e">
        <f>VLOOKUP(A1897,Revisión!$A$2:$L$703,11,FALSE)</f>
        <v>#N/A</v>
      </c>
      <c r="N1897" s="30" t="str">
        <f>IF(E1897="Coinciden",D1897,IF(E1897="Revisar",VLOOKUP(A1897,Revisión!$A$2:$L$703,12,FALSE),""))</f>
        <v>Salsola komarovii</v>
      </c>
    </row>
    <row r="1898" spans="1:14" x14ac:dyDescent="0.3">
      <c r="A1898" t="s">
        <v>3904</v>
      </c>
      <c r="B1898" t="s">
        <v>3905</v>
      </c>
      <c r="C1898" t="s">
        <v>3905</v>
      </c>
      <c r="D1898" t="s">
        <v>3905</v>
      </c>
      <c r="E1898" t="s">
        <v>18</v>
      </c>
      <c r="F1898" t="s">
        <v>19</v>
      </c>
      <c r="H1898" s="23" t="e">
        <f>VLOOKUP(A1898,Revisión!$A$2:$L$703,6,FALSE)</f>
        <v>#N/A</v>
      </c>
      <c r="I1898" s="4" t="e">
        <f>VLOOKUP(A1898,Revisión!$A$2:$L$703,7,FALSE)</f>
        <v>#N/A</v>
      </c>
      <c r="J1898" s="4" t="e">
        <f>VLOOKUP(A1898,Revisión!$A$2:$L$703,8,FALSE)</f>
        <v>#N/A</v>
      </c>
      <c r="K1898" s="4" t="e">
        <f>VLOOKUP(A1898,Revisión!$A$2:$L$703,9,FALSE)</f>
        <v>#N/A</v>
      </c>
      <c r="L1898" s="4" t="e">
        <f>VLOOKUP(A1898,Revisión!$A$2:$L$703,10,FALSE)</f>
        <v>#N/A</v>
      </c>
      <c r="M1898" s="18" t="e">
        <f>VLOOKUP(A1898,Revisión!$A$2:$L$703,11,FALSE)</f>
        <v>#N/A</v>
      </c>
      <c r="N1898" s="30" t="str">
        <f>IF(E1898="Coinciden",D1898,IF(E1898="Revisar",VLOOKUP(A1898,Revisión!$A$2:$L$703,12,FALSE),""))</f>
        <v>Salvia japonica</v>
      </c>
    </row>
    <row r="1899" spans="1:14" x14ac:dyDescent="0.3">
      <c r="A1899" t="s">
        <v>3906</v>
      </c>
      <c r="B1899" t="s">
        <v>3907</v>
      </c>
      <c r="C1899" t="s">
        <v>3907</v>
      </c>
      <c r="D1899" t="s">
        <v>3907</v>
      </c>
      <c r="E1899" t="s">
        <v>18</v>
      </c>
      <c r="F1899" t="s">
        <v>19</v>
      </c>
      <c r="H1899" s="23" t="e">
        <f>VLOOKUP(A1899,Revisión!$A$2:$L$703,6,FALSE)</f>
        <v>#N/A</v>
      </c>
      <c r="I1899" s="4" t="e">
        <f>VLOOKUP(A1899,Revisión!$A$2:$L$703,7,FALSE)</f>
        <v>#N/A</v>
      </c>
      <c r="J1899" s="4" t="e">
        <f>VLOOKUP(A1899,Revisión!$A$2:$L$703,8,FALSE)</f>
        <v>#N/A</v>
      </c>
      <c r="K1899" s="4" t="e">
        <f>VLOOKUP(A1899,Revisión!$A$2:$L$703,9,FALSE)</f>
        <v>#N/A</v>
      </c>
      <c r="L1899" s="4" t="e">
        <f>VLOOKUP(A1899,Revisión!$A$2:$L$703,10,FALSE)</f>
        <v>#N/A</v>
      </c>
      <c r="M1899" s="18" t="e">
        <f>VLOOKUP(A1899,Revisión!$A$2:$L$703,11,FALSE)</f>
        <v>#N/A</v>
      </c>
      <c r="N1899" s="30" t="str">
        <f>IF(E1899="Coinciden",D1899,IF(E1899="Revisar",VLOOKUP(A1899,Revisión!$A$2:$L$703,12,FALSE),""))</f>
        <v>Salvia glabrescens</v>
      </c>
    </row>
    <row r="1900" spans="1:14" x14ac:dyDescent="0.3">
      <c r="A1900" t="s">
        <v>3908</v>
      </c>
      <c r="B1900" t="s">
        <v>3909</v>
      </c>
      <c r="C1900" t="s">
        <v>3909</v>
      </c>
      <c r="D1900" t="s">
        <v>3909</v>
      </c>
      <c r="E1900" t="s">
        <v>18</v>
      </c>
      <c r="F1900" t="s">
        <v>19</v>
      </c>
      <c r="H1900" s="23" t="e">
        <f>VLOOKUP(A1900,Revisión!$A$2:$L$703,6,FALSE)</f>
        <v>#N/A</v>
      </c>
      <c r="I1900" s="4" t="e">
        <f>VLOOKUP(A1900,Revisión!$A$2:$L$703,7,FALSE)</f>
        <v>#N/A</v>
      </c>
      <c r="J1900" s="4" t="e">
        <f>VLOOKUP(A1900,Revisión!$A$2:$L$703,8,FALSE)</f>
        <v>#N/A</v>
      </c>
      <c r="K1900" s="4" t="e">
        <f>VLOOKUP(A1900,Revisión!$A$2:$L$703,9,FALSE)</f>
        <v>#N/A</v>
      </c>
      <c r="L1900" s="4" t="e">
        <f>VLOOKUP(A1900,Revisión!$A$2:$L$703,10,FALSE)</f>
        <v>#N/A</v>
      </c>
      <c r="M1900" s="18" t="e">
        <f>VLOOKUP(A1900,Revisión!$A$2:$L$703,11,FALSE)</f>
        <v>#N/A</v>
      </c>
      <c r="N1900" s="30" t="str">
        <f>IF(E1900="Coinciden",D1900,IF(E1900="Revisar",VLOOKUP(A1900,Revisión!$A$2:$L$703,12,FALSE),""))</f>
        <v>Salvia fruticosa</v>
      </c>
    </row>
    <row r="1901" spans="1:14" x14ac:dyDescent="0.3">
      <c r="A1901" t="s">
        <v>3910</v>
      </c>
      <c r="B1901" t="s">
        <v>3911</v>
      </c>
      <c r="C1901" t="s">
        <v>3911</v>
      </c>
      <c r="D1901" t="s">
        <v>3911</v>
      </c>
      <c r="E1901" t="s">
        <v>18</v>
      </c>
      <c r="F1901" t="s">
        <v>19</v>
      </c>
      <c r="H1901" s="23" t="e">
        <f>VLOOKUP(A1901,Revisión!$A$2:$L$703,6,FALSE)</f>
        <v>#N/A</v>
      </c>
      <c r="I1901" s="4" t="e">
        <f>VLOOKUP(A1901,Revisión!$A$2:$L$703,7,FALSE)</f>
        <v>#N/A</v>
      </c>
      <c r="J1901" s="4" t="e">
        <f>VLOOKUP(A1901,Revisión!$A$2:$L$703,8,FALSE)</f>
        <v>#N/A</v>
      </c>
      <c r="K1901" s="4" t="e">
        <f>VLOOKUP(A1901,Revisión!$A$2:$L$703,9,FALSE)</f>
        <v>#N/A</v>
      </c>
      <c r="L1901" s="4" t="e">
        <f>VLOOKUP(A1901,Revisión!$A$2:$L$703,10,FALSE)</f>
        <v>#N/A</v>
      </c>
      <c r="M1901" s="18" t="e">
        <f>VLOOKUP(A1901,Revisión!$A$2:$L$703,11,FALSE)</f>
        <v>#N/A</v>
      </c>
      <c r="N1901" s="30" t="str">
        <f>IF(E1901="Coinciden",D1901,IF(E1901="Revisar",VLOOKUP(A1901,Revisión!$A$2:$L$703,12,FALSE),""))</f>
        <v>Salvia verbenaca</v>
      </c>
    </row>
    <row r="1902" spans="1:14" x14ac:dyDescent="0.3">
      <c r="A1902" t="s">
        <v>3912</v>
      </c>
      <c r="B1902" t="s">
        <v>3913</v>
      </c>
      <c r="D1902" t="s">
        <v>3913</v>
      </c>
      <c r="E1902" t="s">
        <v>8</v>
      </c>
      <c r="F1902" t="s">
        <v>34</v>
      </c>
      <c r="H1902" s="23" t="str">
        <f>VLOOKUP(A1902,Revisión!$A$2:$L$703,6,FALSE)</f>
        <v>Sambucus canadensis</v>
      </c>
      <c r="I1902" s="4" t="str">
        <f>VLOOKUP(A1902,Revisión!$A$2:$L$703,7,FALSE)</f>
        <v>-</v>
      </c>
      <c r="J1902" s="4" t="str">
        <f>VLOOKUP(A1902,Revisión!$A$2:$L$703,8,FALSE)</f>
        <v>Sambucus peruviana</v>
      </c>
      <c r="K1902" s="4" t="str">
        <f>VLOOKUP(A1902,Revisión!$A$2:$L$703,9,FALSE)</f>
        <v>Sambucus canadensis</v>
      </c>
      <c r="L1902" s="4" t="str">
        <f>VLOOKUP(A1902,Revisión!$A$2:$L$703,10,FALSE)</f>
        <v>Sambucus canadensis</v>
      </c>
      <c r="M1902" s="18">
        <f>VLOOKUP(A1902,Revisión!$A$2:$L$703,11,FALSE)</f>
        <v>4</v>
      </c>
      <c r="N1902" s="30" t="str">
        <f>IF(E1902="Coinciden",D1902,IF(E1902="Revisar",VLOOKUP(A1902,Revisión!$A$2:$L$703,12,FALSE),""))</f>
        <v>Sambucus canadensis</v>
      </c>
    </row>
    <row r="1903" spans="1:14" x14ac:dyDescent="0.3">
      <c r="A1903" t="s">
        <v>3914</v>
      </c>
      <c r="B1903" t="s">
        <v>3915</v>
      </c>
      <c r="C1903" t="s">
        <v>3915</v>
      </c>
      <c r="D1903" t="s">
        <v>3915</v>
      </c>
      <c r="E1903" t="s">
        <v>18</v>
      </c>
      <c r="F1903" t="s">
        <v>19</v>
      </c>
      <c r="H1903" s="23" t="e">
        <f>VLOOKUP(A1903,Revisión!$A$2:$L$703,6,FALSE)</f>
        <v>#N/A</v>
      </c>
      <c r="I1903" s="4" t="e">
        <f>VLOOKUP(A1903,Revisión!$A$2:$L$703,7,FALSE)</f>
        <v>#N/A</v>
      </c>
      <c r="J1903" s="4" t="e">
        <f>VLOOKUP(A1903,Revisión!$A$2:$L$703,8,FALSE)</f>
        <v>#N/A</v>
      </c>
      <c r="K1903" s="4" t="e">
        <f>VLOOKUP(A1903,Revisión!$A$2:$L$703,9,FALSE)</f>
        <v>#N/A</v>
      </c>
      <c r="L1903" s="4" t="e">
        <f>VLOOKUP(A1903,Revisión!$A$2:$L$703,10,FALSE)</f>
        <v>#N/A</v>
      </c>
      <c r="M1903" s="18" t="e">
        <f>VLOOKUP(A1903,Revisión!$A$2:$L$703,11,FALSE)</f>
        <v>#N/A</v>
      </c>
      <c r="N1903" s="30" t="str">
        <f>IF(E1903="Coinciden",D1903,IF(E1903="Revisar",VLOOKUP(A1903,Revisión!$A$2:$L$703,12,FALSE),""))</f>
        <v>Sambucus racemosa</v>
      </c>
    </row>
    <row r="1904" spans="1:14" x14ac:dyDescent="0.3">
      <c r="A1904" t="s">
        <v>3916</v>
      </c>
      <c r="B1904" t="s">
        <v>3917</v>
      </c>
      <c r="C1904" t="s">
        <v>3917</v>
      </c>
      <c r="D1904" t="s">
        <v>3917</v>
      </c>
      <c r="E1904" t="s">
        <v>18</v>
      </c>
      <c r="F1904" t="s">
        <v>19</v>
      </c>
      <c r="H1904" s="23" t="e">
        <f>VLOOKUP(A1904,Revisión!$A$2:$L$703,6,FALSE)</f>
        <v>#N/A</v>
      </c>
      <c r="I1904" s="4" t="e">
        <f>VLOOKUP(A1904,Revisión!$A$2:$L$703,7,FALSE)</f>
        <v>#N/A</v>
      </c>
      <c r="J1904" s="4" t="e">
        <f>VLOOKUP(A1904,Revisión!$A$2:$L$703,8,FALSE)</f>
        <v>#N/A</v>
      </c>
      <c r="K1904" s="4" t="e">
        <f>VLOOKUP(A1904,Revisión!$A$2:$L$703,9,FALSE)</f>
        <v>#N/A</v>
      </c>
      <c r="L1904" s="4" t="e">
        <f>VLOOKUP(A1904,Revisión!$A$2:$L$703,10,FALSE)</f>
        <v>#N/A</v>
      </c>
      <c r="M1904" s="18" t="e">
        <f>VLOOKUP(A1904,Revisión!$A$2:$L$703,11,FALSE)</f>
        <v>#N/A</v>
      </c>
      <c r="N1904" s="30" t="str">
        <f>IF(E1904="Coinciden",D1904,IF(E1904="Revisar",VLOOKUP(A1904,Revisión!$A$2:$L$703,12,FALSE),""))</f>
        <v>Samolus parviflorus</v>
      </c>
    </row>
    <row r="1905" spans="1:14" x14ac:dyDescent="0.3">
      <c r="A1905" t="s">
        <v>3918</v>
      </c>
      <c r="B1905" t="s">
        <v>3919</v>
      </c>
      <c r="C1905" t="s">
        <v>3919</v>
      </c>
      <c r="D1905" t="s">
        <v>3919</v>
      </c>
      <c r="E1905" t="s">
        <v>18</v>
      </c>
      <c r="F1905" t="s">
        <v>19</v>
      </c>
      <c r="H1905" s="23" t="e">
        <f>VLOOKUP(A1905,Revisión!$A$2:$L$703,6,FALSE)</f>
        <v>#N/A</v>
      </c>
      <c r="I1905" s="4" t="e">
        <f>VLOOKUP(A1905,Revisión!$A$2:$L$703,7,FALSE)</f>
        <v>#N/A</v>
      </c>
      <c r="J1905" s="4" t="e">
        <f>VLOOKUP(A1905,Revisión!$A$2:$L$703,8,FALSE)</f>
        <v>#N/A</v>
      </c>
      <c r="K1905" s="4" t="e">
        <f>VLOOKUP(A1905,Revisión!$A$2:$L$703,9,FALSE)</f>
        <v>#N/A</v>
      </c>
      <c r="L1905" s="4" t="e">
        <f>VLOOKUP(A1905,Revisión!$A$2:$L$703,10,FALSE)</f>
        <v>#N/A</v>
      </c>
      <c r="M1905" s="18" t="e">
        <f>VLOOKUP(A1905,Revisión!$A$2:$L$703,11,FALSE)</f>
        <v>#N/A</v>
      </c>
      <c r="N1905" s="30" t="str">
        <f>IF(E1905="Coinciden",D1905,IF(E1905="Revisar",VLOOKUP(A1905,Revisión!$A$2:$L$703,12,FALSE),""))</f>
        <v>Sanguinaria canadensis</v>
      </c>
    </row>
    <row r="1906" spans="1:14" x14ac:dyDescent="0.3">
      <c r="A1906" t="s">
        <v>3920</v>
      </c>
      <c r="B1906" t="s">
        <v>3921</v>
      </c>
      <c r="C1906" t="s">
        <v>3921</v>
      </c>
      <c r="D1906" t="s">
        <v>3921</v>
      </c>
      <c r="E1906" t="s">
        <v>18</v>
      </c>
      <c r="F1906" t="s">
        <v>19</v>
      </c>
      <c r="H1906" s="23" t="e">
        <f>VLOOKUP(A1906,Revisión!$A$2:$L$703,6,FALSE)</f>
        <v>#N/A</v>
      </c>
      <c r="I1906" s="4" t="e">
        <f>VLOOKUP(A1906,Revisión!$A$2:$L$703,7,FALSE)</f>
        <v>#N/A</v>
      </c>
      <c r="J1906" s="4" t="e">
        <f>VLOOKUP(A1906,Revisión!$A$2:$L$703,8,FALSE)</f>
        <v>#N/A</v>
      </c>
      <c r="K1906" s="4" t="e">
        <f>VLOOKUP(A1906,Revisión!$A$2:$L$703,9,FALSE)</f>
        <v>#N/A</v>
      </c>
      <c r="L1906" s="4" t="e">
        <f>VLOOKUP(A1906,Revisión!$A$2:$L$703,10,FALSE)</f>
        <v>#N/A</v>
      </c>
      <c r="M1906" s="18" t="e">
        <f>VLOOKUP(A1906,Revisión!$A$2:$L$703,11,FALSE)</f>
        <v>#N/A</v>
      </c>
      <c r="N1906" s="30" t="str">
        <f>IF(E1906="Coinciden",D1906,IF(E1906="Revisar",VLOOKUP(A1906,Revisión!$A$2:$L$703,12,FALSE),""))</f>
        <v>Sanguisorba officinalis</v>
      </c>
    </row>
    <row r="1907" spans="1:14" x14ac:dyDescent="0.3">
      <c r="A1907" t="s">
        <v>3922</v>
      </c>
      <c r="B1907" t="s">
        <v>3923</v>
      </c>
      <c r="C1907" t="s">
        <v>3923</v>
      </c>
      <c r="D1907" t="s">
        <v>3923</v>
      </c>
      <c r="E1907" t="s">
        <v>18</v>
      </c>
      <c r="F1907" t="s">
        <v>19</v>
      </c>
      <c r="H1907" s="23" t="e">
        <f>VLOOKUP(A1907,Revisión!$A$2:$L$703,6,FALSE)</f>
        <v>#N/A</v>
      </c>
      <c r="I1907" s="4" t="e">
        <f>VLOOKUP(A1907,Revisión!$A$2:$L$703,7,FALSE)</f>
        <v>#N/A</v>
      </c>
      <c r="J1907" s="4" t="e">
        <f>VLOOKUP(A1907,Revisión!$A$2:$L$703,8,FALSE)</f>
        <v>#N/A</v>
      </c>
      <c r="K1907" s="4" t="e">
        <f>VLOOKUP(A1907,Revisión!$A$2:$L$703,9,FALSE)</f>
        <v>#N/A</v>
      </c>
      <c r="L1907" s="4" t="e">
        <f>VLOOKUP(A1907,Revisión!$A$2:$L$703,10,FALSE)</f>
        <v>#N/A</v>
      </c>
      <c r="M1907" s="18" t="e">
        <f>VLOOKUP(A1907,Revisión!$A$2:$L$703,11,FALSE)</f>
        <v>#N/A</v>
      </c>
      <c r="N1907" s="30" t="str">
        <f>IF(E1907="Coinciden",D1907,IF(E1907="Revisar",VLOOKUP(A1907,Revisión!$A$2:$L$703,12,FALSE),""))</f>
        <v>Sanicula marilandica</v>
      </c>
    </row>
    <row r="1908" spans="1:14" x14ac:dyDescent="0.3">
      <c r="A1908" t="s">
        <v>3924</v>
      </c>
      <c r="B1908" t="s">
        <v>3925</v>
      </c>
      <c r="C1908" t="s">
        <v>3925</v>
      </c>
      <c r="D1908" t="s">
        <v>3925</v>
      </c>
      <c r="E1908" t="s">
        <v>18</v>
      </c>
      <c r="F1908" t="s">
        <v>19</v>
      </c>
      <c r="H1908" s="23" t="e">
        <f>VLOOKUP(A1908,Revisión!$A$2:$L$703,6,FALSE)</f>
        <v>#N/A</v>
      </c>
      <c r="I1908" s="4" t="e">
        <f>VLOOKUP(A1908,Revisión!$A$2:$L$703,7,FALSE)</f>
        <v>#N/A</v>
      </c>
      <c r="J1908" s="4" t="e">
        <f>VLOOKUP(A1908,Revisión!$A$2:$L$703,8,FALSE)</f>
        <v>#N/A</v>
      </c>
      <c r="K1908" s="4" t="e">
        <f>VLOOKUP(A1908,Revisión!$A$2:$L$703,9,FALSE)</f>
        <v>#N/A</v>
      </c>
      <c r="L1908" s="4" t="e">
        <f>VLOOKUP(A1908,Revisión!$A$2:$L$703,10,FALSE)</f>
        <v>#N/A</v>
      </c>
      <c r="M1908" s="18" t="e">
        <f>VLOOKUP(A1908,Revisión!$A$2:$L$703,11,FALSE)</f>
        <v>#N/A</v>
      </c>
      <c r="N1908" s="30" t="str">
        <f>IF(E1908="Coinciden",D1908,IF(E1908="Revisar",VLOOKUP(A1908,Revisión!$A$2:$L$703,12,FALSE),""))</f>
        <v>Sanicula canadensis</v>
      </c>
    </row>
    <row r="1909" spans="1:14" x14ac:dyDescent="0.3">
      <c r="A1909" t="s">
        <v>3926</v>
      </c>
      <c r="B1909" t="s">
        <v>3927</v>
      </c>
      <c r="C1909" t="s">
        <v>3927</v>
      </c>
      <c r="D1909" t="s">
        <v>3927</v>
      </c>
      <c r="E1909" t="s">
        <v>18</v>
      </c>
      <c r="F1909" t="s">
        <v>19</v>
      </c>
      <c r="H1909" s="23" t="e">
        <f>VLOOKUP(A1909,Revisión!$A$2:$L$703,6,FALSE)</f>
        <v>#N/A</v>
      </c>
      <c r="I1909" s="4" t="e">
        <f>VLOOKUP(A1909,Revisión!$A$2:$L$703,7,FALSE)</f>
        <v>#N/A</v>
      </c>
      <c r="J1909" s="4" t="e">
        <f>VLOOKUP(A1909,Revisión!$A$2:$L$703,8,FALSE)</f>
        <v>#N/A</v>
      </c>
      <c r="K1909" s="4" t="e">
        <f>VLOOKUP(A1909,Revisión!$A$2:$L$703,9,FALSE)</f>
        <v>#N/A</v>
      </c>
      <c r="L1909" s="4" t="e">
        <f>VLOOKUP(A1909,Revisión!$A$2:$L$703,10,FALSE)</f>
        <v>#N/A</v>
      </c>
      <c r="M1909" s="18" t="e">
        <f>VLOOKUP(A1909,Revisión!$A$2:$L$703,11,FALSE)</f>
        <v>#N/A</v>
      </c>
      <c r="N1909" s="30" t="str">
        <f>IF(E1909="Coinciden",D1909,IF(E1909="Revisar",VLOOKUP(A1909,Revisión!$A$2:$L$703,12,FALSE),""))</f>
        <v>Sanicula graveolens</v>
      </c>
    </row>
    <row r="1910" spans="1:14" x14ac:dyDescent="0.3">
      <c r="A1910" t="s">
        <v>3928</v>
      </c>
      <c r="B1910" t="s">
        <v>3929</v>
      </c>
      <c r="C1910" t="s">
        <v>3929</v>
      </c>
      <c r="D1910" t="s">
        <v>3929</v>
      </c>
      <c r="E1910" t="s">
        <v>18</v>
      </c>
      <c r="F1910" t="s">
        <v>19</v>
      </c>
      <c r="H1910" s="23" t="e">
        <f>VLOOKUP(A1910,Revisión!$A$2:$L$703,6,FALSE)</f>
        <v>#N/A</v>
      </c>
      <c r="I1910" s="4" t="e">
        <f>VLOOKUP(A1910,Revisión!$A$2:$L$703,7,FALSE)</f>
        <v>#N/A</v>
      </c>
      <c r="J1910" s="4" t="e">
        <f>VLOOKUP(A1910,Revisión!$A$2:$L$703,8,FALSE)</f>
        <v>#N/A</v>
      </c>
      <c r="K1910" s="4" t="e">
        <f>VLOOKUP(A1910,Revisión!$A$2:$L$703,9,FALSE)</f>
        <v>#N/A</v>
      </c>
      <c r="L1910" s="4" t="e">
        <f>VLOOKUP(A1910,Revisión!$A$2:$L$703,10,FALSE)</f>
        <v>#N/A</v>
      </c>
      <c r="M1910" s="18" t="e">
        <f>VLOOKUP(A1910,Revisión!$A$2:$L$703,11,FALSE)</f>
        <v>#N/A</v>
      </c>
      <c r="N1910" s="30" t="str">
        <f>IF(E1910="Coinciden",D1910,IF(E1910="Revisar",VLOOKUP(A1910,Revisión!$A$2:$L$703,12,FALSE),""))</f>
        <v>Saponaria officinalis</v>
      </c>
    </row>
    <row r="1911" spans="1:14" x14ac:dyDescent="0.3">
      <c r="A1911" t="s">
        <v>3930</v>
      </c>
      <c r="B1911" t="s">
        <v>3931</v>
      </c>
      <c r="C1911" t="s">
        <v>3931</v>
      </c>
      <c r="D1911" t="s">
        <v>3931</v>
      </c>
      <c r="E1911" t="s">
        <v>18</v>
      </c>
      <c r="F1911" t="s">
        <v>19</v>
      </c>
      <c r="H1911" s="23" t="e">
        <f>VLOOKUP(A1911,Revisión!$A$2:$L$703,6,FALSE)</f>
        <v>#N/A</v>
      </c>
      <c r="I1911" s="4" t="e">
        <f>VLOOKUP(A1911,Revisión!$A$2:$L$703,7,FALSE)</f>
        <v>#N/A</v>
      </c>
      <c r="J1911" s="4" t="e">
        <f>VLOOKUP(A1911,Revisión!$A$2:$L$703,8,FALSE)</f>
        <v>#N/A</v>
      </c>
      <c r="K1911" s="4" t="e">
        <f>VLOOKUP(A1911,Revisión!$A$2:$L$703,9,FALSE)</f>
        <v>#N/A</v>
      </c>
      <c r="L1911" s="4" t="e">
        <f>VLOOKUP(A1911,Revisión!$A$2:$L$703,10,FALSE)</f>
        <v>#N/A</v>
      </c>
      <c r="M1911" s="18" t="e">
        <f>VLOOKUP(A1911,Revisión!$A$2:$L$703,11,FALSE)</f>
        <v>#N/A</v>
      </c>
      <c r="N1911" s="30" t="str">
        <f>IF(E1911="Coinciden",D1911,IF(E1911="Revisar",VLOOKUP(A1911,Revisión!$A$2:$L$703,12,FALSE),""))</f>
        <v>Sarcopoterium spinosum</v>
      </c>
    </row>
    <row r="1912" spans="1:14" x14ac:dyDescent="0.3">
      <c r="A1912" t="s">
        <v>3932</v>
      </c>
      <c r="B1912" t="s">
        <v>3933</v>
      </c>
      <c r="C1912" t="s">
        <v>3933</v>
      </c>
      <c r="D1912" t="s">
        <v>3933</v>
      </c>
      <c r="E1912" t="s">
        <v>18</v>
      </c>
      <c r="F1912" t="s">
        <v>19</v>
      </c>
      <c r="H1912" s="23" t="e">
        <f>VLOOKUP(A1912,Revisión!$A$2:$L$703,6,FALSE)</f>
        <v>#N/A</v>
      </c>
      <c r="I1912" s="4" t="e">
        <f>VLOOKUP(A1912,Revisión!$A$2:$L$703,7,FALSE)</f>
        <v>#N/A</v>
      </c>
      <c r="J1912" s="4" t="e">
        <f>VLOOKUP(A1912,Revisión!$A$2:$L$703,8,FALSE)</f>
        <v>#N/A</v>
      </c>
      <c r="K1912" s="4" t="e">
        <f>VLOOKUP(A1912,Revisión!$A$2:$L$703,9,FALSE)</f>
        <v>#N/A</v>
      </c>
      <c r="L1912" s="4" t="e">
        <f>VLOOKUP(A1912,Revisión!$A$2:$L$703,10,FALSE)</f>
        <v>#N/A</v>
      </c>
      <c r="M1912" s="18" t="e">
        <f>VLOOKUP(A1912,Revisión!$A$2:$L$703,11,FALSE)</f>
        <v>#N/A</v>
      </c>
      <c r="N1912" s="30" t="str">
        <f>IF(E1912="Coinciden",D1912,IF(E1912="Revisar",VLOOKUP(A1912,Revisión!$A$2:$L$703,12,FALSE),""))</f>
        <v>Funastrum clausum</v>
      </c>
    </row>
    <row r="1913" spans="1:14" x14ac:dyDescent="0.3">
      <c r="A1913" t="s">
        <v>3934</v>
      </c>
      <c r="B1913" t="s">
        <v>3935</v>
      </c>
      <c r="C1913" t="s">
        <v>3935</v>
      </c>
      <c r="D1913" t="s">
        <v>3935</v>
      </c>
      <c r="E1913" t="s">
        <v>18</v>
      </c>
      <c r="F1913" t="s">
        <v>19</v>
      </c>
      <c r="H1913" s="23" t="e">
        <f>VLOOKUP(A1913,Revisión!$A$2:$L$703,6,FALSE)</f>
        <v>#N/A</v>
      </c>
      <c r="I1913" s="4" t="e">
        <f>VLOOKUP(A1913,Revisión!$A$2:$L$703,7,FALSE)</f>
        <v>#N/A</v>
      </c>
      <c r="J1913" s="4" t="e">
        <f>VLOOKUP(A1913,Revisión!$A$2:$L$703,8,FALSE)</f>
        <v>#N/A</v>
      </c>
      <c r="K1913" s="4" t="e">
        <f>VLOOKUP(A1913,Revisión!$A$2:$L$703,9,FALSE)</f>
        <v>#N/A</v>
      </c>
      <c r="L1913" s="4" t="e">
        <f>VLOOKUP(A1913,Revisión!$A$2:$L$703,10,FALSE)</f>
        <v>#N/A</v>
      </c>
      <c r="M1913" s="18" t="e">
        <f>VLOOKUP(A1913,Revisión!$A$2:$L$703,11,FALSE)</f>
        <v>#N/A</v>
      </c>
      <c r="N1913" s="30" t="str">
        <f>IF(E1913="Coinciden",D1913,IF(E1913="Revisar",VLOOKUP(A1913,Revisión!$A$2:$L$703,12,FALSE),""))</f>
        <v>Sassafras albidum</v>
      </c>
    </row>
    <row r="1914" spans="1:14" x14ac:dyDescent="0.3">
      <c r="A1914" t="s">
        <v>3936</v>
      </c>
      <c r="D1914" t="s">
        <v>3937</v>
      </c>
      <c r="E1914" t="s">
        <v>8</v>
      </c>
      <c r="F1914" t="s">
        <v>9</v>
      </c>
      <c r="H1914" s="23" t="str">
        <f>VLOOKUP(A1914,Revisión!$A$2:$L$703,6,FALSE)</f>
        <v>Stachys tenuifolia</v>
      </c>
      <c r="I1914" s="4" t="str">
        <f>VLOOKUP(A1914,Revisión!$A$2:$L$703,7,FALSE)</f>
        <v>-</v>
      </c>
      <c r="J1914" s="4" t="str">
        <f>VLOOKUP(A1914,Revisión!$A$2:$L$703,8,FALSE)</f>
        <v>Stachys tenuifolia</v>
      </c>
      <c r="K1914" s="4" t="str">
        <f>VLOOKUP(A1914,Revisión!$A$2:$L$703,9,FALSE)</f>
        <v>Stachys tenuifolia</v>
      </c>
      <c r="L1914" s="4" t="str">
        <f>VLOOKUP(A1914,Revisión!$A$2:$L$703,10,FALSE)</f>
        <v>Stachys tenuifolia</v>
      </c>
      <c r="M1914" s="18">
        <f>VLOOKUP(A1914,Revisión!$A$2:$L$703,11,FALSE)</f>
        <v>4</v>
      </c>
      <c r="N1914" s="30" t="str">
        <f>IF(E1914="Coinciden",D1914,IF(E1914="Revisar",VLOOKUP(A1914,Revisión!$A$2:$L$703,12,FALSE),""))</f>
        <v>Stachys tenuifolia</v>
      </c>
    </row>
    <row r="1915" spans="1:14" x14ac:dyDescent="0.3">
      <c r="A1915" t="s">
        <v>3938</v>
      </c>
      <c r="B1915" t="s">
        <v>3939</v>
      </c>
      <c r="C1915" t="s">
        <v>3939</v>
      </c>
      <c r="D1915" t="s">
        <v>3939</v>
      </c>
      <c r="E1915" t="s">
        <v>18</v>
      </c>
      <c r="F1915" t="s">
        <v>19</v>
      </c>
      <c r="H1915" s="23" t="e">
        <f>VLOOKUP(A1915,Revisión!$A$2:$L$703,6,FALSE)</f>
        <v>#N/A</v>
      </c>
      <c r="I1915" s="4" t="e">
        <f>VLOOKUP(A1915,Revisión!$A$2:$L$703,7,FALSE)</f>
        <v>#N/A</v>
      </c>
      <c r="J1915" s="4" t="e">
        <f>VLOOKUP(A1915,Revisión!$A$2:$L$703,8,FALSE)</f>
        <v>#N/A</v>
      </c>
      <c r="K1915" s="4" t="e">
        <f>VLOOKUP(A1915,Revisión!$A$2:$L$703,9,FALSE)</f>
        <v>#N/A</v>
      </c>
      <c r="L1915" s="4" t="e">
        <f>VLOOKUP(A1915,Revisión!$A$2:$L$703,10,FALSE)</f>
        <v>#N/A</v>
      </c>
      <c r="M1915" s="18" t="e">
        <f>VLOOKUP(A1915,Revisión!$A$2:$L$703,11,FALSE)</f>
        <v>#N/A</v>
      </c>
      <c r="N1915" s="30" t="str">
        <f>IF(E1915="Coinciden",D1915,IF(E1915="Revisar",VLOOKUP(A1915,Revisión!$A$2:$L$703,12,FALSE),""))</f>
        <v>Satureja thymbra</v>
      </c>
    </row>
    <row r="1916" spans="1:14" x14ac:dyDescent="0.3">
      <c r="A1916" t="s">
        <v>3940</v>
      </c>
      <c r="B1916" t="s">
        <v>3941</v>
      </c>
      <c r="C1916" t="s">
        <v>3941</v>
      </c>
      <c r="D1916" t="s">
        <v>3941</v>
      </c>
      <c r="E1916" t="s">
        <v>18</v>
      </c>
      <c r="F1916" t="s">
        <v>19</v>
      </c>
      <c r="H1916" s="23" t="e">
        <f>VLOOKUP(A1916,Revisión!$A$2:$L$703,6,FALSE)</f>
        <v>#N/A</v>
      </c>
      <c r="I1916" s="4" t="e">
        <f>VLOOKUP(A1916,Revisión!$A$2:$L$703,7,FALSE)</f>
        <v>#N/A</v>
      </c>
      <c r="J1916" s="4" t="e">
        <f>VLOOKUP(A1916,Revisión!$A$2:$L$703,8,FALSE)</f>
        <v>#N/A</v>
      </c>
      <c r="K1916" s="4" t="e">
        <f>VLOOKUP(A1916,Revisión!$A$2:$L$703,9,FALSE)</f>
        <v>#N/A</v>
      </c>
      <c r="L1916" s="4" t="e">
        <f>VLOOKUP(A1916,Revisión!$A$2:$L$703,10,FALSE)</f>
        <v>#N/A</v>
      </c>
      <c r="M1916" s="18" t="e">
        <f>VLOOKUP(A1916,Revisión!$A$2:$L$703,11,FALSE)</f>
        <v>#N/A</v>
      </c>
      <c r="N1916" s="30" t="str">
        <f>IF(E1916="Coinciden",D1916,IF(E1916="Revisar",VLOOKUP(A1916,Revisión!$A$2:$L$703,12,FALSE),""))</f>
        <v>Saussurea yanagisawae</v>
      </c>
    </row>
    <row r="1917" spans="1:14" x14ac:dyDescent="0.3">
      <c r="A1917" t="s">
        <v>3942</v>
      </c>
      <c r="B1917" t="s">
        <v>3943</v>
      </c>
      <c r="C1917" t="s">
        <v>3943</v>
      </c>
      <c r="D1917" t="s">
        <v>3943</v>
      </c>
      <c r="E1917" t="s">
        <v>18</v>
      </c>
      <c r="F1917" t="s">
        <v>19</v>
      </c>
      <c r="H1917" s="23" t="e">
        <f>VLOOKUP(A1917,Revisión!$A$2:$L$703,6,FALSE)</f>
        <v>#N/A</v>
      </c>
      <c r="I1917" s="4" t="e">
        <f>VLOOKUP(A1917,Revisión!$A$2:$L$703,7,FALSE)</f>
        <v>#N/A</v>
      </c>
      <c r="J1917" s="4" t="e">
        <f>VLOOKUP(A1917,Revisión!$A$2:$L$703,8,FALSE)</f>
        <v>#N/A</v>
      </c>
      <c r="K1917" s="4" t="e">
        <f>VLOOKUP(A1917,Revisión!$A$2:$L$703,9,FALSE)</f>
        <v>#N/A</v>
      </c>
      <c r="L1917" s="4" t="e">
        <f>VLOOKUP(A1917,Revisión!$A$2:$L$703,10,FALSE)</f>
        <v>#N/A</v>
      </c>
      <c r="M1917" s="18" t="e">
        <f>VLOOKUP(A1917,Revisión!$A$2:$L$703,11,FALSE)</f>
        <v>#N/A</v>
      </c>
      <c r="N1917" s="30" t="str">
        <f>IF(E1917="Coinciden",D1917,IF(E1917="Revisar",VLOOKUP(A1917,Revisión!$A$2:$L$703,12,FALSE),""))</f>
        <v>Saussurea gracilis</v>
      </c>
    </row>
    <row r="1918" spans="1:14" x14ac:dyDescent="0.3">
      <c r="A1918" t="s">
        <v>3944</v>
      </c>
      <c r="B1918" t="s">
        <v>3945</v>
      </c>
      <c r="C1918" t="s">
        <v>3945</v>
      </c>
      <c r="D1918" t="s">
        <v>3945</v>
      </c>
      <c r="E1918" t="s">
        <v>18</v>
      </c>
      <c r="F1918" t="s">
        <v>19</v>
      </c>
      <c r="H1918" s="23" t="e">
        <f>VLOOKUP(A1918,Revisión!$A$2:$L$703,6,FALSE)</f>
        <v>#N/A</v>
      </c>
      <c r="I1918" s="4" t="e">
        <f>VLOOKUP(A1918,Revisión!$A$2:$L$703,7,FALSE)</f>
        <v>#N/A</v>
      </c>
      <c r="J1918" s="4" t="e">
        <f>VLOOKUP(A1918,Revisión!$A$2:$L$703,8,FALSE)</f>
        <v>#N/A</v>
      </c>
      <c r="K1918" s="4" t="e">
        <f>VLOOKUP(A1918,Revisión!$A$2:$L$703,9,FALSE)</f>
        <v>#N/A</v>
      </c>
      <c r="L1918" s="4" t="e">
        <f>VLOOKUP(A1918,Revisión!$A$2:$L$703,10,FALSE)</f>
        <v>#N/A</v>
      </c>
      <c r="M1918" s="18" t="e">
        <f>VLOOKUP(A1918,Revisión!$A$2:$L$703,11,FALSE)</f>
        <v>#N/A</v>
      </c>
      <c r="N1918" s="30" t="str">
        <f>IF(E1918="Coinciden",D1918,IF(E1918="Revisar",VLOOKUP(A1918,Revisión!$A$2:$L$703,12,FALSE),""))</f>
        <v>Sauvagesia rubiginosa</v>
      </c>
    </row>
    <row r="1919" spans="1:14" x14ac:dyDescent="0.3">
      <c r="A1919" t="s">
        <v>3946</v>
      </c>
      <c r="B1919" t="s">
        <v>3947</v>
      </c>
      <c r="C1919" t="s">
        <v>3947</v>
      </c>
      <c r="D1919" t="s">
        <v>3947</v>
      </c>
      <c r="E1919" t="s">
        <v>18</v>
      </c>
      <c r="F1919" t="s">
        <v>19</v>
      </c>
      <c r="H1919" s="23" t="e">
        <f>VLOOKUP(A1919,Revisión!$A$2:$L$703,6,FALSE)</f>
        <v>#N/A</v>
      </c>
      <c r="I1919" s="4" t="e">
        <f>VLOOKUP(A1919,Revisión!$A$2:$L$703,7,FALSE)</f>
        <v>#N/A</v>
      </c>
      <c r="J1919" s="4" t="e">
        <f>VLOOKUP(A1919,Revisión!$A$2:$L$703,8,FALSE)</f>
        <v>#N/A</v>
      </c>
      <c r="K1919" s="4" t="e">
        <f>VLOOKUP(A1919,Revisión!$A$2:$L$703,9,FALSE)</f>
        <v>#N/A</v>
      </c>
      <c r="L1919" s="4" t="e">
        <f>VLOOKUP(A1919,Revisión!$A$2:$L$703,10,FALSE)</f>
        <v>#N/A</v>
      </c>
      <c r="M1919" s="18" t="e">
        <f>VLOOKUP(A1919,Revisión!$A$2:$L$703,11,FALSE)</f>
        <v>#N/A</v>
      </c>
      <c r="N1919" s="30" t="str">
        <f>IF(E1919="Coinciden",D1919,IF(E1919="Revisar",VLOOKUP(A1919,Revisión!$A$2:$L$703,12,FALSE),""))</f>
        <v>Sauvagesia angustifolia</v>
      </c>
    </row>
    <row r="1920" spans="1:14" x14ac:dyDescent="0.3">
      <c r="A1920" t="s">
        <v>3948</v>
      </c>
      <c r="D1920" t="s">
        <v>3949</v>
      </c>
      <c r="E1920" t="s">
        <v>8</v>
      </c>
      <c r="F1920" t="s">
        <v>9</v>
      </c>
      <c r="H1920" s="23" t="str">
        <f>VLOOKUP(A1920,Revisión!$A$2:$L$703,6,FALSE)</f>
        <v>Saxifraga cespitosa</v>
      </c>
      <c r="I1920" s="4" t="str">
        <f>VLOOKUP(A1920,Revisión!$A$2:$L$703,7,FALSE)</f>
        <v>-</v>
      </c>
      <c r="J1920" s="4" t="str">
        <f>VLOOKUP(A1920,Revisión!$A$2:$L$703,8,FALSE)</f>
        <v>Saxifraga cespitosa</v>
      </c>
      <c r="K1920" s="4" t="str">
        <f>VLOOKUP(A1920,Revisión!$A$2:$L$703,9,FALSE)</f>
        <v>Saxifraga cespitosa</v>
      </c>
      <c r="L1920" s="4" t="str">
        <f>VLOOKUP(A1920,Revisión!$A$2:$L$703,10,FALSE)</f>
        <v>Saxifraga cespitosa</v>
      </c>
      <c r="M1920" s="18">
        <f>VLOOKUP(A1920,Revisión!$A$2:$L$703,11,FALSE)</f>
        <v>5</v>
      </c>
      <c r="N1920" s="30" t="str">
        <f>IF(E1920="Coinciden",D1920,IF(E1920="Revisar",VLOOKUP(A1920,Revisión!$A$2:$L$703,12,FALSE),""))</f>
        <v>Saxifraga caespitosa</v>
      </c>
    </row>
    <row r="1921" spans="1:14" x14ac:dyDescent="0.3">
      <c r="A1921" t="s">
        <v>3950</v>
      </c>
      <c r="B1921" t="s">
        <v>3951</v>
      </c>
      <c r="C1921" t="s">
        <v>3951</v>
      </c>
      <c r="D1921" t="s">
        <v>3951</v>
      </c>
      <c r="E1921" t="s">
        <v>18</v>
      </c>
      <c r="F1921" t="s">
        <v>19</v>
      </c>
      <c r="H1921" s="23" t="e">
        <f>VLOOKUP(A1921,Revisión!$A$2:$L$703,6,FALSE)</f>
        <v>#N/A</v>
      </c>
      <c r="I1921" s="4" t="e">
        <f>VLOOKUP(A1921,Revisión!$A$2:$L$703,7,FALSE)</f>
        <v>#N/A</v>
      </c>
      <c r="J1921" s="4" t="e">
        <f>VLOOKUP(A1921,Revisión!$A$2:$L$703,8,FALSE)</f>
        <v>#N/A</v>
      </c>
      <c r="K1921" s="4" t="e">
        <f>VLOOKUP(A1921,Revisión!$A$2:$L$703,9,FALSE)</f>
        <v>#N/A</v>
      </c>
      <c r="L1921" s="4" t="e">
        <f>VLOOKUP(A1921,Revisión!$A$2:$L$703,10,FALSE)</f>
        <v>#N/A</v>
      </c>
      <c r="M1921" s="18" t="e">
        <f>VLOOKUP(A1921,Revisión!$A$2:$L$703,11,FALSE)</f>
        <v>#N/A</v>
      </c>
      <c r="N1921" s="30" t="str">
        <f>IF(E1921="Coinciden",D1921,IF(E1921="Revisar",VLOOKUP(A1921,Revisión!$A$2:$L$703,12,FALSE),""))</f>
        <v>Saxifraga flagellaris</v>
      </c>
    </row>
    <row r="1922" spans="1:14" x14ac:dyDescent="0.3">
      <c r="A1922" t="s">
        <v>3952</v>
      </c>
      <c r="B1922" t="s">
        <v>3953</v>
      </c>
      <c r="C1922" t="s">
        <v>3953</v>
      </c>
      <c r="D1922" t="s">
        <v>3953</v>
      </c>
      <c r="E1922" t="s">
        <v>18</v>
      </c>
      <c r="F1922" t="s">
        <v>19</v>
      </c>
      <c r="H1922" s="23" t="e">
        <f>VLOOKUP(A1922,Revisión!$A$2:$L$703,6,FALSE)</f>
        <v>#N/A</v>
      </c>
      <c r="I1922" s="4" t="e">
        <f>VLOOKUP(A1922,Revisión!$A$2:$L$703,7,FALSE)</f>
        <v>#N/A</v>
      </c>
      <c r="J1922" s="4" t="e">
        <f>VLOOKUP(A1922,Revisión!$A$2:$L$703,8,FALSE)</f>
        <v>#N/A</v>
      </c>
      <c r="K1922" s="4" t="e">
        <f>VLOOKUP(A1922,Revisión!$A$2:$L$703,9,FALSE)</f>
        <v>#N/A</v>
      </c>
      <c r="L1922" s="4" t="e">
        <f>VLOOKUP(A1922,Revisión!$A$2:$L$703,10,FALSE)</f>
        <v>#N/A</v>
      </c>
      <c r="M1922" s="18" t="e">
        <f>VLOOKUP(A1922,Revisión!$A$2:$L$703,11,FALSE)</f>
        <v>#N/A</v>
      </c>
      <c r="N1922" s="30" t="str">
        <f>IF(E1922="Coinciden",D1922,IF(E1922="Revisar",VLOOKUP(A1922,Revisión!$A$2:$L$703,12,FALSE),""))</f>
        <v>Saxifraga cernua</v>
      </c>
    </row>
    <row r="1923" spans="1:14" x14ac:dyDescent="0.3">
      <c r="A1923" t="s">
        <v>3954</v>
      </c>
      <c r="D1923" t="s">
        <v>3955</v>
      </c>
      <c r="E1923" t="s">
        <v>8</v>
      </c>
      <c r="F1923" t="s">
        <v>9</v>
      </c>
      <c r="H1923" s="23" t="str">
        <f>VLOOKUP(A1923,Revisión!$A$2:$L$703,6,FALSE)</f>
        <v>Micranthes nivalis</v>
      </c>
      <c r="I1923" s="4" t="str">
        <f>VLOOKUP(A1923,Revisión!$A$2:$L$703,7,FALSE)</f>
        <v>-</v>
      </c>
      <c r="J1923" s="4" t="str">
        <f>VLOOKUP(A1923,Revisión!$A$2:$L$703,8,FALSE)</f>
        <v>Micranthes nivalis</v>
      </c>
      <c r="K1923" s="4" t="str">
        <f>VLOOKUP(A1923,Revisión!$A$2:$L$703,9,FALSE)</f>
        <v>Micranthes nivalis</v>
      </c>
      <c r="L1923" s="4" t="str">
        <f>VLOOKUP(A1923,Revisión!$A$2:$L$703,10,FALSE)</f>
        <v>Micranthes nivalis</v>
      </c>
      <c r="M1923" s="18">
        <f>VLOOKUP(A1923,Revisión!$A$2:$L$703,11,FALSE)</f>
        <v>5</v>
      </c>
      <c r="N1923" s="30" t="str">
        <f>IF(E1923="Coinciden",D1923,IF(E1923="Revisar",VLOOKUP(A1923,Revisión!$A$2:$L$703,12,FALSE),""))</f>
        <v>Micranthes nivalis</v>
      </c>
    </row>
    <row r="1924" spans="1:14" x14ac:dyDescent="0.3">
      <c r="A1924" t="s">
        <v>3956</v>
      </c>
      <c r="B1924" t="s">
        <v>3957</v>
      </c>
      <c r="C1924" t="s">
        <v>3957</v>
      </c>
      <c r="D1924" t="s">
        <v>3957</v>
      </c>
      <c r="E1924" t="s">
        <v>18</v>
      </c>
      <c r="F1924" t="s">
        <v>19</v>
      </c>
      <c r="H1924" s="23" t="e">
        <f>VLOOKUP(A1924,Revisión!$A$2:$L$703,6,FALSE)</f>
        <v>#N/A</v>
      </c>
      <c r="I1924" s="4" t="e">
        <f>VLOOKUP(A1924,Revisión!$A$2:$L$703,7,FALSE)</f>
        <v>#N/A</v>
      </c>
      <c r="J1924" s="4" t="e">
        <f>VLOOKUP(A1924,Revisión!$A$2:$L$703,8,FALSE)</f>
        <v>#N/A</v>
      </c>
      <c r="K1924" s="4" t="e">
        <f>VLOOKUP(A1924,Revisión!$A$2:$L$703,9,FALSE)</f>
        <v>#N/A</v>
      </c>
      <c r="L1924" s="4" t="e">
        <f>VLOOKUP(A1924,Revisión!$A$2:$L$703,10,FALSE)</f>
        <v>#N/A</v>
      </c>
      <c r="M1924" s="18" t="e">
        <f>VLOOKUP(A1924,Revisión!$A$2:$L$703,11,FALSE)</f>
        <v>#N/A</v>
      </c>
      <c r="N1924" s="30" t="str">
        <f>IF(E1924="Coinciden",D1924,IF(E1924="Revisar",VLOOKUP(A1924,Revisión!$A$2:$L$703,12,FALSE),""))</f>
        <v>Saxifraga oppositifolia</v>
      </c>
    </row>
    <row r="1925" spans="1:14" x14ac:dyDescent="0.3">
      <c r="A1925" t="s">
        <v>3958</v>
      </c>
      <c r="E1925" t="s">
        <v>8</v>
      </c>
      <c r="F1925" t="s">
        <v>11</v>
      </c>
      <c r="H1925" s="23" t="e">
        <f>VLOOKUP(A1925,Revisión!$A$2:$L$703,6,FALSE)</f>
        <v>#N/A</v>
      </c>
      <c r="I1925" s="4" t="e">
        <f>VLOOKUP(A1925,Revisión!$A$2:$L$703,7,FALSE)</f>
        <v>#N/A</v>
      </c>
      <c r="J1925" s="4" t="e">
        <f>VLOOKUP(A1925,Revisión!$A$2:$L$703,8,FALSE)</f>
        <v>#N/A</v>
      </c>
      <c r="K1925" s="4" t="e">
        <f>VLOOKUP(A1925,Revisión!$A$2:$L$703,9,FALSE)</f>
        <v>#N/A</v>
      </c>
      <c r="L1925" s="4" t="e">
        <f>VLOOKUP(A1925,Revisión!$A$2:$L$703,10,FALSE)</f>
        <v>#N/A</v>
      </c>
      <c r="M1925" s="18" t="e">
        <f>VLOOKUP(A1925,Revisión!$A$2:$L$703,11,FALSE)</f>
        <v>#N/A</v>
      </c>
      <c r="N1925" s="30" t="e">
        <f>IF(E1925="Coinciden",D1925,IF(E1925="Revisar",VLOOKUP(A1925,Revisión!$A$2:$L$703,12,FALSE),""))</f>
        <v>#N/A</v>
      </c>
    </row>
    <row r="1926" spans="1:14" x14ac:dyDescent="0.3">
      <c r="A1926" t="s">
        <v>3959</v>
      </c>
      <c r="B1926" t="s">
        <v>3960</v>
      </c>
      <c r="C1926" t="s">
        <v>3960</v>
      </c>
      <c r="D1926" t="s">
        <v>3960</v>
      </c>
      <c r="E1926" t="s">
        <v>18</v>
      </c>
      <c r="F1926" t="s">
        <v>19</v>
      </c>
      <c r="H1926" s="23" t="e">
        <f>VLOOKUP(A1926,Revisión!$A$2:$L$703,6,FALSE)</f>
        <v>#N/A</v>
      </c>
      <c r="I1926" s="4" t="e">
        <f>VLOOKUP(A1926,Revisión!$A$2:$L$703,7,FALSE)</f>
        <v>#N/A</v>
      </c>
      <c r="J1926" s="4" t="e">
        <f>VLOOKUP(A1926,Revisión!$A$2:$L$703,8,FALSE)</f>
        <v>#N/A</v>
      </c>
      <c r="K1926" s="4" t="e">
        <f>VLOOKUP(A1926,Revisión!$A$2:$L$703,9,FALSE)</f>
        <v>#N/A</v>
      </c>
      <c r="L1926" s="4" t="e">
        <f>VLOOKUP(A1926,Revisión!$A$2:$L$703,10,FALSE)</f>
        <v>#N/A</v>
      </c>
      <c r="M1926" s="18" t="e">
        <f>VLOOKUP(A1926,Revisión!$A$2:$L$703,11,FALSE)</f>
        <v>#N/A</v>
      </c>
      <c r="N1926" s="30" t="str">
        <f>IF(E1926="Coinciden",D1926,IF(E1926="Revisar",VLOOKUP(A1926,Revisión!$A$2:$L$703,12,FALSE),""))</f>
        <v>Saxifraga hirculus</v>
      </c>
    </row>
    <row r="1927" spans="1:14" x14ac:dyDescent="0.3">
      <c r="A1927" t="s">
        <v>3961</v>
      </c>
      <c r="B1927" t="s">
        <v>3962</v>
      </c>
      <c r="C1927" t="s">
        <v>3962</v>
      </c>
      <c r="D1927" t="s">
        <v>3962</v>
      </c>
      <c r="E1927" t="s">
        <v>18</v>
      </c>
      <c r="F1927" t="s">
        <v>19</v>
      </c>
      <c r="H1927" s="23" t="e">
        <f>VLOOKUP(A1927,Revisión!$A$2:$L$703,6,FALSE)</f>
        <v>#N/A</v>
      </c>
      <c r="I1927" s="4" t="e">
        <f>VLOOKUP(A1927,Revisión!$A$2:$L$703,7,FALSE)</f>
        <v>#N/A</v>
      </c>
      <c r="J1927" s="4" t="e">
        <f>VLOOKUP(A1927,Revisión!$A$2:$L$703,8,FALSE)</f>
        <v>#N/A</v>
      </c>
      <c r="K1927" s="4" t="e">
        <f>VLOOKUP(A1927,Revisión!$A$2:$L$703,9,FALSE)</f>
        <v>#N/A</v>
      </c>
      <c r="L1927" s="4" t="e">
        <f>VLOOKUP(A1927,Revisión!$A$2:$L$703,10,FALSE)</f>
        <v>#N/A</v>
      </c>
      <c r="M1927" s="18" t="e">
        <f>VLOOKUP(A1927,Revisión!$A$2:$L$703,11,FALSE)</f>
        <v>#N/A</v>
      </c>
      <c r="N1927" s="30" t="str">
        <f>IF(E1927="Coinciden",D1927,IF(E1927="Revisar",VLOOKUP(A1927,Revisión!$A$2:$L$703,12,FALSE),""))</f>
        <v>Saxifraga tricuspidata</v>
      </c>
    </row>
    <row r="1928" spans="1:14" x14ac:dyDescent="0.3">
      <c r="A1928" t="s">
        <v>3963</v>
      </c>
      <c r="B1928" t="s">
        <v>3964</v>
      </c>
      <c r="C1928" t="s">
        <v>3964</v>
      </c>
      <c r="D1928" t="s">
        <v>3964</v>
      </c>
      <c r="E1928" t="s">
        <v>18</v>
      </c>
      <c r="F1928" t="s">
        <v>19</v>
      </c>
      <c r="H1928" s="23" t="e">
        <f>VLOOKUP(A1928,Revisión!$A$2:$L$703,6,FALSE)</f>
        <v>#N/A</v>
      </c>
      <c r="I1928" s="4" t="e">
        <f>VLOOKUP(A1928,Revisión!$A$2:$L$703,7,FALSE)</f>
        <v>#N/A</v>
      </c>
      <c r="J1928" s="4" t="e">
        <f>VLOOKUP(A1928,Revisión!$A$2:$L$703,8,FALSE)</f>
        <v>#N/A</v>
      </c>
      <c r="K1928" s="4" t="e">
        <f>VLOOKUP(A1928,Revisión!$A$2:$L$703,9,FALSE)</f>
        <v>#N/A</v>
      </c>
      <c r="L1928" s="4" t="e">
        <f>VLOOKUP(A1928,Revisión!$A$2:$L$703,10,FALSE)</f>
        <v>#N/A</v>
      </c>
      <c r="M1928" s="18" t="e">
        <f>VLOOKUP(A1928,Revisión!$A$2:$L$703,11,FALSE)</f>
        <v>#N/A</v>
      </c>
      <c r="N1928" s="30" t="str">
        <f>IF(E1928="Coinciden",D1928,IF(E1928="Revisar",VLOOKUP(A1928,Revisión!$A$2:$L$703,12,FALSE),""))</f>
        <v>Saxifraga aizoides</v>
      </c>
    </row>
    <row r="1929" spans="1:14" x14ac:dyDescent="0.3">
      <c r="A1929" t="s">
        <v>3965</v>
      </c>
      <c r="C1929" t="s">
        <v>3966</v>
      </c>
      <c r="D1929" t="s">
        <v>3966</v>
      </c>
      <c r="E1929" t="s">
        <v>8</v>
      </c>
      <c r="F1929" t="s">
        <v>49</v>
      </c>
      <c r="H1929" s="23" t="str">
        <f>VLOOKUP(A1929,Revisión!$A$2:$L$703,6,FALSE)</f>
        <v>Lomelosia stellata</v>
      </c>
      <c r="I1929" s="4" t="str">
        <f>VLOOKUP(A1929,Revisión!$A$2:$L$703,7,FALSE)</f>
        <v>-</v>
      </c>
      <c r="J1929" s="4" t="str">
        <f>VLOOKUP(A1929,Revisión!$A$2:$L$703,8,FALSE)</f>
        <v>Lomelosia stellata</v>
      </c>
      <c r="K1929" s="4" t="str">
        <f>VLOOKUP(A1929,Revisión!$A$2:$L$703,9,FALSE)</f>
        <v>Lomelosia stellata</v>
      </c>
      <c r="L1929" s="4" t="str">
        <f>VLOOKUP(A1929,Revisión!$A$2:$L$703,10,FALSE)</f>
        <v>Lomelosia stellata</v>
      </c>
      <c r="M1929" s="18">
        <f>VLOOKUP(A1929,Revisión!$A$2:$L$703,11,FALSE)</f>
        <v>5</v>
      </c>
      <c r="N1929" s="30" t="str">
        <f>IF(E1929="Coinciden",D1929,IF(E1929="Revisar",VLOOKUP(A1929,Revisión!$A$2:$L$703,12,FALSE),""))</f>
        <v>Lomelosia stellata</v>
      </c>
    </row>
    <row r="1930" spans="1:14" x14ac:dyDescent="0.3">
      <c r="A1930" t="s">
        <v>3967</v>
      </c>
      <c r="B1930" t="s">
        <v>3968</v>
      </c>
      <c r="C1930" t="s">
        <v>3969</v>
      </c>
      <c r="D1930" t="s">
        <v>3969</v>
      </c>
      <c r="E1930" t="s">
        <v>8</v>
      </c>
      <c r="F1930" t="s">
        <v>23</v>
      </c>
      <c r="H1930" s="23" t="str">
        <f>VLOOKUP(A1930,Revisión!$A$2:$L$703,6,FALSE)</f>
        <v>Sixalix atropurpurea subsp. atropurpurea</v>
      </c>
      <c r="I1930" s="4" t="str">
        <f>VLOOKUP(A1930,Revisión!$A$2:$L$703,7,FALSE)</f>
        <v>-</v>
      </c>
      <c r="J1930" s="4" t="str">
        <f>VLOOKUP(A1930,Revisión!$A$2:$L$703,8,FALSE)</f>
        <v>Scabiosa atropurpurea</v>
      </c>
      <c r="K1930" s="4" t="str">
        <f>VLOOKUP(A1930,Revisión!$A$2:$L$703,9,FALSE)</f>
        <v>Scabiosa atropurpurea</v>
      </c>
      <c r="L1930" s="4" t="str">
        <f>VLOOKUP(A1930,Revisión!$A$2:$L$703,10,FALSE)</f>
        <v>Sixalix atropurpurea subsp. atropurpurea</v>
      </c>
      <c r="M1930" s="18">
        <f>VLOOKUP(A1930,Revisión!$A$2:$L$703,11,FALSE)</f>
        <v>3</v>
      </c>
      <c r="N1930" s="30" t="str">
        <f>IF(E1930="Coinciden",D1930,IF(E1930="Revisar",VLOOKUP(A1930,Revisión!$A$2:$L$703,12,FALSE),""))</f>
        <v>Scabiosa atropurpurea</v>
      </c>
    </row>
    <row r="1931" spans="1:14" x14ac:dyDescent="0.3">
      <c r="A1931" t="s">
        <v>3970</v>
      </c>
      <c r="B1931" t="s">
        <v>3971</v>
      </c>
      <c r="C1931" t="s">
        <v>3971</v>
      </c>
      <c r="D1931" t="s">
        <v>3971</v>
      </c>
      <c r="E1931" t="s">
        <v>18</v>
      </c>
      <c r="F1931" t="s">
        <v>19</v>
      </c>
      <c r="H1931" s="23" t="e">
        <f>VLOOKUP(A1931,Revisión!$A$2:$L$703,6,FALSE)</f>
        <v>#N/A</v>
      </c>
      <c r="I1931" s="4" t="e">
        <f>VLOOKUP(A1931,Revisión!$A$2:$L$703,7,FALSE)</f>
        <v>#N/A</v>
      </c>
      <c r="J1931" s="4" t="e">
        <f>VLOOKUP(A1931,Revisión!$A$2:$L$703,8,FALSE)</f>
        <v>#N/A</v>
      </c>
      <c r="K1931" s="4" t="e">
        <f>VLOOKUP(A1931,Revisión!$A$2:$L$703,9,FALSE)</f>
        <v>#N/A</v>
      </c>
      <c r="L1931" s="4" t="e">
        <f>VLOOKUP(A1931,Revisión!$A$2:$L$703,10,FALSE)</f>
        <v>#N/A</v>
      </c>
      <c r="M1931" s="18" t="e">
        <f>VLOOKUP(A1931,Revisión!$A$2:$L$703,11,FALSE)</f>
        <v>#N/A</v>
      </c>
      <c r="N1931" s="30" t="str">
        <f>IF(E1931="Coinciden",D1931,IF(E1931="Revisar",VLOOKUP(A1931,Revisión!$A$2:$L$703,12,FALSE),""))</f>
        <v>Scabiosa japonica</v>
      </c>
    </row>
    <row r="1932" spans="1:14" x14ac:dyDescent="0.3">
      <c r="A1932" t="s">
        <v>3972</v>
      </c>
      <c r="B1932" t="s">
        <v>3973</v>
      </c>
      <c r="C1932" t="s">
        <v>3973</v>
      </c>
      <c r="D1932" t="s">
        <v>3973</v>
      </c>
      <c r="E1932" t="s">
        <v>18</v>
      </c>
      <c r="F1932" t="s">
        <v>19</v>
      </c>
      <c r="H1932" s="23" t="e">
        <f>VLOOKUP(A1932,Revisión!$A$2:$L$703,6,FALSE)</f>
        <v>#N/A</v>
      </c>
      <c r="I1932" s="4" t="e">
        <f>VLOOKUP(A1932,Revisión!$A$2:$L$703,7,FALSE)</f>
        <v>#N/A</v>
      </c>
      <c r="J1932" s="4" t="e">
        <f>VLOOKUP(A1932,Revisión!$A$2:$L$703,8,FALSE)</f>
        <v>#N/A</v>
      </c>
      <c r="K1932" s="4" t="e">
        <f>VLOOKUP(A1932,Revisión!$A$2:$L$703,9,FALSE)</f>
        <v>#N/A</v>
      </c>
      <c r="L1932" s="4" t="e">
        <f>VLOOKUP(A1932,Revisión!$A$2:$L$703,10,FALSE)</f>
        <v>#N/A</v>
      </c>
      <c r="M1932" s="18" t="e">
        <f>VLOOKUP(A1932,Revisión!$A$2:$L$703,11,FALSE)</f>
        <v>#N/A</v>
      </c>
      <c r="N1932" s="30" t="str">
        <f>IF(E1932="Coinciden",D1932,IF(E1932="Revisar",VLOOKUP(A1932,Revisión!$A$2:$L$703,12,FALSE),""))</f>
        <v>Scaevola taccada</v>
      </c>
    </row>
    <row r="1933" spans="1:14" x14ac:dyDescent="0.3">
      <c r="A1933" t="s">
        <v>3974</v>
      </c>
      <c r="B1933" t="s">
        <v>3973</v>
      </c>
      <c r="C1933" t="s">
        <v>3973</v>
      </c>
      <c r="D1933" t="s">
        <v>3973</v>
      </c>
      <c r="E1933" t="s">
        <v>18</v>
      </c>
      <c r="F1933" t="s">
        <v>19</v>
      </c>
      <c r="H1933" s="23" t="e">
        <f>VLOOKUP(A1933,Revisión!$A$2:$L$703,6,FALSE)</f>
        <v>#N/A</v>
      </c>
      <c r="I1933" s="4" t="e">
        <f>VLOOKUP(A1933,Revisión!$A$2:$L$703,7,FALSE)</f>
        <v>#N/A</v>
      </c>
      <c r="J1933" s="4" t="e">
        <f>VLOOKUP(A1933,Revisión!$A$2:$L$703,8,FALSE)</f>
        <v>#N/A</v>
      </c>
      <c r="K1933" s="4" t="e">
        <f>VLOOKUP(A1933,Revisión!$A$2:$L$703,9,FALSE)</f>
        <v>#N/A</v>
      </c>
      <c r="L1933" s="4" t="e">
        <f>VLOOKUP(A1933,Revisión!$A$2:$L$703,10,FALSE)</f>
        <v>#N/A</v>
      </c>
      <c r="M1933" s="18" t="e">
        <f>VLOOKUP(A1933,Revisión!$A$2:$L$703,11,FALSE)</f>
        <v>#N/A</v>
      </c>
      <c r="N1933" s="30" t="str">
        <f>IF(E1933="Coinciden",D1933,IF(E1933="Revisar",VLOOKUP(A1933,Revisión!$A$2:$L$703,12,FALSE),""))</f>
        <v>Scaevola taccada</v>
      </c>
    </row>
    <row r="1934" spans="1:14" x14ac:dyDescent="0.3">
      <c r="A1934" t="s">
        <v>3975</v>
      </c>
      <c r="C1934" t="s">
        <v>3976</v>
      </c>
      <c r="D1934" t="s">
        <v>3976</v>
      </c>
      <c r="E1934" t="s">
        <v>8</v>
      </c>
      <c r="F1934" t="s">
        <v>49</v>
      </c>
      <c r="H1934" s="23" t="str">
        <f>VLOOKUP(A1934,Revisión!$A$2:$L$703,6,FALSE)</f>
        <v>Scalesia baurii</v>
      </c>
      <c r="I1934" s="4" t="str">
        <f>VLOOKUP(A1934,Revisión!$A$2:$L$703,7,FALSE)</f>
        <v>-</v>
      </c>
      <c r="J1934" s="4" t="str">
        <f>VLOOKUP(A1934,Revisión!$A$2:$L$703,8,FALSE)</f>
        <v>Scalesia baurii</v>
      </c>
      <c r="K1934" s="4" t="str">
        <f>VLOOKUP(A1934,Revisión!$A$2:$L$703,9,FALSE)</f>
        <v>Scalesia baurii</v>
      </c>
      <c r="L1934" s="4" t="str">
        <f>VLOOKUP(A1934,Revisión!$A$2:$L$703,10,FALSE)</f>
        <v>Scalesia baurii</v>
      </c>
      <c r="M1934" s="18">
        <f>VLOOKUP(A1934,Revisión!$A$2:$L$703,11,FALSE)</f>
        <v>4</v>
      </c>
      <c r="N1934" s="30" t="str">
        <f>IF(E1934="Coinciden",D1934,IF(E1934="Revisar",VLOOKUP(A1934,Revisión!$A$2:$L$703,12,FALSE),""))</f>
        <v>Scalesia baurii</v>
      </c>
    </row>
    <row r="1935" spans="1:14" x14ac:dyDescent="0.3">
      <c r="A1935" t="s">
        <v>3977</v>
      </c>
      <c r="E1935" t="s">
        <v>8</v>
      </c>
      <c r="F1935" t="s">
        <v>11</v>
      </c>
      <c r="H1935" s="23" t="e">
        <f>VLOOKUP(A1935,Revisión!$A$2:$L$703,6,FALSE)</f>
        <v>#N/A</v>
      </c>
      <c r="I1935" s="4" t="e">
        <f>VLOOKUP(A1935,Revisión!$A$2:$L$703,7,FALSE)</f>
        <v>#N/A</v>
      </c>
      <c r="J1935" s="4" t="e">
        <f>VLOOKUP(A1935,Revisión!$A$2:$L$703,8,FALSE)</f>
        <v>#N/A</v>
      </c>
      <c r="K1935" s="4" t="e">
        <f>VLOOKUP(A1935,Revisión!$A$2:$L$703,9,FALSE)</f>
        <v>#N/A</v>
      </c>
      <c r="L1935" s="4" t="e">
        <f>VLOOKUP(A1935,Revisión!$A$2:$L$703,10,FALSE)</f>
        <v>#N/A</v>
      </c>
      <c r="M1935" s="18" t="e">
        <f>VLOOKUP(A1935,Revisión!$A$2:$L$703,11,FALSE)</f>
        <v>#N/A</v>
      </c>
      <c r="N1935" s="30" t="e">
        <f>IF(E1935="Coinciden",D1935,IF(E1935="Revisar",VLOOKUP(A1935,Revisión!$A$2:$L$703,12,FALSE),""))</f>
        <v>#N/A</v>
      </c>
    </row>
    <row r="1936" spans="1:14" x14ac:dyDescent="0.3">
      <c r="A1936" t="s">
        <v>3978</v>
      </c>
      <c r="B1936" t="s">
        <v>3979</v>
      </c>
      <c r="C1936" t="s">
        <v>3979</v>
      </c>
      <c r="D1936" t="s">
        <v>3979</v>
      </c>
      <c r="E1936" t="s">
        <v>18</v>
      </c>
      <c r="F1936" t="s">
        <v>19</v>
      </c>
      <c r="H1936" s="23" t="e">
        <f>VLOOKUP(A1936,Revisión!$A$2:$L$703,6,FALSE)</f>
        <v>#N/A</v>
      </c>
      <c r="I1936" s="4" t="e">
        <f>VLOOKUP(A1936,Revisión!$A$2:$L$703,7,FALSE)</f>
        <v>#N/A</v>
      </c>
      <c r="J1936" s="4" t="e">
        <f>VLOOKUP(A1936,Revisión!$A$2:$L$703,8,FALSE)</f>
        <v>#N/A</v>
      </c>
      <c r="K1936" s="4" t="e">
        <f>VLOOKUP(A1936,Revisión!$A$2:$L$703,9,FALSE)</f>
        <v>#N/A</v>
      </c>
      <c r="L1936" s="4" t="e">
        <f>VLOOKUP(A1936,Revisión!$A$2:$L$703,10,FALSE)</f>
        <v>#N/A</v>
      </c>
      <c r="M1936" s="18" t="e">
        <f>VLOOKUP(A1936,Revisión!$A$2:$L$703,11,FALSE)</f>
        <v>#N/A</v>
      </c>
      <c r="N1936" s="30" t="str">
        <f>IF(E1936="Coinciden",D1936,IF(E1936="Revisar",VLOOKUP(A1936,Revisión!$A$2:$L$703,12,FALSE),""))</f>
        <v>Scalesia helleri</v>
      </c>
    </row>
    <row r="1937" spans="1:14" x14ac:dyDescent="0.3">
      <c r="A1937" t="s">
        <v>3980</v>
      </c>
      <c r="B1937" t="s">
        <v>3981</v>
      </c>
      <c r="C1937" t="s">
        <v>3981</v>
      </c>
      <c r="D1937" t="s">
        <v>3981</v>
      </c>
      <c r="E1937" t="s">
        <v>18</v>
      </c>
      <c r="F1937" t="s">
        <v>19</v>
      </c>
      <c r="H1937" s="23" t="e">
        <f>VLOOKUP(A1937,Revisión!$A$2:$L$703,6,FALSE)</f>
        <v>#N/A</v>
      </c>
      <c r="I1937" s="4" t="e">
        <f>VLOOKUP(A1937,Revisión!$A$2:$L$703,7,FALSE)</f>
        <v>#N/A</v>
      </c>
      <c r="J1937" s="4" t="e">
        <f>VLOOKUP(A1937,Revisión!$A$2:$L$703,8,FALSE)</f>
        <v>#N/A</v>
      </c>
      <c r="K1937" s="4" t="e">
        <f>VLOOKUP(A1937,Revisión!$A$2:$L$703,9,FALSE)</f>
        <v>#N/A</v>
      </c>
      <c r="L1937" s="4" t="e">
        <f>VLOOKUP(A1937,Revisión!$A$2:$L$703,10,FALSE)</f>
        <v>#N/A</v>
      </c>
      <c r="M1937" s="18" t="e">
        <f>VLOOKUP(A1937,Revisión!$A$2:$L$703,11,FALSE)</f>
        <v>#N/A</v>
      </c>
      <c r="N1937" s="30" t="str">
        <f>IF(E1937="Coinciden",D1937,IF(E1937="Revisar",VLOOKUP(A1937,Revisión!$A$2:$L$703,12,FALSE),""))</f>
        <v>Scalesia pedunculata</v>
      </c>
    </row>
    <row r="1938" spans="1:14" x14ac:dyDescent="0.3">
      <c r="A1938" t="s">
        <v>3982</v>
      </c>
      <c r="B1938" t="s">
        <v>3983</v>
      </c>
      <c r="C1938" t="s">
        <v>3983</v>
      </c>
      <c r="D1938" t="s">
        <v>3983</v>
      </c>
      <c r="E1938" t="s">
        <v>18</v>
      </c>
      <c r="F1938" t="s">
        <v>19</v>
      </c>
      <c r="H1938" s="23" t="e">
        <f>VLOOKUP(A1938,Revisión!$A$2:$L$703,6,FALSE)</f>
        <v>#N/A</v>
      </c>
      <c r="I1938" s="4" t="e">
        <f>VLOOKUP(A1938,Revisión!$A$2:$L$703,7,FALSE)</f>
        <v>#N/A</v>
      </c>
      <c r="J1938" s="4" t="e">
        <f>VLOOKUP(A1938,Revisión!$A$2:$L$703,8,FALSE)</f>
        <v>#N/A</v>
      </c>
      <c r="K1938" s="4" t="e">
        <f>VLOOKUP(A1938,Revisión!$A$2:$L$703,9,FALSE)</f>
        <v>#N/A</v>
      </c>
      <c r="L1938" s="4" t="e">
        <f>VLOOKUP(A1938,Revisión!$A$2:$L$703,10,FALSE)</f>
        <v>#N/A</v>
      </c>
      <c r="M1938" s="18" t="e">
        <f>VLOOKUP(A1938,Revisión!$A$2:$L$703,11,FALSE)</f>
        <v>#N/A</v>
      </c>
      <c r="N1938" s="30" t="str">
        <f>IF(E1938="Coinciden",D1938,IF(E1938="Revisar",VLOOKUP(A1938,Revisión!$A$2:$L$703,12,FALSE),""))</f>
        <v>Scalesia affinis</v>
      </c>
    </row>
    <row r="1939" spans="1:14" x14ac:dyDescent="0.3">
      <c r="A1939" t="s">
        <v>3984</v>
      </c>
      <c r="B1939" t="s">
        <v>3985</v>
      </c>
      <c r="C1939" t="s">
        <v>3985</v>
      </c>
      <c r="D1939" t="s">
        <v>3985</v>
      </c>
      <c r="E1939" t="s">
        <v>18</v>
      </c>
      <c r="F1939" t="s">
        <v>19</v>
      </c>
      <c r="H1939" s="23" t="e">
        <f>VLOOKUP(A1939,Revisión!$A$2:$L$703,6,FALSE)</f>
        <v>#N/A</v>
      </c>
      <c r="I1939" s="4" t="e">
        <f>VLOOKUP(A1939,Revisión!$A$2:$L$703,7,FALSE)</f>
        <v>#N/A</v>
      </c>
      <c r="J1939" s="4" t="e">
        <f>VLOOKUP(A1939,Revisión!$A$2:$L$703,8,FALSE)</f>
        <v>#N/A</v>
      </c>
      <c r="K1939" s="4" t="e">
        <f>VLOOKUP(A1939,Revisión!$A$2:$L$703,9,FALSE)</f>
        <v>#N/A</v>
      </c>
      <c r="L1939" s="4" t="e">
        <f>VLOOKUP(A1939,Revisión!$A$2:$L$703,10,FALSE)</f>
        <v>#N/A</v>
      </c>
      <c r="M1939" s="18" t="e">
        <f>VLOOKUP(A1939,Revisión!$A$2:$L$703,11,FALSE)</f>
        <v>#N/A</v>
      </c>
      <c r="N1939" s="30" t="str">
        <f>IF(E1939="Coinciden",D1939,IF(E1939="Revisar",VLOOKUP(A1939,Revisión!$A$2:$L$703,12,FALSE),""))</f>
        <v>Scaligeria napiformis</v>
      </c>
    </row>
    <row r="1940" spans="1:14" x14ac:dyDescent="0.3">
      <c r="A1940" t="s">
        <v>3986</v>
      </c>
      <c r="B1940" t="s">
        <v>3987</v>
      </c>
      <c r="C1940" t="s">
        <v>3987</v>
      </c>
      <c r="D1940" t="s">
        <v>3987</v>
      </c>
      <c r="E1940" t="s">
        <v>18</v>
      </c>
      <c r="F1940" t="s">
        <v>19</v>
      </c>
      <c r="H1940" s="23" t="e">
        <f>VLOOKUP(A1940,Revisión!$A$2:$L$703,6,FALSE)</f>
        <v>#N/A</v>
      </c>
      <c r="I1940" s="4" t="e">
        <f>VLOOKUP(A1940,Revisión!$A$2:$L$703,7,FALSE)</f>
        <v>#N/A</v>
      </c>
      <c r="J1940" s="4" t="e">
        <f>VLOOKUP(A1940,Revisión!$A$2:$L$703,8,FALSE)</f>
        <v>#N/A</v>
      </c>
      <c r="K1940" s="4" t="e">
        <f>VLOOKUP(A1940,Revisión!$A$2:$L$703,9,FALSE)</f>
        <v>#N/A</v>
      </c>
      <c r="L1940" s="4" t="e">
        <f>VLOOKUP(A1940,Revisión!$A$2:$L$703,10,FALSE)</f>
        <v>#N/A</v>
      </c>
      <c r="M1940" s="18" t="e">
        <f>VLOOKUP(A1940,Revisión!$A$2:$L$703,11,FALSE)</f>
        <v>#N/A</v>
      </c>
      <c r="N1940" s="30" t="str">
        <f>IF(E1940="Coinciden",D1940,IF(E1940="Revisar",VLOOKUP(A1940,Revisión!$A$2:$L$703,12,FALSE),""))</f>
        <v>Scandix pecten-veneris</v>
      </c>
    </row>
    <row r="1941" spans="1:14" x14ac:dyDescent="0.3">
      <c r="A1941" t="s">
        <v>3988</v>
      </c>
      <c r="B1941" t="s">
        <v>3989</v>
      </c>
      <c r="C1941" t="s">
        <v>3989</v>
      </c>
      <c r="D1941" t="s">
        <v>3989</v>
      </c>
      <c r="E1941" t="s">
        <v>18</v>
      </c>
      <c r="F1941" t="s">
        <v>19</v>
      </c>
      <c r="H1941" s="23" t="e">
        <f>VLOOKUP(A1941,Revisión!$A$2:$L$703,6,FALSE)</f>
        <v>#N/A</v>
      </c>
      <c r="I1941" s="4" t="e">
        <f>VLOOKUP(A1941,Revisión!$A$2:$L$703,7,FALSE)</f>
        <v>#N/A</v>
      </c>
      <c r="J1941" s="4" t="e">
        <f>VLOOKUP(A1941,Revisión!$A$2:$L$703,8,FALSE)</f>
        <v>#N/A</v>
      </c>
      <c r="K1941" s="4" t="e">
        <f>VLOOKUP(A1941,Revisión!$A$2:$L$703,9,FALSE)</f>
        <v>#N/A</v>
      </c>
      <c r="L1941" s="4" t="e">
        <f>VLOOKUP(A1941,Revisión!$A$2:$L$703,10,FALSE)</f>
        <v>#N/A</v>
      </c>
      <c r="M1941" s="18" t="e">
        <f>VLOOKUP(A1941,Revisión!$A$2:$L$703,11,FALSE)</f>
        <v>#N/A</v>
      </c>
      <c r="N1941" s="30" t="str">
        <f>IF(E1941="Coinciden",D1941,IF(E1941="Revisar",VLOOKUP(A1941,Revisión!$A$2:$L$703,12,FALSE),""))</f>
        <v>Scandix australis</v>
      </c>
    </row>
    <row r="1942" spans="1:14" x14ac:dyDescent="0.3">
      <c r="A1942" t="s">
        <v>3990</v>
      </c>
      <c r="B1942" t="s">
        <v>3973</v>
      </c>
      <c r="C1942" t="s">
        <v>3991</v>
      </c>
      <c r="D1942" t="s">
        <v>3991</v>
      </c>
      <c r="E1942" t="s">
        <v>8</v>
      </c>
      <c r="F1942" t="s">
        <v>23</v>
      </c>
      <c r="H1942" s="23" t="str">
        <f>VLOOKUP(A1942,Revisión!$A$2:$L$703,6,FALSE)</f>
        <v>Scaevola taccada</v>
      </c>
      <c r="I1942" s="4" t="str">
        <f>VLOOKUP(A1942,Revisión!$A$2:$L$703,7,FALSE)</f>
        <v>-</v>
      </c>
      <c r="J1942" s="4" t="str">
        <f>VLOOKUP(A1942,Revisión!$A$2:$L$703,8,FALSE)</f>
        <v>Scaevola plumieri</v>
      </c>
      <c r="K1942" s="4" t="str">
        <f>VLOOKUP(A1942,Revisión!$A$2:$L$703,9,FALSE)</f>
        <v>Scaevola plumieri</v>
      </c>
      <c r="L1942" s="4" t="str">
        <f>VLOOKUP(A1942,Revisión!$A$2:$L$703,10,FALSE)</f>
        <v>Scaevola plumieri</v>
      </c>
      <c r="M1942" s="18">
        <f>VLOOKUP(A1942,Revisión!$A$2:$L$703,11,FALSE)</f>
        <v>4</v>
      </c>
      <c r="N1942" s="30" t="str">
        <f>IF(E1942="Coinciden",D1942,IF(E1942="Revisar",VLOOKUP(A1942,Revisión!$A$2:$L$703,12,FALSE),""))</f>
        <v>Scaevola plumieri</v>
      </c>
    </row>
    <row r="1943" spans="1:14" x14ac:dyDescent="0.3">
      <c r="A1943" t="s">
        <v>3992</v>
      </c>
      <c r="B1943" t="s">
        <v>3993</v>
      </c>
      <c r="C1943" t="s">
        <v>3993</v>
      </c>
      <c r="D1943" t="s">
        <v>3993</v>
      </c>
      <c r="E1943" t="s">
        <v>18</v>
      </c>
      <c r="F1943" t="s">
        <v>19</v>
      </c>
      <c r="H1943" s="23" t="e">
        <f>VLOOKUP(A1943,Revisión!$A$2:$L$703,6,FALSE)</f>
        <v>#N/A</v>
      </c>
      <c r="I1943" s="4" t="e">
        <f>VLOOKUP(A1943,Revisión!$A$2:$L$703,7,FALSE)</f>
        <v>#N/A</v>
      </c>
      <c r="J1943" s="4" t="e">
        <f>VLOOKUP(A1943,Revisión!$A$2:$L$703,8,FALSE)</f>
        <v>#N/A</v>
      </c>
      <c r="K1943" s="4" t="e">
        <f>VLOOKUP(A1943,Revisión!$A$2:$L$703,9,FALSE)</f>
        <v>#N/A</v>
      </c>
      <c r="L1943" s="4" t="e">
        <f>VLOOKUP(A1943,Revisión!$A$2:$L$703,10,FALSE)</f>
        <v>#N/A</v>
      </c>
      <c r="M1943" s="18" t="e">
        <f>VLOOKUP(A1943,Revisión!$A$2:$L$703,11,FALSE)</f>
        <v>#N/A</v>
      </c>
      <c r="N1943" s="30" t="str">
        <f>IF(E1943="Coinciden",D1943,IF(E1943="Revisar",VLOOKUP(A1943,Revisión!$A$2:$L$703,12,FALSE),""))</f>
        <v>Heptapleurum heptaphyllum</v>
      </c>
    </row>
    <row r="1944" spans="1:14" x14ac:dyDescent="0.3">
      <c r="A1944" t="s">
        <v>3994</v>
      </c>
      <c r="B1944" t="s">
        <v>3995</v>
      </c>
      <c r="C1944" t="s">
        <v>3995</v>
      </c>
      <c r="D1944" t="s">
        <v>3995</v>
      </c>
      <c r="E1944" t="s">
        <v>18</v>
      </c>
      <c r="F1944" t="s">
        <v>19</v>
      </c>
      <c r="H1944" s="23" t="e">
        <f>VLOOKUP(A1944,Revisión!$A$2:$L$703,6,FALSE)</f>
        <v>#N/A</v>
      </c>
      <c r="I1944" s="4" t="e">
        <f>VLOOKUP(A1944,Revisión!$A$2:$L$703,7,FALSE)</f>
        <v>#N/A</v>
      </c>
      <c r="J1944" s="4" t="e">
        <f>VLOOKUP(A1944,Revisión!$A$2:$L$703,8,FALSE)</f>
        <v>#N/A</v>
      </c>
      <c r="K1944" s="4" t="e">
        <f>VLOOKUP(A1944,Revisión!$A$2:$L$703,9,FALSE)</f>
        <v>#N/A</v>
      </c>
      <c r="L1944" s="4" t="e">
        <f>VLOOKUP(A1944,Revisión!$A$2:$L$703,10,FALSE)</f>
        <v>#N/A</v>
      </c>
      <c r="M1944" s="18" t="e">
        <f>VLOOKUP(A1944,Revisión!$A$2:$L$703,11,FALSE)</f>
        <v>#N/A</v>
      </c>
      <c r="N1944" s="30" t="str">
        <f>IF(E1944="Coinciden",D1944,IF(E1944="Revisar",VLOOKUP(A1944,Revisión!$A$2:$L$703,12,FALSE),""))</f>
        <v>Schima wallichii</v>
      </c>
    </row>
    <row r="1945" spans="1:14" x14ac:dyDescent="0.3">
      <c r="A1945" t="s">
        <v>3996</v>
      </c>
      <c r="B1945" t="s">
        <v>3997</v>
      </c>
      <c r="C1945" t="s">
        <v>3998</v>
      </c>
      <c r="D1945" t="s">
        <v>3997</v>
      </c>
      <c r="E1945" t="s">
        <v>8</v>
      </c>
      <c r="F1945" t="s">
        <v>493</v>
      </c>
      <c r="H1945" s="23" t="str">
        <f>VLOOKUP(A1945,Revisión!$A$2:$L$703,6,FALSE)</f>
        <v>Schinus patagonica</v>
      </c>
      <c r="I1945" s="4" t="str">
        <f>VLOOKUP(A1945,Revisión!$A$2:$L$703,7,FALSE)</f>
        <v>-</v>
      </c>
      <c r="J1945" s="4" t="str">
        <f>VLOOKUP(A1945,Revisión!$A$2:$L$703,8,FALSE)</f>
        <v>Schinus patagonica</v>
      </c>
      <c r="K1945" s="4" t="str">
        <f>VLOOKUP(A1945,Revisión!$A$2:$L$703,9,FALSE)</f>
        <v>Schinus patagonica</v>
      </c>
      <c r="L1945" s="4" t="str">
        <f>VLOOKUP(A1945,Revisión!$A$2:$L$703,10,FALSE)</f>
        <v>Schinus patagonica</v>
      </c>
      <c r="M1945" s="18">
        <f>VLOOKUP(A1945,Revisión!$A$2:$L$703,11,FALSE)</f>
        <v>4</v>
      </c>
      <c r="N1945" s="30" t="str">
        <f>IF(E1945="Coinciden",D1945,IF(E1945="Revisar",VLOOKUP(A1945,Revisión!$A$2:$L$703,12,FALSE),""))</f>
        <v>Schinus patagonica</v>
      </c>
    </row>
    <row r="1946" spans="1:14" x14ac:dyDescent="0.3">
      <c r="A1946" t="s">
        <v>3999</v>
      </c>
      <c r="B1946" t="s">
        <v>4000</v>
      </c>
      <c r="C1946" t="s">
        <v>4000</v>
      </c>
      <c r="D1946" t="s">
        <v>4000</v>
      </c>
      <c r="E1946" t="s">
        <v>18</v>
      </c>
      <c r="F1946" t="s">
        <v>19</v>
      </c>
      <c r="H1946" s="23" t="e">
        <f>VLOOKUP(A1946,Revisión!$A$2:$L$703,6,FALSE)</f>
        <v>#N/A</v>
      </c>
      <c r="I1946" s="4" t="e">
        <f>VLOOKUP(A1946,Revisión!$A$2:$L$703,7,FALSE)</f>
        <v>#N/A</v>
      </c>
      <c r="J1946" s="4" t="e">
        <f>VLOOKUP(A1946,Revisión!$A$2:$L$703,8,FALSE)</f>
        <v>#N/A</v>
      </c>
      <c r="K1946" s="4" t="e">
        <f>VLOOKUP(A1946,Revisión!$A$2:$L$703,9,FALSE)</f>
        <v>#N/A</v>
      </c>
      <c r="L1946" s="4" t="e">
        <f>VLOOKUP(A1946,Revisión!$A$2:$L$703,10,FALSE)</f>
        <v>#N/A</v>
      </c>
      <c r="M1946" s="18" t="e">
        <f>VLOOKUP(A1946,Revisión!$A$2:$L$703,11,FALSE)</f>
        <v>#N/A</v>
      </c>
      <c r="N1946" s="30" t="str">
        <f>IF(E1946="Coinciden",D1946,IF(E1946="Revisar",VLOOKUP(A1946,Revisión!$A$2:$L$703,12,FALSE),""))</f>
        <v>Schizanthus hookeri</v>
      </c>
    </row>
    <row r="1947" spans="1:14" x14ac:dyDescent="0.3">
      <c r="A1947" t="s">
        <v>4001</v>
      </c>
      <c r="C1947" t="s">
        <v>4002</v>
      </c>
      <c r="D1947" t="s">
        <v>4002</v>
      </c>
      <c r="E1947" t="s">
        <v>8</v>
      </c>
      <c r="F1947" t="s">
        <v>49</v>
      </c>
      <c r="H1947" s="23" t="str">
        <f>VLOOKUP(A1947,Revisión!$A$2:$L$703,6,FALSE)</f>
        <v>Schizanthus grahamii</v>
      </c>
      <c r="I1947" s="4" t="str">
        <f>VLOOKUP(A1947,Revisión!$A$2:$L$703,7,FALSE)</f>
        <v>-</v>
      </c>
      <c r="J1947" s="4" t="str">
        <f>VLOOKUP(A1947,Revisión!$A$2:$L$703,8,FALSE)</f>
        <v>Schizanthus grahamii</v>
      </c>
      <c r="K1947" s="4" t="str">
        <f>VLOOKUP(A1947,Revisión!$A$2:$L$703,9,FALSE)</f>
        <v>Schizanthus grahamii</v>
      </c>
      <c r="L1947" s="4" t="str">
        <f>VLOOKUP(A1947,Revisión!$A$2:$L$703,10,FALSE)</f>
        <v>Schizanthus grahamii</v>
      </c>
      <c r="M1947" s="18">
        <f>VLOOKUP(A1947,Revisión!$A$2:$L$703,11,FALSE)</f>
        <v>4</v>
      </c>
      <c r="N1947" s="30" t="str">
        <f>IF(E1947="Coinciden",D1947,IF(E1947="Revisar",VLOOKUP(A1947,Revisión!$A$2:$L$703,12,FALSE),""))</f>
        <v>Schizanthus grahamii</v>
      </c>
    </row>
    <row r="1948" spans="1:14" x14ac:dyDescent="0.3">
      <c r="A1948" t="s">
        <v>4003</v>
      </c>
      <c r="B1948" t="s">
        <v>4004</v>
      </c>
      <c r="C1948" t="s">
        <v>4004</v>
      </c>
      <c r="D1948" t="s">
        <v>4004</v>
      </c>
      <c r="E1948" t="s">
        <v>18</v>
      </c>
      <c r="F1948" t="s">
        <v>19</v>
      </c>
      <c r="H1948" s="23" t="e">
        <f>VLOOKUP(A1948,Revisión!$A$2:$L$703,6,FALSE)</f>
        <v>#N/A</v>
      </c>
      <c r="I1948" s="4" t="e">
        <f>VLOOKUP(A1948,Revisión!$A$2:$L$703,7,FALSE)</f>
        <v>#N/A</v>
      </c>
      <c r="J1948" s="4" t="e">
        <f>VLOOKUP(A1948,Revisión!$A$2:$L$703,8,FALSE)</f>
        <v>#N/A</v>
      </c>
      <c r="K1948" s="4" t="e">
        <f>VLOOKUP(A1948,Revisión!$A$2:$L$703,9,FALSE)</f>
        <v>#N/A</v>
      </c>
      <c r="L1948" s="4" t="e">
        <f>VLOOKUP(A1948,Revisión!$A$2:$L$703,10,FALSE)</f>
        <v>#N/A</v>
      </c>
      <c r="M1948" s="18" t="e">
        <f>VLOOKUP(A1948,Revisión!$A$2:$L$703,11,FALSE)</f>
        <v>#N/A</v>
      </c>
      <c r="N1948" s="30" t="str">
        <f>IF(E1948="Coinciden",D1948,IF(E1948="Revisar",VLOOKUP(A1948,Revisión!$A$2:$L$703,12,FALSE),""))</f>
        <v>Hydrangea hydrangeoides</v>
      </c>
    </row>
    <row r="1949" spans="1:14" x14ac:dyDescent="0.3">
      <c r="A1949" t="s">
        <v>4005</v>
      </c>
      <c r="B1949" t="s">
        <v>4006</v>
      </c>
      <c r="C1949" t="s">
        <v>4007</v>
      </c>
      <c r="D1949" t="s">
        <v>4007</v>
      </c>
      <c r="E1949" t="s">
        <v>8</v>
      </c>
      <c r="F1949" t="s">
        <v>23</v>
      </c>
      <c r="H1949" s="23" t="str">
        <f>VLOOKUP(A1949,Revisión!$A$2:$L$703,6,FALSE)</f>
        <v>Prospero autumnale</v>
      </c>
      <c r="I1949" s="4" t="str">
        <f>VLOOKUP(A1949,Revisión!$A$2:$L$703,7,FALSE)</f>
        <v>-</v>
      </c>
      <c r="J1949" s="4" t="str">
        <f>VLOOKUP(A1949,Revisión!$A$2:$L$703,8,FALSE)</f>
        <v>Prospero autumnale</v>
      </c>
      <c r="K1949" s="4" t="str">
        <f>VLOOKUP(A1949,Revisión!$A$2:$L$703,9,FALSE)</f>
        <v>Prospero autumnale</v>
      </c>
      <c r="L1949" s="4" t="str">
        <f>VLOOKUP(A1949,Revisión!$A$2:$L$703,10,FALSE)</f>
        <v>Prospero autumnale</v>
      </c>
      <c r="M1949" s="18">
        <f>VLOOKUP(A1949,Revisión!$A$2:$L$703,11,FALSE)</f>
        <v>4</v>
      </c>
      <c r="N1949" s="30" t="str">
        <f>IF(E1949="Coinciden",D1949,IF(E1949="Revisar",VLOOKUP(A1949,Revisión!$A$2:$L$703,12,FALSE),""))</f>
        <v>Prospero autumnale</v>
      </c>
    </row>
    <row r="1950" spans="1:14" x14ac:dyDescent="0.3">
      <c r="A1950" t="s">
        <v>4008</v>
      </c>
      <c r="B1950" t="s">
        <v>4009</v>
      </c>
      <c r="D1950" t="s">
        <v>4010</v>
      </c>
      <c r="E1950" t="s">
        <v>8</v>
      </c>
      <c r="F1950" t="s">
        <v>9</v>
      </c>
      <c r="H1950" s="23" t="str">
        <f>VLOOKUP(A1950,Revisión!$A$2:$L$703,6,FALSE)</f>
        <v>Schoenoplectus triqueter</v>
      </c>
      <c r="I1950" s="4" t="str">
        <f>VLOOKUP(A1950,Revisión!$A$2:$L$703,7,FALSE)</f>
        <v>-</v>
      </c>
      <c r="J1950" s="4" t="str">
        <f>VLOOKUP(A1950,Revisión!$A$2:$L$703,8,FALSE)</f>
        <v>Schoenoplectus triqueter</v>
      </c>
      <c r="K1950" s="4" t="str">
        <f>VLOOKUP(A1950,Revisión!$A$2:$L$703,9,FALSE)</f>
        <v>Schoenoplectus triqueter</v>
      </c>
      <c r="L1950" s="4" t="str">
        <f>VLOOKUP(A1950,Revisión!$A$2:$L$703,10,FALSE)</f>
        <v>Schoenoplectus triqueter</v>
      </c>
      <c r="M1950" s="18">
        <f>VLOOKUP(A1950,Revisión!$A$2:$L$703,11,FALSE)</f>
        <v>5</v>
      </c>
      <c r="N1950" s="30" t="str">
        <f>IF(E1950="Coinciden",D1950,IF(E1950="Revisar",VLOOKUP(A1950,Revisión!$A$2:$L$703,12,FALSE),""))</f>
        <v>Schoenoplectus triqueter</v>
      </c>
    </row>
    <row r="1951" spans="1:14" x14ac:dyDescent="0.3">
      <c r="A1951" t="s">
        <v>4011</v>
      </c>
      <c r="B1951" t="s">
        <v>4012</v>
      </c>
      <c r="C1951" t="s">
        <v>4012</v>
      </c>
      <c r="D1951" t="s">
        <v>4012</v>
      </c>
      <c r="E1951" t="s">
        <v>18</v>
      </c>
      <c r="F1951" t="s">
        <v>19</v>
      </c>
      <c r="H1951" s="23" t="e">
        <f>VLOOKUP(A1951,Revisión!$A$2:$L$703,6,FALSE)</f>
        <v>#N/A</v>
      </c>
      <c r="I1951" s="4" t="e">
        <f>VLOOKUP(A1951,Revisión!$A$2:$L$703,7,FALSE)</f>
        <v>#N/A</v>
      </c>
      <c r="J1951" s="4" t="e">
        <f>VLOOKUP(A1951,Revisión!$A$2:$L$703,8,FALSE)</f>
        <v>#N/A</v>
      </c>
      <c r="K1951" s="4" t="e">
        <f>VLOOKUP(A1951,Revisión!$A$2:$L$703,9,FALSE)</f>
        <v>#N/A</v>
      </c>
      <c r="L1951" s="4" t="e">
        <f>VLOOKUP(A1951,Revisión!$A$2:$L$703,10,FALSE)</f>
        <v>#N/A</v>
      </c>
      <c r="M1951" s="18" t="e">
        <f>VLOOKUP(A1951,Revisión!$A$2:$L$703,11,FALSE)</f>
        <v>#N/A</v>
      </c>
      <c r="N1951" s="30" t="str">
        <f>IF(E1951="Coinciden",D1951,IF(E1951="Revisar",VLOOKUP(A1951,Revisión!$A$2:$L$703,12,FALSE),""))</f>
        <v>Scleria terrestris</v>
      </c>
    </row>
    <row r="1952" spans="1:14" x14ac:dyDescent="0.3">
      <c r="A1952" t="s">
        <v>4013</v>
      </c>
      <c r="B1952" t="s">
        <v>4014</v>
      </c>
      <c r="C1952" t="s">
        <v>4014</v>
      </c>
      <c r="D1952" t="s">
        <v>4014</v>
      </c>
      <c r="E1952" t="s">
        <v>18</v>
      </c>
      <c r="F1952" t="s">
        <v>19</v>
      </c>
      <c r="H1952" s="23" t="e">
        <f>VLOOKUP(A1952,Revisión!$A$2:$L$703,6,FALSE)</f>
        <v>#N/A</v>
      </c>
      <c r="I1952" s="4" t="e">
        <f>VLOOKUP(A1952,Revisión!$A$2:$L$703,7,FALSE)</f>
        <v>#N/A</v>
      </c>
      <c r="J1952" s="4" t="e">
        <f>VLOOKUP(A1952,Revisión!$A$2:$L$703,8,FALSE)</f>
        <v>#N/A</v>
      </c>
      <c r="K1952" s="4" t="e">
        <f>VLOOKUP(A1952,Revisión!$A$2:$L$703,9,FALSE)</f>
        <v>#N/A</v>
      </c>
      <c r="L1952" s="4" t="e">
        <f>VLOOKUP(A1952,Revisión!$A$2:$L$703,10,FALSE)</f>
        <v>#N/A</v>
      </c>
      <c r="M1952" s="18" t="e">
        <f>VLOOKUP(A1952,Revisión!$A$2:$L$703,11,FALSE)</f>
        <v>#N/A</v>
      </c>
      <c r="N1952" s="30" t="str">
        <f>IF(E1952="Coinciden",D1952,IF(E1952="Revisar",VLOOKUP(A1952,Revisión!$A$2:$L$703,12,FALSE),""))</f>
        <v>Scolymus hispanicus</v>
      </c>
    </row>
    <row r="1953" spans="1:14" x14ac:dyDescent="0.3">
      <c r="A1953" t="s">
        <v>4015</v>
      </c>
      <c r="D1953" t="s">
        <v>4016</v>
      </c>
      <c r="E1953" t="s">
        <v>8</v>
      </c>
      <c r="F1953" t="s">
        <v>9</v>
      </c>
      <c r="H1953" s="23" t="str">
        <f>VLOOKUP(A1953,Revisión!$A$2:$L$703,6,FALSE)</f>
        <v>Scorzonera humilis</v>
      </c>
      <c r="I1953" s="4" t="str">
        <f>VLOOKUP(A1953,Revisión!$A$2:$L$703,7,FALSE)</f>
        <v>-</v>
      </c>
      <c r="J1953" s="4" t="str">
        <f>VLOOKUP(A1953,Revisión!$A$2:$L$703,8,FALSE)</f>
        <v>Scorzonera humilis</v>
      </c>
      <c r="K1953" s="4" t="str">
        <f>VLOOKUP(A1953,Revisión!$A$2:$L$703,9,FALSE)</f>
        <v>Scorzonera humilis</v>
      </c>
      <c r="L1953" s="4" t="str">
        <f>VLOOKUP(A1953,Revisión!$A$2:$L$703,10,FALSE)</f>
        <v>Scorzonera humilis</v>
      </c>
      <c r="M1953" s="18">
        <f>VLOOKUP(A1953,Revisión!$A$2:$L$703,11,FALSE)</f>
        <v>5</v>
      </c>
      <c r="N1953" s="30" t="str">
        <f>IF(E1953="Coinciden",D1953,IF(E1953="Revisar",VLOOKUP(A1953,Revisión!$A$2:$L$703,12,FALSE),""))</f>
        <v>Scorzonera humilis</v>
      </c>
    </row>
    <row r="1954" spans="1:14" x14ac:dyDescent="0.3">
      <c r="A1954" t="s">
        <v>4017</v>
      </c>
      <c r="E1954" t="s">
        <v>8</v>
      </c>
      <c r="F1954" t="s">
        <v>11</v>
      </c>
      <c r="H1954" s="23" t="str">
        <f>VLOOKUP(A1954,Revisión!$A$2:$L$703,6,FALSE)</f>
        <v>Gelasia lanata</v>
      </c>
      <c r="I1954" s="4" t="str">
        <f>VLOOKUP(A1954,Revisión!$A$2:$L$703,7,FALSE)</f>
        <v>-</v>
      </c>
      <c r="J1954" s="4" t="str">
        <f>VLOOKUP(A1954,Revisión!$A$2:$L$703,8,FALSE)</f>
        <v>Gelasia lanata</v>
      </c>
      <c r="K1954" s="4" t="str">
        <f>VLOOKUP(A1954,Revisión!$A$2:$L$703,9,FALSE)</f>
        <v>Gelasia lanata</v>
      </c>
      <c r="L1954" s="4" t="str">
        <f>VLOOKUP(A1954,Revisión!$A$2:$L$703,10,FALSE)</f>
        <v>Gelasia lanata</v>
      </c>
      <c r="M1954" s="18">
        <f>VLOOKUP(A1954,Revisión!$A$2:$L$703,11,FALSE)</f>
        <v>4</v>
      </c>
      <c r="N1954" s="30" t="str">
        <f>IF(E1954="Coinciden",D1954,IF(E1954="Revisar",VLOOKUP(A1954,Revisión!$A$2:$L$703,12,FALSE),""))</f>
        <v>Gelasia lanata</v>
      </c>
    </row>
    <row r="1955" spans="1:14" x14ac:dyDescent="0.3">
      <c r="A1955" t="s">
        <v>4018</v>
      </c>
      <c r="B1955" t="s">
        <v>4019</v>
      </c>
      <c r="C1955" t="s">
        <v>4019</v>
      </c>
      <c r="D1955" t="s">
        <v>4019</v>
      </c>
      <c r="E1955" t="s">
        <v>18</v>
      </c>
      <c r="F1955" t="s">
        <v>19</v>
      </c>
      <c r="H1955" s="23" t="e">
        <f>VLOOKUP(A1955,Revisión!$A$2:$L$703,6,FALSE)</f>
        <v>#N/A</v>
      </c>
      <c r="I1955" s="4" t="e">
        <f>VLOOKUP(A1955,Revisión!$A$2:$L$703,7,FALSE)</f>
        <v>#N/A</v>
      </c>
      <c r="J1955" s="4" t="e">
        <f>VLOOKUP(A1955,Revisión!$A$2:$L$703,8,FALSE)</f>
        <v>#N/A</v>
      </c>
      <c r="K1955" s="4" t="e">
        <f>VLOOKUP(A1955,Revisión!$A$2:$L$703,9,FALSE)</f>
        <v>#N/A</v>
      </c>
      <c r="L1955" s="4" t="e">
        <f>VLOOKUP(A1955,Revisión!$A$2:$L$703,10,FALSE)</f>
        <v>#N/A</v>
      </c>
      <c r="M1955" s="18" t="e">
        <f>VLOOKUP(A1955,Revisión!$A$2:$L$703,11,FALSE)</f>
        <v>#N/A</v>
      </c>
      <c r="N1955" s="30" t="str">
        <f>IF(E1955="Coinciden",D1955,IF(E1955="Revisar",VLOOKUP(A1955,Revisión!$A$2:$L$703,12,FALSE),""))</f>
        <v>Scorzonera cana</v>
      </c>
    </row>
    <row r="1956" spans="1:14" x14ac:dyDescent="0.3">
      <c r="A1956" t="s">
        <v>4020</v>
      </c>
      <c r="B1956" t="s">
        <v>4021</v>
      </c>
      <c r="C1956" t="s">
        <v>4021</v>
      </c>
      <c r="D1956" t="s">
        <v>4021</v>
      </c>
      <c r="E1956" t="s">
        <v>18</v>
      </c>
      <c r="F1956" t="s">
        <v>19</v>
      </c>
      <c r="H1956" s="23" t="e">
        <f>VLOOKUP(A1956,Revisión!$A$2:$L$703,6,FALSE)</f>
        <v>#N/A</v>
      </c>
      <c r="I1956" s="4" t="e">
        <f>VLOOKUP(A1956,Revisión!$A$2:$L$703,7,FALSE)</f>
        <v>#N/A</v>
      </c>
      <c r="J1956" s="4" t="e">
        <f>VLOOKUP(A1956,Revisión!$A$2:$L$703,8,FALSE)</f>
        <v>#N/A</v>
      </c>
      <c r="K1956" s="4" t="e">
        <f>VLOOKUP(A1956,Revisión!$A$2:$L$703,9,FALSE)</f>
        <v>#N/A</v>
      </c>
      <c r="L1956" s="4" t="e">
        <f>VLOOKUP(A1956,Revisión!$A$2:$L$703,10,FALSE)</f>
        <v>#N/A</v>
      </c>
      <c r="M1956" s="18" t="e">
        <f>VLOOKUP(A1956,Revisión!$A$2:$L$703,11,FALSE)</f>
        <v>#N/A</v>
      </c>
      <c r="N1956" s="30" t="str">
        <f>IF(E1956="Coinciden",D1956,IF(E1956="Revisar",VLOOKUP(A1956,Revisión!$A$2:$L$703,12,FALSE),""))</f>
        <v>Scrophularia marilandica</v>
      </c>
    </row>
    <row r="1957" spans="1:14" x14ac:dyDescent="0.3">
      <c r="A1957" t="s">
        <v>4022</v>
      </c>
      <c r="B1957" t="s">
        <v>4023</v>
      </c>
      <c r="D1957" t="s">
        <v>4023</v>
      </c>
      <c r="E1957" t="s">
        <v>8</v>
      </c>
      <c r="F1957" t="s">
        <v>34</v>
      </c>
      <c r="H1957" s="23" t="str">
        <f>VLOOKUP(A1957,Revisión!$A$2:$L$703,6,FALSE)</f>
        <v>Scrophularia glabrata</v>
      </c>
      <c r="I1957" s="4" t="str">
        <f>VLOOKUP(A1957,Revisión!$A$2:$L$703,7,FALSE)</f>
        <v>-</v>
      </c>
      <c r="J1957" s="4" t="str">
        <f>VLOOKUP(A1957,Revisión!$A$2:$L$703,8,FALSE)</f>
        <v>Scrophularia glabrata</v>
      </c>
      <c r="K1957" s="4" t="str">
        <f>VLOOKUP(A1957,Revisión!$A$2:$L$703,9,FALSE)</f>
        <v>Scrophularia glabrata</v>
      </c>
      <c r="L1957" s="4" t="str">
        <f>VLOOKUP(A1957,Revisión!$A$2:$L$703,10,FALSE)</f>
        <v>Scrophularia glabrata</v>
      </c>
      <c r="M1957" s="18">
        <f>VLOOKUP(A1957,Revisión!$A$2:$L$703,11,FALSE)</f>
        <v>4</v>
      </c>
      <c r="N1957" s="30" t="str">
        <f>IF(E1957="Coinciden",D1957,IF(E1957="Revisar",VLOOKUP(A1957,Revisión!$A$2:$L$703,12,FALSE),""))</f>
        <v>Scrophularia glabrata</v>
      </c>
    </row>
    <row r="1958" spans="1:14" x14ac:dyDescent="0.3">
      <c r="A1958" t="s">
        <v>4024</v>
      </c>
      <c r="C1958" t="s">
        <v>4025</v>
      </c>
      <c r="D1958" t="s">
        <v>4025</v>
      </c>
      <c r="E1958" t="s">
        <v>8</v>
      </c>
      <c r="F1958" t="s">
        <v>49</v>
      </c>
      <c r="H1958" s="23" t="str">
        <f>VLOOKUP(A1958,Revisión!$A$2:$L$703,6,FALSE)</f>
        <v>Scutellaria incana</v>
      </c>
      <c r="I1958" s="4" t="str">
        <f>VLOOKUP(A1958,Revisión!$A$2:$L$703,7,FALSE)</f>
        <v>-</v>
      </c>
      <c r="J1958" s="4" t="str">
        <f>VLOOKUP(A1958,Revisión!$A$2:$L$703,8,FALSE)</f>
        <v>Scutellaria incana var. incana</v>
      </c>
      <c r="K1958" s="4" t="str">
        <f>VLOOKUP(A1958,Revisión!$A$2:$L$703,9,FALSE)</f>
        <v>Scutellaria incana</v>
      </c>
      <c r="L1958" s="4" t="str">
        <f>VLOOKUP(A1958,Revisión!$A$2:$L$703,10,FALSE)</f>
        <v>Scutellaria incana</v>
      </c>
      <c r="M1958" s="18">
        <f>VLOOKUP(A1958,Revisión!$A$2:$L$703,11,FALSE)</f>
        <v>4</v>
      </c>
      <c r="N1958" s="30" t="str">
        <f>IF(E1958="Coinciden",D1958,IF(E1958="Revisar",VLOOKUP(A1958,Revisión!$A$2:$L$703,12,FALSE),""))</f>
        <v>Scutellaria incana</v>
      </c>
    </row>
    <row r="1959" spans="1:14" x14ac:dyDescent="0.3">
      <c r="A1959" t="s">
        <v>4026</v>
      </c>
      <c r="B1959" t="s">
        <v>4027</v>
      </c>
      <c r="C1959" t="s">
        <v>4027</v>
      </c>
      <c r="D1959" t="s">
        <v>4027</v>
      </c>
      <c r="E1959" t="s">
        <v>18</v>
      </c>
      <c r="F1959" t="s">
        <v>19</v>
      </c>
      <c r="H1959" s="23" t="e">
        <f>VLOOKUP(A1959,Revisión!$A$2:$L$703,6,FALSE)</f>
        <v>#N/A</v>
      </c>
      <c r="I1959" s="4" t="e">
        <f>VLOOKUP(A1959,Revisión!$A$2:$L$703,7,FALSE)</f>
        <v>#N/A</v>
      </c>
      <c r="J1959" s="4" t="e">
        <f>VLOOKUP(A1959,Revisión!$A$2:$L$703,8,FALSE)</f>
        <v>#N/A</v>
      </c>
      <c r="K1959" s="4" t="e">
        <f>VLOOKUP(A1959,Revisión!$A$2:$L$703,9,FALSE)</f>
        <v>#N/A</v>
      </c>
      <c r="L1959" s="4" t="e">
        <f>VLOOKUP(A1959,Revisión!$A$2:$L$703,10,FALSE)</f>
        <v>#N/A</v>
      </c>
      <c r="M1959" s="18" t="e">
        <f>VLOOKUP(A1959,Revisión!$A$2:$L$703,11,FALSE)</f>
        <v>#N/A</v>
      </c>
      <c r="N1959" s="30" t="str">
        <f>IF(E1959="Coinciden",D1959,IF(E1959="Revisar",VLOOKUP(A1959,Revisión!$A$2:$L$703,12,FALSE),""))</f>
        <v>Scutellaria parvula</v>
      </c>
    </row>
    <row r="1960" spans="1:14" x14ac:dyDescent="0.3">
      <c r="A1960" t="s">
        <v>4028</v>
      </c>
      <c r="B1960" t="s">
        <v>4029</v>
      </c>
      <c r="C1960" t="s">
        <v>4029</v>
      </c>
      <c r="D1960" t="s">
        <v>4029</v>
      </c>
      <c r="E1960" t="s">
        <v>18</v>
      </c>
      <c r="F1960" t="s">
        <v>19</v>
      </c>
      <c r="H1960" s="23" t="e">
        <f>VLOOKUP(A1960,Revisión!$A$2:$L$703,6,FALSE)</f>
        <v>#N/A</v>
      </c>
      <c r="I1960" s="4" t="e">
        <f>VLOOKUP(A1960,Revisión!$A$2:$L$703,7,FALSE)</f>
        <v>#N/A</v>
      </c>
      <c r="J1960" s="4" t="e">
        <f>VLOOKUP(A1960,Revisión!$A$2:$L$703,8,FALSE)</f>
        <v>#N/A</v>
      </c>
      <c r="K1960" s="4" t="e">
        <f>VLOOKUP(A1960,Revisión!$A$2:$L$703,9,FALSE)</f>
        <v>#N/A</v>
      </c>
      <c r="L1960" s="4" t="e">
        <f>VLOOKUP(A1960,Revisión!$A$2:$L$703,10,FALSE)</f>
        <v>#N/A</v>
      </c>
      <c r="M1960" s="18" t="e">
        <f>VLOOKUP(A1960,Revisión!$A$2:$L$703,11,FALSE)</f>
        <v>#N/A</v>
      </c>
      <c r="N1960" s="30" t="str">
        <f>IF(E1960="Coinciden",D1960,IF(E1960="Revisar",VLOOKUP(A1960,Revisión!$A$2:$L$703,12,FALSE),""))</f>
        <v>Scutellaria lateriflora</v>
      </c>
    </row>
    <row r="1961" spans="1:14" x14ac:dyDescent="0.3">
      <c r="A1961" t="s">
        <v>4030</v>
      </c>
      <c r="B1961" t="s">
        <v>4031</v>
      </c>
      <c r="C1961" t="s">
        <v>4031</v>
      </c>
      <c r="D1961" t="s">
        <v>4031</v>
      </c>
      <c r="E1961" t="s">
        <v>18</v>
      </c>
      <c r="F1961" t="s">
        <v>19</v>
      </c>
      <c r="H1961" s="23" t="e">
        <f>VLOOKUP(A1961,Revisión!$A$2:$L$703,6,FALSE)</f>
        <v>#N/A</v>
      </c>
      <c r="I1961" s="4" t="e">
        <f>VLOOKUP(A1961,Revisión!$A$2:$L$703,7,FALSE)</f>
        <v>#N/A</v>
      </c>
      <c r="J1961" s="4" t="e">
        <f>VLOOKUP(A1961,Revisión!$A$2:$L$703,8,FALSE)</f>
        <v>#N/A</v>
      </c>
      <c r="K1961" s="4" t="e">
        <f>VLOOKUP(A1961,Revisión!$A$2:$L$703,9,FALSE)</f>
        <v>#N/A</v>
      </c>
      <c r="L1961" s="4" t="e">
        <f>VLOOKUP(A1961,Revisión!$A$2:$L$703,10,FALSE)</f>
        <v>#N/A</v>
      </c>
      <c r="M1961" s="18" t="e">
        <f>VLOOKUP(A1961,Revisión!$A$2:$L$703,11,FALSE)</f>
        <v>#N/A</v>
      </c>
      <c r="N1961" s="30" t="str">
        <f>IF(E1961="Coinciden",D1961,IF(E1961="Revisar",VLOOKUP(A1961,Revisión!$A$2:$L$703,12,FALSE),""))</f>
        <v>Scutellaria resinosa</v>
      </c>
    </row>
    <row r="1962" spans="1:14" x14ac:dyDescent="0.3">
      <c r="A1962" t="s">
        <v>4032</v>
      </c>
      <c r="B1962" t="s">
        <v>4033</v>
      </c>
      <c r="C1962" t="s">
        <v>4033</v>
      </c>
      <c r="D1962" t="s">
        <v>4033</v>
      </c>
      <c r="E1962" t="s">
        <v>18</v>
      </c>
      <c r="F1962" t="s">
        <v>19</v>
      </c>
      <c r="H1962" s="23" t="e">
        <f>VLOOKUP(A1962,Revisión!$A$2:$L$703,6,FALSE)</f>
        <v>#N/A</v>
      </c>
      <c r="I1962" s="4" t="e">
        <f>VLOOKUP(A1962,Revisión!$A$2:$L$703,7,FALSE)</f>
        <v>#N/A</v>
      </c>
      <c r="J1962" s="4" t="e">
        <f>VLOOKUP(A1962,Revisión!$A$2:$L$703,8,FALSE)</f>
        <v>#N/A</v>
      </c>
      <c r="K1962" s="4" t="e">
        <f>VLOOKUP(A1962,Revisión!$A$2:$L$703,9,FALSE)</f>
        <v>#N/A</v>
      </c>
      <c r="L1962" s="4" t="e">
        <f>VLOOKUP(A1962,Revisión!$A$2:$L$703,10,FALSE)</f>
        <v>#N/A</v>
      </c>
      <c r="M1962" s="18" t="e">
        <f>VLOOKUP(A1962,Revisión!$A$2:$L$703,11,FALSE)</f>
        <v>#N/A</v>
      </c>
      <c r="N1962" s="30" t="str">
        <f>IF(E1962="Coinciden",D1962,IF(E1962="Revisar",VLOOKUP(A1962,Revisión!$A$2:$L$703,12,FALSE),""))</f>
        <v>Scutellaria ovata subsp. ovata</v>
      </c>
    </row>
    <row r="1963" spans="1:14" x14ac:dyDescent="0.3">
      <c r="A1963" t="s">
        <v>4034</v>
      </c>
      <c r="C1963" t="s">
        <v>4035</v>
      </c>
      <c r="D1963" t="s">
        <v>4035</v>
      </c>
      <c r="E1963" t="s">
        <v>8</v>
      </c>
      <c r="F1963" t="s">
        <v>49</v>
      </c>
      <c r="H1963" s="23" t="str">
        <f>VLOOKUP(A1963,Revisión!$A$2:$L$703,6,FALSE)</f>
        <v>Scyphanthus elegans</v>
      </c>
      <c r="I1963" s="4" t="str">
        <f>VLOOKUP(A1963,Revisión!$A$2:$L$703,7,FALSE)</f>
        <v>-</v>
      </c>
      <c r="J1963" s="4" t="str">
        <f>VLOOKUP(A1963,Revisión!$A$2:$L$703,8,FALSE)</f>
        <v>Scyphanthus elegans</v>
      </c>
      <c r="K1963" s="4" t="str">
        <f>VLOOKUP(A1963,Revisión!$A$2:$L$703,9,FALSE)</f>
        <v>Scyphanthus elegans</v>
      </c>
      <c r="L1963" s="4" t="str">
        <f>VLOOKUP(A1963,Revisión!$A$2:$L$703,10,FALSE)</f>
        <v>Scyphanthus elegans</v>
      </c>
      <c r="M1963" s="18">
        <f>VLOOKUP(A1963,Revisión!$A$2:$L$703,11,FALSE)</f>
        <v>4</v>
      </c>
      <c r="N1963" s="30" t="str">
        <f>IF(E1963="Coinciden",D1963,IF(E1963="Revisar",VLOOKUP(A1963,Revisión!$A$2:$L$703,12,FALSE),""))</f>
        <v>Scyphanthus elegans</v>
      </c>
    </row>
    <row r="1964" spans="1:14" x14ac:dyDescent="0.3">
      <c r="A1964" t="s">
        <v>4036</v>
      </c>
      <c r="C1964" t="s">
        <v>4037</v>
      </c>
      <c r="D1964" t="s">
        <v>4037</v>
      </c>
      <c r="E1964" t="s">
        <v>8</v>
      </c>
      <c r="F1964" t="s">
        <v>49</v>
      </c>
      <c r="H1964" s="23" t="str">
        <f>VLOOKUP(A1964,Revisión!$A$2:$L$703,6,FALSE)</f>
        <v>Sabatia angularis</v>
      </c>
      <c r="I1964" s="4" t="str">
        <f>VLOOKUP(A1964,Revisión!$A$2:$L$703,7,FALSE)</f>
        <v>-</v>
      </c>
      <c r="J1964" s="4" t="str">
        <f>VLOOKUP(A1964,Revisión!$A$2:$L$703,8,FALSE)</f>
        <v>Sabatia angularis</v>
      </c>
      <c r="K1964" s="4" t="str">
        <f>VLOOKUP(A1964,Revisión!$A$2:$L$703,9,FALSE)</f>
        <v>Sabatia angularis</v>
      </c>
      <c r="L1964" s="4" t="str">
        <f>VLOOKUP(A1964,Revisión!$A$2:$L$703,10,FALSE)</f>
        <v>Sabatia angularis</v>
      </c>
      <c r="M1964" s="18">
        <f>VLOOKUP(A1964,Revisión!$A$2:$L$703,11,FALSE)</f>
        <v>5</v>
      </c>
      <c r="N1964" s="30" t="str">
        <f>IF(E1964="Coinciden",D1964,IF(E1964="Revisar",VLOOKUP(A1964,Revisión!$A$2:$L$703,12,FALSE),""))</f>
        <v>Sabatia angularis</v>
      </c>
    </row>
    <row r="1965" spans="1:14" x14ac:dyDescent="0.3">
      <c r="A1965" t="s">
        <v>4038</v>
      </c>
      <c r="B1965" t="s">
        <v>4039</v>
      </c>
      <c r="C1965" t="s">
        <v>4039</v>
      </c>
      <c r="D1965" t="s">
        <v>4039</v>
      </c>
      <c r="E1965" t="s">
        <v>18</v>
      </c>
      <c r="F1965" t="s">
        <v>19</v>
      </c>
      <c r="H1965" s="23" t="e">
        <f>VLOOKUP(A1965,Revisión!$A$2:$L$703,6,FALSE)</f>
        <v>#N/A</v>
      </c>
      <c r="I1965" s="4" t="e">
        <f>VLOOKUP(A1965,Revisión!$A$2:$L$703,7,FALSE)</f>
        <v>#N/A</v>
      </c>
      <c r="J1965" s="4" t="e">
        <f>VLOOKUP(A1965,Revisión!$A$2:$L$703,8,FALSE)</f>
        <v>#N/A</v>
      </c>
      <c r="K1965" s="4" t="e">
        <f>VLOOKUP(A1965,Revisión!$A$2:$L$703,9,FALSE)</f>
        <v>#N/A</v>
      </c>
      <c r="L1965" s="4" t="e">
        <f>VLOOKUP(A1965,Revisión!$A$2:$L$703,10,FALSE)</f>
        <v>#N/A</v>
      </c>
      <c r="M1965" s="18" t="e">
        <f>VLOOKUP(A1965,Revisión!$A$2:$L$703,11,FALSE)</f>
        <v>#N/A</v>
      </c>
      <c r="N1965" s="30" t="str">
        <f>IF(E1965="Coinciden",D1965,IF(E1965="Revisar",VLOOKUP(A1965,Revisión!$A$2:$L$703,12,FALSE),""))</f>
        <v>Flueggea suffruticosa</v>
      </c>
    </row>
    <row r="1966" spans="1:14" x14ac:dyDescent="0.3">
      <c r="A1966" t="s">
        <v>4040</v>
      </c>
      <c r="B1966" t="s">
        <v>4041</v>
      </c>
      <c r="C1966" t="s">
        <v>4041</v>
      </c>
      <c r="D1966" t="s">
        <v>4041</v>
      </c>
      <c r="E1966" t="s">
        <v>18</v>
      </c>
      <c r="F1966" t="s">
        <v>19</v>
      </c>
      <c r="H1966" s="23" t="e">
        <f>VLOOKUP(A1966,Revisión!$A$2:$L$703,6,FALSE)</f>
        <v>#N/A</v>
      </c>
      <c r="I1966" s="4" t="e">
        <f>VLOOKUP(A1966,Revisión!$A$2:$L$703,7,FALSE)</f>
        <v>#N/A</v>
      </c>
      <c r="J1966" s="4" t="e">
        <f>VLOOKUP(A1966,Revisión!$A$2:$L$703,8,FALSE)</f>
        <v>#N/A</v>
      </c>
      <c r="K1966" s="4" t="e">
        <f>VLOOKUP(A1966,Revisión!$A$2:$L$703,9,FALSE)</f>
        <v>#N/A</v>
      </c>
      <c r="L1966" s="4" t="e">
        <f>VLOOKUP(A1966,Revisión!$A$2:$L$703,10,FALSE)</f>
        <v>#N/A</v>
      </c>
      <c r="M1966" s="18" t="e">
        <f>VLOOKUP(A1966,Revisión!$A$2:$L$703,11,FALSE)</f>
        <v>#N/A</v>
      </c>
      <c r="N1966" s="30" t="str">
        <f>IF(E1966="Coinciden",D1966,IF(E1966="Revisar",VLOOKUP(A1966,Revisión!$A$2:$L$703,12,FALSE),""))</f>
        <v>Sedum formosanum</v>
      </c>
    </row>
    <row r="1967" spans="1:14" x14ac:dyDescent="0.3">
      <c r="A1967" t="s">
        <v>4042</v>
      </c>
      <c r="D1967" t="s">
        <v>4043</v>
      </c>
      <c r="E1967" t="s">
        <v>8</v>
      </c>
      <c r="F1967" t="s">
        <v>9</v>
      </c>
      <c r="H1967" s="23" t="str">
        <f>VLOOKUP(A1967,Revisión!$A$2:$L$703,6,FALSE)</f>
        <v>Petrosedum sediforme</v>
      </c>
      <c r="I1967" s="4" t="str">
        <f>VLOOKUP(A1967,Revisión!$A$2:$L$703,7,FALSE)</f>
        <v>-</v>
      </c>
      <c r="J1967" s="4" t="str">
        <f>VLOOKUP(A1967,Revisión!$A$2:$L$703,8,FALSE)</f>
        <v>Petrosedum sediforme</v>
      </c>
      <c r="K1967" s="4" t="str">
        <f>VLOOKUP(A1967,Revisión!$A$2:$L$703,9,FALSE)</f>
        <v>Petrosedum sediforme</v>
      </c>
      <c r="L1967" s="4" t="str">
        <f>VLOOKUP(A1967,Revisión!$A$2:$L$703,10,FALSE)</f>
        <v>Petrosedum sediforme</v>
      </c>
      <c r="M1967" s="18">
        <f>VLOOKUP(A1967,Revisión!$A$2:$L$703,11,FALSE)</f>
        <v>5</v>
      </c>
      <c r="N1967" s="30" t="str">
        <f>IF(E1967="Coinciden",D1967,IF(E1967="Revisar",VLOOKUP(A1967,Revisión!$A$2:$L$703,12,FALSE),""))</f>
        <v>Petrosedum sediforme</v>
      </c>
    </row>
    <row r="1968" spans="1:14" x14ac:dyDescent="0.3">
      <c r="A1968" t="s">
        <v>4044</v>
      </c>
      <c r="B1968" t="s">
        <v>4045</v>
      </c>
      <c r="C1968" t="s">
        <v>4045</v>
      </c>
      <c r="D1968" t="s">
        <v>4045</v>
      </c>
      <c r="E1968" t="s">
        <v>18</v>
      </c>
      <c r="F1968" t="s">
        <v>19</v>
      </c>
      <c r="H1968" s="23" t="e">
        <f>VLOOKUP(A1968,Revisión!$A$2:$L$703,6,FALSE)</f>
        <v>#N/A</v>
      </c>
      <c r="I1968" s="4" t="e">
        <f>VLOOKUP(A1968,Revisión!$A$2:$L$703,7,FALSE)</f>
        <v>#N/A</v>
      </c>
      <c r="J1968" s="4" t="e">
        <f>VLOOKUP(A1968,Revisión!$A$2:$L$703,8,FALSE)</f>
        <v>#N/A</v>
      </c>
      <c r="K1968" s="4" t="e">
        <f>VLOOKUP(A1968,Revisión!$A$2:$L$703,9,FALSE)</f>
        <v>#N/A</v>
      </c>
      <c r="L1968" s="4" t="e">
        <f>VLOOKUP(A1968,Revisión!$A$2:$L$703,10,FALSE)</f>
        <v>#N/A</v>
      </c>
      <c r="M1968" s="18" t="e">
        <f>VLOOKUP(A1968,Revisión!$A$2:$L$703,11,FALSE)</f>
        <v>#N/A</v>
      </c>
      <c r="N1968" s="30" t="str">
        <f>IF(E1968="Coinciden",D1968,IF(E1968="Revisar",VLOOKUP(A1968,Revisión!$A$2:$L$703,12,FALSE),""))</f>
        <v>Sedum stenopetalum</v>
      </c>
    </row>
    <row r="1969" spans="1:14" x14ac:dyDescent="0.3">
      <c r="A1969" t="s">
        <v>4046</v>
      </c>
      <c r="B1969" t="s">
        <v>4047</v>
      </c>
      <c r="C1969" t="s">
        <v>4048</v>
      </c>
      <c r="D1969" t="s">
        <v>4048</v>
      </c>
      <c r="E1969" t="s">
        <v>8</v>
      </c>
      <c r="F1969" t="s">
        <v>23</v>
      </c>
      <c r="H1969" s="23" t="str">
        <f>VLOOKUP(A1969,Revisión!$A$2:$L$703,6,FALSE)</f>
        <v>Phedimus aizoon</v>
      </c>
      <c r="I1969" s="4" t="str">
        <f>VLOOKUP(A1969,Revisión!$A$2:$L$703,7,FALSE)</f>
        <v>-</v>
      </c>
      <c r="J1969" s="4" t="str">
        <f>VLOOKUP(A1969,Revisión!$A$2:$L$703,8,FALSE)</f>
        <v>Phedimus aizoon</v>
      </c>
      <c r="K1969" s="4" t="str">
        <f>VLOOKUP(A1969,Revisión!$A$2:$L$703,9,FALSE)</f>
        <v>Phedimus aizoon</v>
      </c>
      <c r="L1969" s="4" t="str">
        <f>VLOOKUP(A1969,Revisión!$A$2:$L$703,10,FALSE)</f>
        <v>Phedimus aizoon</v>
      </c>
      <c r="M1969" s="18">
        <f>VLOOKUP(A1969,Revisión!$A$2:$L$703,11,FALSE)</f>
        <v>5</v>
      </c>
      <c r="N1969" s="30" t="str">
        <f>IF(E1969="Coinciden",D1969,IF(E1969="Revisar",VLOOKUP(A1969,Revisión!$A$2:$L$703,12,FALSE),""))</f>
        <v>Phedimus aizoon</v>
      </c>
    </row>
    <row r="1970" spans="1:14" x14ac:dyDescent="0.3">
      <c r="A1970" t="s">
        <v>4049</v>
      </c>
      <c r="B1970" t="s">
        <v>4050</v>
      </c>
      <c r="D1970" t="s">
        <v>4050</v>
      </c>
      <c r="E1970" t="s">
        <v>8</v>
      </c>
      <c r="F1970" t="s">
        <v>34</v>
      </c>
      <c r="H1970" s="23" t="str">
        <f>VLOOKUP(A1970,Revisión!$A$2:$L$703,6,FALSE)</f>
        <v>Senecio madagascariensis</v>
      </c>
      <c r="I1970" s="4" t="str">
        <f>VLOOKUP(A1970,Revisión!$A$2:$L$703,7,FALSE)</f>
        <v>-</v>
      </c>
      <c r="J1970" s="4" t="str">
        <f>VLOOKUP(A1970,Revisión!$A$2:$L$703,8,FALSE)</f>
        <v>Senecio madagascariensis</v>
      </c>
      <c r="K1970" s="4" t="str">
        <f>VLOOKUP(A1970,Revisión!$A$2:$L$703,9,FALSE)</f>
        <v>Senecio madagascariensis</v>
      </c>
      <c r="L1970" s="4" t="str">
        <f>VLOOKUP(A1970,Revisión!$A$2:$L$703,10,FALSE)</f>
        <v>Senecio madagascariensis</v>
      </c>
      <c r="M1970" s="18">
        <f>VLOOKUP(A1970,Revisión!$A$2:$L$703,11,FALSE)</f>
        <v>5</v>
      </c>
      <c r="N1970" s="30" t="str">
        <f>IF(E1970="Coinciden",D1970,IF(E1970="Revisar",VLOOKUP(A1970,Revisión!$A$2:$L$703,12,FALSE),""))</f>
        <v>Senecio madagascariensis</v>
      </c>
    </row>
    <row r="1971" spans="1:14" x14ac:dyDescent="0.3">
      <c r="A1971" t="s">
        <v>4051</v>
      </c>
      <c r="B1971" t="s">
        <v>4052</v>
      </c>
      <c r="C1971" t="s">
        <v>4052</v>
      </c>
      <c r="D1971" t="s">
        <v>4052</v>
      </c>
      <c r="E1971" t="s">
        <v>18</v>
      </c>
      <c r="F1971" t="s">
        <v>19</v>
      </c>
      <c r="H1971" s="23" t="e">
        <f>VLOOKUP(A1971,Revisión!$A$2:$L$703,6,FALSE)</f>
        <v>#N/A</v>
      </c>
      <c r="I1971" s="4" t="e">
        <f>VLOOKUP(A1971,Revisión!$A$2:$L$703,7,FALSE)</f>
        <v>#N/A</v>
      </c>
      <c r="J1971" s="4" t="e">
        <f>VLOOKUP(A1971,Revisión!$A$2:$L$703,8,FALSE)</f>
        <v>#N/A</v>
      </c>
      <c r="K1971" s="4" t="e">
        <f>VLOOKUP(A1971,Revisión!$A$2:$L$703,9,FALSE)</f>
        <v>#N/A</v>
      </c>
      <c r="L1971" s="4" t="e">
        <f>VLOOKUP(A1971,Revisión!$A$2:$L$703,10,FALSE)</f>
        <v>#N/A</v>
      </c>
      <c r="M1971" s="18" t="e">
        <f>VLOOKUP(A1971,Revisión!$A$2:$L$703,11,FALSE)</f>
        <v>#N/A</v>
      </c>
      <c r="N1971" s="30" t="str">
        <f>IF(E1971="Coinciden",D1971,IF(E1971="Revisar",VLOOKUP(A1971,Revisión!$A$2:$L$703,12,FALSE),""))</f>
        <v>Senecio bustillosianus</v>
      </c>
    </row>
    <row r="1972" spans="1:14" x14ac:dyDescent="0.3">
      <c r="A1972" t="s">
        <v>4053</v>
      </c>
      <c r="B1972" t="s">
        <v>4054</v>
      </c>
      <c r="D1972" t="s">
        <v>4054</v>
      </c>
      <c r="E1972" t="s">
        <v>8</v>
      </c>
      <c r="F1972" t="s">
        <v>34</v>
      </c>
      <c r="H1972" s="23" t="str">
        <f>VLOOKUP(A1972,Revisión!$A$2:$L$703,6,FALSE)</f>
        <v>Senecio subulatus</v>
      </c>
      <c r="I1972" s="4" t="str">
        <f>VLOOKUP(A1972,Revisión!$A$2:$L$703,7,FALSE)</f>
        <v>-</v>
      </c>
      <c r="J1972" s="4" t="str">
        <f>VLOOKUP(A1972,Revisión!$A$2:$L$703,8,FALSE)</f>
        <v>Senecio subulatus</v>
      </c>
      <c r="K1972" s="4" t="str">
        <f>VLOOKUP(A1972,Revisión!$A$2:$L$703,9,FALSE)</f>
        <v>Senecio subulatus</v>
      </c>
      <c r="L1972" s="4" t="str">
        <f>VLOOKUP(A1972,Revisión!$A$2:$L$703,10,FALSE)</f>
        <v>Senecio subulatus</v>
      </c>
      <c r="M1972" s="18">
        <f>VLOOKUP(A1972,Revisión!$A$2:$L$703,11,FALSE)</f>
        <v>4</v>
      </c>
      <c r="N1972" s="30" t="str">
        <f>IF(E1972="Coinciden",D1972,IF(E1972="Revisar",VLOOKUP(A1972,Revisión!$A$2:$L$703,12,FALSE),""))</f>
        <v>Senecio subulatus</v>
      </c>
    </row>
    <row r="1973" spans="1:14" x14ac:dyDescent="0.3">
      <c r="A1973" t="s">
        <v>4055</v>
      </c>
      <c r="B1973" t="s">
        <v>4056</v>
      </c>
      <c r="C1973" t="s">
        <v>4056</v>
      </c>
      <c r="D1973" t="s">
        <v>4056</v>
      </c>
      <c r="E1973" t="s">
        <v>18</v>
      </c>
      <c r="F1973" t="s">
        <v>19</v>
      </c>
      <c r="H1973" s="23" t="e">
        <f>VLOOKUP(A1973,Revisión!$A$2:$L$703,6,FALSE)</f>
        <v>#N/A</v>
      </c>
      <c r="I1973" s="4" t="e">
        <f>VLOOKUP(A1973,Revisión!$A$2:$L$703,7,FALSE)</f>
        <v>#N/A</v>
      </c>
      <c r="J1973" s="4" t="e">
        <f>VLOOKUP(A1973,Revisión!$A$2:$L$703,8,FALSE)</f>
        <v>#N/A</v>
      </c>
      <c r="K1973" s="4" t="e">
        <f>VLOOKUP(A1973,Revisión!$A$2:$L$703,9,FALSE)</f>
        <v>#N/A</v>
      </c>
      <c r="L1973" s="4" t="e">
        <f>VLOOKUP(A1973,Revisión!$A$2:$L$703,10,FALSE)</f>
        <v>#N/A</v>
      </c>
      <c r="M1973" s="18" t="e">
        <f>VLOOKUP(A1973,Revisión!$A$2:$L$703,11,FALSE)</f>
        <v>#N/A</v>
      </c>
      <c r="N1973" s="30" t="str">
        <f>IF(E1973="Coinciden",D1973,IF(E1973="Revisar",VLOOKUP(A1973,Revisión!$A$2:$L$703,12,FALSE),""))</f>
        <v>Brachyglottis bidwillii</v>
      </c>
    </row>
    <row r="1974" spans="1:14" x14ac:dyDescent="0.3">
      <c r="A1974" t="s">
        <v>4057</v>
      </c>
      <c r="B1974" t="s">
        <v>4058</v>
      </c>
      <c r="C1974" t="s">
        <v>4058</v>
      </c>
      <c r="D1974" t="s">
        <v>4058</v>
      </c>
      <c r="E1974" t="s">
        <v>18</v>
      </c>
      <c r="F1974" t="s">
        <v>19</v>
      </c>
      <c r="H1974" s="23" t="e">
        <f>VLOOKUP(A1974,Revisión!$A$2:$L$703,6,FALSE)</f>
        <v>#N/A</v>
      </c>
      <c r="I1974" s="4" t="e">
        <f>VLOOKUP(A1974,Revisión!$A$2:$L$703,7,FALSE)</f>
        <v>#N/A</v>
      </c>
      <c r="J1974" s="4" t="e">
        <f>VLOOKUP(A1974,Revisión!$A$2:$L$703,8,FALSE)</f>
        <v>#N/A</v>
      </c>
      <c r="K1974" s="4" t="e">
        <f>VLOOKUP(A1974,Revisión!$A$2:$L$703,9,FALSE)</f>
        <v>#N/A</v>
      </c>
      <c r="L1974" s="4" t="e">
        <f>VLOOKUP(A1974,Revisión!$A$2:$L$703,10,FALSE)</f>
        <v>#N/A</v>
      </c>
      <c r="M1974" s="18" t="e">
        <f>VLOOKUP(A1974,Revisión!$A$2:$L$703,11,FALSE)</f>
        <v>#N/A</v>
      </c>
      <c r="N1974" s="30" t="str">
        <f>IF(E1974="Coinciden",D1974,IF(E1974="Revisar",VLOOKUP(A1974,Revisión!$A$2:$L$703,12,FALSE),""))</f>
        <v>Pericallis steetzii</v>
      </c>
    </row>
    <row r="1975" spans="1:14" x14ac:dyDescent="0.3">
      <c r="A1975" t="s">
        <v>4059</v>
      </c>
      <c r="B1975" t="s">
        <v>4060</v>
      </c>
      <c r="C1975" t="s">
        <v>4060</v>
      </c>
      <c r="D1975" t="s">
        <v>4060</v>
      </c>
      <c r="E1975" t="s">
        <v>18</v>
      </c>
      <c r="F1975" t="s">
        <v>19</v>
      </c>
      <c r="H1975" s="23" t="e">
        <f>VLOOKUP(A1975,Revisión!$A$2:$L$703,6,FALSE)</f>
        <v>#N/A</v>
      </c>
      <c r="I1975" s="4" t="e">
        <f>VLOOKUP(A1975,Revisión!$A$2:$L$703,7,FALSE)</f>
        <v>#N/A</v>
      </c>
      <c r="J1975" s="4" t="e">
        <f>VLOOKUP(A1975,Revisión!$A$2:$L$703,8,FALSE)</f>
        <v>#N/A</v>
      </c>
      <c r="K1975" s="4" t="e">
        <f>VLOOKUP(A1975,Revisión!$A$2:$L$703,9,FALSE)</f>
        <v>#N/A</v>
      </c>
      <c r="L1975" s="4" t="e">
        <f>VLOOKUP(A1975,Revisión!$A$2:$L$703,10,FALSE)</f>
        <v>#N/A</v>
      </c>
      <c r="M1975" s="18" t="e">
        <f>VLOOKUP(A1975,Revisión!$A$2:$L$703,11,FALSE)</f>
        <v>#N/A</v>
      </c>
      <c r="N1975" s="30" t="str">
        <f>IF(E1975="Coinciden",D1975,IF(E1975="Revisar",VLOOKUP(A1975,Revisión!$A$2:$L$703,12,FALSE),""))</f>
        <v>Senecio nemorensis</v>
      </c>
    </row>
    <row r="1976" spans="1:14" x14ac:dyDescent="0.3">
      <c r="A1976" t="s">
        <v>4061</v>
      </c>
      <c r="C1976" t="s">
        <v>4062</v>
      </c>
      <c r="E1976" t="s">
        <v>8</v>
      </c>
      <c r="F1976" t="s">
        <v>9</v>
      </c>
      <c r="H1976" s="23" t="e">
        <f>VLOOKUP(A1976,Revisión!$A$2:$L$703,6,FALSE)</f>
        <v>#N/A</v>
      </c>
      <c r="I1976" s="4" t="e">
        <f>VLOOKUP(A1976,Revisión!$A$2:$L$703,7,FALSE)</f>
        <v>#N/A</v>
      </c>
      <c r="J1976" s="4" t="e">
        <f>VLOOKUP(A1976,Revisión!$A$2:$L$703,8,FALSE)</f>
        <v>#N/A</v>
      </c>
      <c r="K1976" s="4" t="e">
        <f>VLOOKUP(A1976,Revisión!$A$2:$L$703,9,FALSE)</f>
        <v>#N/A</v>
      </c>
      <c r="L1976" s="4" t="e">
        <f>VLOOKUP(A1976,Revisión!$A$2:$L$703,10,FALSE)</f>
        <v>#N/A</v>
      </c>
      <c r="M1976" s="18" t="e">
        <f>VLOOKUP(A1976,Revisión!$A$2:$L$703,11,FALSE)</f>
        <v>#N/A</v>
      </c>
      <c r="N1976" s="30" t="e">
        <f>IF(E1976="Coinciden",D1976,IF(E1976="Revisar",VLOOKUP(A1976,Revisión!$A$2:$L$703,12,FALSE),""))</f>
        <v>#N/A</v>
      </c>
    </row>
    <row r="1977" spans="1:14" x14ac:dyDescent="0.3">
      <c r="A1977" t="s">
        <v>4063</v>
      </c>
      <c r="B1977" t="s">
        <v>4064</v>
      </c>
      <c r="C1977" t="s">
        <v>4064</v>
      </c>
      <c r="D1977" t="s">
        <v>4065</v>
      </c>
      <c r="E1977" t="s">
        <v>8</v>
      </c>
      <c r="F1977" t="s">
        <v>15</v>
      </c>
      <c r="H1977" s="23" t="str">
        <f>VLOOKUP(A1977,Revisión!$A$2:$L$703,6,FALSE)</f>
        <v>Tephroseris pierotii</v>
      </c>
      <c r="I1977" s="4" t="str">
        <f>VLOOKUP(A1977,Revisión!$A$2:$L$703,7,FALSE)</f>
        <v>-</v>
      </c>
      <c r="J1977" s="4" t="str">
        <f>VLOOKUP(A1977,Revisión!$A$2:$L$703,8,FALSE)</f>
        <v>Tephroseris pierotii</v>
      </c>
      <c r="K1977" s="4" t="str">
        <f>VLOOKUP(A1977,Revisión!$A$2:$L$703,9,FALSE)</f>
        <v>Tephroseris pierotii</v>
      </c>
      <c r="L1977" s="4" t="str">
        <f>VLOOKUP(A1977,Revisión!$A$2:$L$703,10,FALSE)</f>
        <v>Tephroseris pierotii</v>
      </c>
      <c r="M1977" s="18">
        <f>VLOOKUP(A1977,Revisión!$A$2:$L$703,11,FALSE)</f>
        <v>5</v>
      </c>
      <c r="N1977" s="30" t="str">
        <f>IF(E1977="Coinciden",D1977,IF(E1977="Revisar",VLOOKUP(A1977,Revisión!$A$2:$L$703,12,FALSE),""))</f>
        <v>Tephroseris pierotii</v>
      </c>
    </row>
    <row r="1978" spans="1:14" x14ac:dyDescent="0.3">
      <c r="A1978" t="s">
        <v>4066</v>
      </c>
      <c r="B1978" t="s">
        <v>4067</v>
      </c>
      <c r="C1978" t="s">
        <v>4067</v>
      </c>
      <c r="D1978" t="s">
        <v>4067</v>
      </c>
      <c r="E1978" t="s">
        <v>18</v>
      </c>
      <c r="F1978" t="s">
        <v>19</v>
      </c>
      <c r="H1978" s="23" t="e">
        <f>VLOOKUP(A1978,Revisión!$A$2:$L$703,6,FALSE)</f>
        <v>#N/A</v>
      </c>
      <c r="I1978" s="4" t="e">
        <f>VLOOKUP(A1978,Revisión!$A$2:$L$703,7,FALSE)</f>
        <v>#N/A</v>
      </c>
      <c r="J1978" s="4" t="e">
        <f>VLOOKUP(A1978,Revisión!$A$2:$L$703,8,FALSE)</f>
        <v>#N/A</v>
      </c>
      <c r="K1978" s="4" t="e">
        <f>VLOOKUP(A1978,Revisión!$A$2:$L$703,9,FALSE)</f>
        <v>#N/A</v>
      </c>
      <c r="L1978" s="4" t="e">
        <f>VLOOKUP(A1978,Revisión!$A$2:$L$703,10,FALSE)</f>
        <v>#N/A</v>
      </c>
      <c r="M1978" s="18" t="e">
        <f>VLOOKUP(A1978,Revisión!$A$2:$L$703,11,FALSE)</f>
        <v>#N/A</v>
      </c>
      <c r="N1978" s="30" t="str">
        <f>IF(E1978="Coinciden",D1978,IF(E1978="Revisar",VLOOKUP(A1978,Revisión!$A$2:$L$703,12,FALSE),""))</f>
        <v>Senecio selloi</v>
      </c>
    </row>
    <row r="1979" spans="1:14" x14ac:dyDescent="0.3">
      <c r="A1979" t="s">
        <v>4068</v>
      </c>
      <c r="B1979" t="s">
        <v>4069</v>
      </c>
      <c r="D1979" t="s">
        <v>4070</v>
      </c>
      <c r="E1979" t="s">
        <v>8</v>
      </c>
      <c r="F1979" t="s">
        <v>9</v>
      </c>
      <c r="H1979" s="23" t="str">
        <f>VLOOKUP(A1979,Revisión!$A$2:$L$703,6,FALSE)</f>
        <v>Scapisenecio pectinatus</v>
      </c>
      <c r="I1979" s="4" t="str">
        <f>VLOOKUP(A1979,Revisión!$A$2:$L$703,7,FALSE)</f>
        <v>-</v>
      </c>
      <c r="J1979" s="4" t="str">
        <f>VLOOKUP(A1979,Revisión!$A$2:$L$703,8,FALSE)</f>
        <v>Scapisenecio pectinatus</v>
      </c>
      <c r="K1979" s="4" t="str">
        <f>VLOOKUP(A1979,Revisión!$A$2:$L$703,9,FALSE)</f>
        <v>Scapisenecio pectinatus</v>
      </c>
      <c r="L1979" s="4" t="str">
        <f>VLOOKUP(A1979,Revisión!$A$2:$L$703,10,FALSE)</f>
        <v>Scapisenecio pectinatus</v>
      </c>
      <c r="M1979" s="18">
        <f>VLOOKUP(A1979,Revisión!$A$2:$L$703,11,FALSE)</f>
        <v>4</v>
      </c>
      <c r="N1979" s="30" t="str">
        <f>IF(E1979="Coinciden",D1979,IF(E1979="Revisar",VLOOKUP(A1979,Revisión!$A$2:$L$703,12,FALSE),""))</f>
        <v>Scapisenecio pectinatus</v>
      </c>
    </row>
    <row r="1980" spans="1:14" x14ac:dyDescent="0.3">
      <c r="A1980" t="s">
        <v>4071</v>
      </c>
      <c r="B1980" t="s">
        <v>4072</v>
      </c>
      <c r="C1980" t="s">
        <v>4072</v>
      </c>
      <c r="D1980" t="s">
        <v>4072</v>
      </c>
      <c r="E1980" t="s">
        <v>18</v>
      </c>
      <c r="F1980" t="s">
        <v>19</v>
      </c>
      <c r="H1980" s="23" t="e">
        <f>VLOOKUP(A1980,Revisión!$A$2:$L$703,6,FALSE)</f>
        <v>#N/A</v>
      </c>
      <c r="I1980" s="4" t="e">
        <f>VLOOKUP(A1980,Revisión!$A$2:$L$703,7,FALSE)</f>
        <v>#N/A</v>
      </c>
      <c r="J1980" s="4" t="e">
        <f>VLOOKUP(A1980,Revisión!$A$2:$L$703,8,FALSE)</f>
        <v>#N/A</v>
      </c>
      <c r="K1980" s="4" t="e">
        <f>VLOOKUP(A1980,Revisión!$A$2:$L$703,9,FALSE)</f>
        <v>#N/A</v>
      </c>
      <c r="L1980" s="4" t="e">
        <f>VLOOKUP(A1980,Revisión!$A$2:$L$703,10,FALSE)</f>
        <v>#N/A</v>
      </c>
      <c r="M1980" s="18" t="e">
        <f>VLOOKUP(A1980,Revisión!$A$2:$L$703,11,FALSE)</f>
        <v>#N/A</v>
      </c>
      <c r="N1980" s="30" t="str">
        <f>IF(E1980="Coinciden",D1980,IF(E1980="Revisar",VLOOKUP(A1980,Revisión!$A$2:$L$703,12,FALSE),""))</f>
        <v>Senecio filaginoides</v>
      </c>
    </row>
    <row r="1981" spans="1:14" x14ac:dyDescent="0.3">
      <c r="A1981" t="s">
        <v>4073</v>
      </c>
      <c r="B1981" t="s">
        <v>4074</v>
      </c>
      <c r="D1981" t="s">
        <v>4074</v>
      </c>
      <c r="E1981" t="s">
        <v>8</v>
      </c>
      <c r="F1981" t="s">
        <v>34</v>
      </c>
      <c r="H1981" s="23" t="str">
        <f>VLOOKUP(A1981,Revisión!$A$2:$L$703,6,FALSE)</f>
        <v>Packera aurea</v>
      </c>
      <c r="I1981" s="4" t="str">
        <f>VLOOKUP(A1981,Revisión!$A$2:$L$703,7,FALSE)</f>
        <v>-</v>
      </c>
      <c r="J1981" s="4" t="str">
        <f>VLOOKUP(A1981,Revisión!$A$2:$L$703,8,FALSE)</f>
        <v>Packera aurea</v>
      </c>
      <c r="K1981" s="4" t="str">
        <f>VLOOKUP(A1981,Revisión!$A$2:$L$703,9,FALSE)</f>
        <v>Packera aurea</v>
      </c>
      <c r="L1981" s="4" t="str">
        <f>VLOOKUP(A1981,Revisión!$A$2:$L$703,10,FALSE)</f>
        <v>Packera aurea</v>
      </c>
      <c r="M1981" s="18">
        <f>VLOOKUP(A1981,Revisión!$A$2:$L$703,11,FALSE)</f>
        <v>5</v>
      </c>
      <c r="N1981" s="30" t="str">
        <f>IF(E1981="Coinciden",D1981,IF(E1981="Revisar",VLOOKUP(A1981,Revisión!$A$2:$L$703,12,FALSE),""))</f>
        <v>Packera aurea</v>
      </c>
    </row>
    <row r="1982" spans="1:14" x14ac:dyDescent="0.3">
      <c r="A1982" t="s">
        <v>4075</v>
      </c>
      <c r="B1982" t="s">
        <v>4076</v>
      </c>
      <c r="C1982" t="s">
        <v>4076</v>
      </c>
      <c r="D1982" t="s">
        <v>4076</v>
      </c>
      <c r="E1982" t="s">
        <v>18</v>
      </c>
      <c r="F1982" t="s">
        <v>19</v>
      </c>
      <c r="H1982" s="23" t="e">
        <f>VLOOKUP(A1982,Revisión!$A$2:$L$703,6,FALSE)</f>
        <v>#N/A</v>
      </c>
      <c r="I1982" s="4" t="e">
        <f>VLOOKUP(A1982,Revisión!$A$2:$L$703,7,FALSE)</f>
        <v>#N/A</v>
      </c>
      <c r="J1982" s="4" t="e">
        <f>VLOOKUP(A1982,Revisión!$A$2:$L$703,8,FALSE)</f>
        <v>#N/A</v>
      </c>
      <c r="K1982" s="4" t="e">
        <f>VLOOKUP(A1982,Revisión!$A$2:$L$703,9,FALSE)</f>
        <v>#N/A</v>
      </c>
      <c r="L1982" s="4" t="e">
        <f>VLOOKUP(A1982,Revisión!$A$2:$L$703,10,FALSE)</f>
        <v>#N/A</v>
      </c>
      <c r="M1982" s="18" t="e">
        <f>VLOOKUP(A1982,Revisión!$A$2:$L$703,11,FALSE)</f>
        <v>#N/A</v>
      </c>
      <c r="N1982" s="30" t="str">
        <f>IF(E1982="Coinciden",D1982,IF(E1982="Revisar",VLOOKUP(A1982,Revisión!$A$2:$L$703,12,FALSE),""))</f>
        <v>Dolichoglottis scorzoneroides</v>
      </c>
    </row>
    <row r="1983" spans="1:14" x14ac:dyDescent="0.3">
      <c r="A1983" t="s">
        <v>4077</v>
      </c>
      <c r="B1983" t="s">
        <v>4078</v>
      </c>
      <c r="C1983" t="s">
        <v>4078</v>
      </c>
      <c r="D1983" t="s">
        <v>4078</v>
      </c>
      <c r="E1983" t="s">
        <v>18</v>
      </c>
      <c r="F1983" t="s">
        <v>19</v>
      </c>
      <c r="H1983" s="23" t="e">
        <f>VLOOKUP(A1983,Revisión!$A$2:$L$703,6,FALSE)</f>
        <v>#N/A</v>
      </c>
      <c r="I1983" s="4" t="e">
        <f>VLOOKUP(A1983,Revisión!$A$2:$L$703,7,FALSE)</f>
        <v>#N/A</v>
      </c>
      <c r="J1983" s="4" t="e">
        <f>VLOOKUP(A1983,Revisión!$A$2:$L$703,8,FALSE)</f>
        <v>#N/A</v>
      </c>
      <c r="K1983" s="4" t="e">
        <f>VLOOKUP(A1983,Revisión!$A$2:$L$703,9,FALSE)</f>
        <v>#N/A</v>
      </c>
      <c r="L1983" s="4" t="e">
        <f>VLOOKUP(A1983,Revisión!$A$2:$L$703,10,FALSE)</f>
        <v>#N/A</v>
      </c>
      <c r="M1983" s="18" t="e">
        <f>VLOOKUP(A1983,Revisión!$A$2:$L$703,11,FALSE)</f>
        <v>#N/A</v>
      </c>
      <c r="N1983" s="30" t="str">
        <f>IF(E1983="Coinciden",D1983,IF(E1983="Revisar",VLOOKUP(A1983,Revisión!$A$2:$L$703,12,FALSE),""))</f>
        <v>Senecio crithmoides</v>
      </c>
    </row>
    <row r="1984" spans="1:14" x14ac:dyDescent="0.3">
      <c r="A1984" t="s">
        <v>4079</v>
      </c>
      <c r="D1984" t="s">
        <v>4080</v>
      </c>
      <c r="E1984" t="s">
        <v>8</v>
      </c>
      <c r="F1984" t="s">
        <v>9</v>
      </c>
      <c r="H1984" s="23" t="str">
        <f>VLOOKUP(A1984,Revisión!$A$2:$L$703,6,FALSE)</f>
        <v>Jacobaea vulgaris</v>
      </c>
      <c r="I1984" s="4" t="str">
        <f>VLOOKUP(A1984,Revisión!$A$2:$L$703,7,FALSE)</f>
        <v>-</v>
      </c>
      <c r="J1984" s="4" t="str">
        <f>VLOOKUP(A1984,Revisión!$A$2:$L$703,8,FALSE)</f>
        <v>Jacobaea vulgaris</v>
      </c>
      <c r="K1984" s="4" t="str">
        <f>VLOOKUP(A1984,Revisión!$A$2:$L$703,9,FALSE)</f>
        <v>Jacobaea vulgaris subsp. vulgaris</v>
      </c>
      <c r="L1984" s="4" t="str">
        <f>VLOOKUP(A1984,Revisión!$A$2:$L$703,10,FALSE)</f>
        <v>Jacobaea vulgaris subsp. vulgaris</v>
      </c>
      <c r="M1984" s="18">
        <f>VLOOKUP(A1984,Revisión!$A$2:$L$703,11,FALSE)</f>
        <v>5</v>
      </c>
      <c r="N1984" s="30" t="str">
        <f>IF(E1984="Coinciden",D1984,IF(E1984="Revisar",VLOOKUP(A1984,Revisión!$A$2:$L$703,12,FALSE),""))</f>
        <v>Jacobaea vulgaris</v>
      </c>
    </row>
    <row r="1985" spans="1:14" x14ac:dyDescent="0.3">
      <c r="A1985" t="s">
        <v>4081</v>
      </c>
      <c r="B1985" t="s">
        <v>4082</v>
      </c>
      <c r="D1985" t="s">
        <v>4082</v>
      </c>
      <c r="E1985" t="s">
        <v>8</v>
      </c>
      <c r="F1985" t="s">
        <v>34</v>
      </c>
      <c r="H1985" s="23" t="str">
        <f>VLOOKUP(A1985,Revisión!$A$2:$L$703,6,FALSE)</f>
        <v>Senecio tricephalus</v>
      </c>
      <c r="I1985" s="4" t="str">
        <f>VLOOKUP(A1985,Revisión!$A$2:$L$703,7,FALSE)</f>
        <v>-</v>
      </c>
      <c r="J1985" s="4" t="str">
        <f>VLOOKUP(A1985,Revisión!$A$2:$L$703,8,FALSE)</f>
        <v>Senecio tricephalus</v>
      </c>
      <c r="K1985" s="4" t="str">
        <f>VLOOKUP(A1985,Revisión!$A$2:$L$703,9,FALSE)</f>
        <v>Senecio tricephalus</v>
      </c>
      <c r="L1985" s="4" t="str">
        <f>VLOOKUP(A1985,Revisión!$A$2:$L$703,10,FALSE)</f>
        <v>Senecio tricephalus</v>
      </c>
      <c r="M1985" s="18">
        <f>VLOOKUP(A1985,Revisión!$A$2:$L$703,11,FALSE)</f>
        <v>4</v>
      </c>
      <c r="N1985" s="30" t="str">
        <f>IF(E1985="Coinciden",D1985,IF(E1985="Revisar",VLOOKUP(A1985,Revisión!$A$2:$L$703,12,FALSE),""))</f>
        <v>Senecio tricephalus</v>
      </c>
    </row>
    <row r="1986" spans="1:14" x14ac:dyDescent="0.3">
      <c r="A1986" t="s">
        <v>4083</v>
      </c>
      <c r="B1986" t="s">
        <v>4084</v>
      </c>
      <c r="C1986" t="s">
        <v>4084</v>
      </c>
      <c r="D1986" t="s">
        <v>4084</v>
      </c>
      <c r="E1986" t="s">
        <v>18</v>
      </c>
      <c r="F1986" t="s">
        <v>19</v>
      </c>
      <c r="H1986" s="23" t="e">
        <f>VLOOKUP(A1986,Revisión!$A$2:$L$703,6,FALSE)</f>
        <v>#N/A</v>
      </c>
      <c r="I1986" s="4" t="e">
        <f>VLOOKUP(A1986,Revisión!$A$2:$L$703,7,FALSE)</f>
        <v>#N/A</v>
      </c>
      <c r="J1986" s="4" t="e">
        <f>VLOOKUP(A1986,Revisión!$A$2:$L$703,8,FALSE)</f>
        <v>#N/A</v>
      </c>
      <c r="K1986" s="4" t="e">
        <f>VLOOKUP(A1986,Revisión!$A$2:$L$703,9,FALSE)</f>
        <v>#N/A</v>
      </c>
      <c r="L1986" s="4" t="e">
        <f>VLOOKUP(A1986,Revisión!$A$2:$L$703,10,FALSE)</f>
        <v>#N/A</v>
      </c>
      <c r="M1986" s="18" t="e">
        <f>VLOOKUP(A1986,Revisión!$A$2:$L$703,11,FALSE)</f>
        <v>#N/A</v>
      </c>
      <c r="N1986" s="30" t="str">
        <f>IF(E1986="Coinciden",D1986,IF(E1986="Revisar",VLOOKUP(A1986,Revisión!$A$2:$L$703,12,FALSE),""))</f>
        <v>Senecio bravensis</v>
      </c>
    </row>
    <row r="1987" spans="1:14" x14ac:dyDescent="0.3">
      <c r="A1987" t="s">
        <v>4085</v>
      </c>
      <c r="B1987" t="s">
        <v>4086</v>
      </c>
      <c r="C1987" t="s">
        <v>4086</v>
      </c>
      <c r="D1987" t="s">
        <v>4086</v>
      </c>
      <c r="E1987" t="s">
        <v>18</v>
      </c>
      <c r="F1987" t="s">
        <v>19</v>
      </c>
      <c r="H1987" s="23" t="e">
        <f>VLOOKUP(A1987,Revisión!$A$2:$L$703,6,FALSE)</f>
        <v>#N/A</v>
      </c>
      <c r="I1987" s="4" t="e">
        <f>VLOOKUP(A1987,Revisión!$A$2:$L$703,7,FALSE)</f>
        <v>#N/A</v>
      </c>
      <c r="J1987" s="4" t="e">
        <f>VLOOKUP(A1987,Revisión!$A$2:$L$703,8,FALSE)</f>
        <v>#N/A</v>
      </c>
      <c r="K1987" s="4" t="e">
        <f>VLOOKUP(A1987,Revisión!$A$2:$L$703,9,FALSE)</f>
        <v>#N/A</v>
      </c>
      <c r="L1987" s="4" t="e">
        <f>VLOOKUP(A1987,Revisión!$A$2:$L$703,10,FALSE)</f>
        <v>#N/A</v>
      </c>
      <c r="M1987" s="18" t="e">
        <f>VLOOKUP(A1987,Revisión!$A$2:$L$703,11,FALSE)</f>
        <v>#N/A</v>
      </c>
      <c r="N1987" s="30" t="str">
        <f>IF(E1987="Coinciden",D1987,IF(E1987="Revisar",VLOOKUP(A1987,Revisión!$A$2:$L$703,12,FALSE),""))</f>
        <v>Senecio lithostaurus</v>
      </c>
    </row>
    <row r="1988" spans="1:14" x14ac:dyDescent="0.3">
      <c r="A1988" t="s">
        <v>4087</v>
      </c>
      <c r="B1988" t="s">
        <v>4088</v>
      </c>
      <c r="C1988" t="s">
        <v>4088</v>
      </c>
      <c r="D1988" t="s">
        <v>4088</v>
      </c>
      <c r="E1988" t="s">
        <v>18</v>
      </c>
      <c r="F1988" t="s">
        <v>19</v>
      </c>
      <c r="H1988" s="23" t="e">
        <f>VLOOKUP(A1988,Revisión!$A$2:$L$703,6,FALSE)</f>
        <v>#N/A</v>
      </c>
      <c r="I1988" s="4" t="e">
        <f>VLOOKUP(A1988,Revisión!$A$2:$L$703,7,FALSE)</f>
        <v>#N/A</v>
      </c>
      <c r="J1988" s="4" t="e">
        <f>VLOOKUP(A1988,Revisión!$A$2:$L$703,8,FALSE)</f>
        <v>#N/A</v>
      </c>
      <c r="K1988" s="4" t="e">
        <f>VLOOKUP(A1988,Revisión!$A$2:$L$703,9,FALSE)</f>
        <v>#N/A</v>
      </c>
      <c r="L1988" s="4" t="e">
        <f>VLOOKUP(A1988,Revisión!$A$2:$L$703,10,FALSE)</f>
        <v>#N/A</v>
      </c>
      <c r="M1988" s="18" t="e">
        <f>VLOOKUP(A1988,Revisión!$A$2:$L$703,11,FALSE)</f>
        <v>#N/A</v>
      </c>
      <c r="N1988" s="30" t="str">
        <f>IF(E1988="Coinciden",D1988,IF(E1988="Revisar",VLOOKUP(A1988,Revisión!$A$2:$L$703,12,FALSE),""))</f>
        <v>Senecio pulcher</v>
      </c>
    </row>
    <row r="1989" spans="1:14" x14ac:dyDescent="0.3">
      <c r="A1989" t="s">
        <v>4089</v>
      </c>
      <c r="B1989" t="s">
        <v>4090</v>
      </c>
      <c r="C1989" t="s">
        <v>4090</v>
      </c>
      <c r="D1989" t="s">
        <v>4090</v>
      </c>
      <c r="E1989" t="s">
        <v>18</v>
      </c>
      <c r="F1989" t="s">
        <v>19</v>
      </c>
      <c r="H1989" s="23" t="e">
        <f>VLOOKUP(A1989,Revisión!$A$2:$L$703,6,FALSE)</f>
        <v>#N/A</v>
      </c>
      <c r="I1989" s="4" t="e">
        <f>VLOOKUP(A1989,Revisión!$A$2:$L$703,7,FALSE)</f>
        <v>#N/A</v>
      </c>
      <c r="J1989" s="4" t="e">
        <f>VLOOKUP(A1989,Revisión!$A$2:$L$703,8,FALSE)</f>
        <v>#N/A</v>
      </c>
      <c r="K1989" s="4" t="e">
        <f>VLOOKUP(A1989,Revisión!$A$2:$L$703,9,FALSE)</f>
        <v>#N/A</v>
      </c>
      <c r="L1989" s="4" t="e">
        <f>VLOOKUP(A1989,Revisión!$A$2:$L$703,10,FALSE)</f>
        <v>#N/A</v>
      </c>
      <c r="M1989" s="18" t="e">
        <f>VLOOKUP(A1989,Revisión!$A$2:$L$703,11,FALSE)</f>
        <v>#N/A</v>
      </c>
      <c r="N1989" s="30" t="str">
        <f>IF(E1989="Coinciden",D1989,IF(E1989="Revisar",VLOOKUP(A1989,Revisión!$A$2:$L$703,12,FALSE),""))</f>
        <v>Senecio arechavaletae</v>
      </c>
    </row>
    <row r="1990" spans="1:14" x14ac:dyDescent="0.3">
      <c r="A1990" t="s">
        <v>4091</v>
      </c>
      <c r="B1990" t="s">
        <v>4092</v>
      </c>
      <c r="C1990" t="s">
        <v>4092</v>
      </c>
      <c r="D1990" t="s">
        <v>4092</v>
      </c>
      <c r="E1990" t="s">
        <v>18</v>
      </c>
      <c r="F1990" t="s">
        <v>19</v>
      </c>
      <c r="H1990" s="23" t="e">
        <f>VLOOKUP(A1990,Revisión!$A$2:$L$703,6,FALSE)</f>
        <v>#N/A</v>
      </c>
      <c r="I1990" s="4" t="e">
        <f>VLOOKUP(A1990,Revisión!$A$2:$L$703,7,FALSE)</f>
        <v>#N/A</v>
      </c>
      <c r="J1990" s="4" t="e">
        <f>VLOOKUP(A1990,Revisión!$A$2:$L$703,8,FALSE)</f>
        <v>#N/A</v>
      </c>
      <c r="K1990" s="4" t="e">
        <f>VLOOKUP(A1990,Revisión!$A$2:$L$703,9,FALSE)</f>
        <v>#N/A</v>
      </c>
      <c r="L1990" s="4" t="e">
        <f>VLOOKUP(A1990,Revisión!$A$2:$L$703,10,FALSE)</f>
        <v>#N/A</v>
      </c>
      <c r="M1990" s="18" t="e">
        <f>VLOOKUP(A1990,Revisión!$A$2:$L$703,11,FALSE)</f>
        <v>#N/A</v>
      </c>
      <c r="N1990" s="30" t="str">
        <f>IF(E1990="Coinciden",D1990,IF(E1990="Revisar",VLOOKUP(A1990,Revisión!$A$2:$L$703,12,FALSE),""))</f>
        <v>Senecio francisci</v>
      </c>
    </row>
    <row r="1991" spans="1:14" x14ac:dyDescent="0.3">
      <c r="A1991" t="s">
        <v>4093</v>
      </c>
      <c r="B1991" t="s">
        <v>4094</v>
      </c>
      <c r="C1991" t="s">
        <v>4095</v>
      </c>
      <c r="D1991" t="s">
        <v>4094</v>
      </c>
      <c r="E1991" t="s">
        <v>8</v>
      </c>
      <c r="F1991" t="s">
        <v>493</v>
      </c>
      <c r="H1991" s="23" t="str">
        <f>VLOOKUP(A1991,Revisión!$A$2:$L$703,6,FALSE)</f>
        <v>Senecio micropifolius</v>
      </c>
      <c r="I1991" s="4" t="str">
        <f>VLOOKUP(A1991,Revisión!$A$2:$L$703,7,FALSE)</f>
        <v>-</v>
      </c>
      <c r="J1991" s="4" t="str">
        <f>VLOOKUP(A1991,Revisión!$A$2:$L$703,8,FALSE)</f>
        <v>Senecio micropifolius</v>
      </c>
      <c r="K1991" s="4" t="str">
        <f>VLOOKUP(A1991,Revisión!$A$2:$L$703,9,FALSE)</f>
        <v>Senecio micropifolius</v>
      </c>
      <c r="L1991" s="4" t="str">
        <f>VLOOKUP(A1991,Revisión!$A$2:$L$703,10,FALSE)</f>
        <v>Senecio micropifolius</v>
      </c>
      <c r="M1991" s="18">
        <f>VLOOKUP(A1991,Revisión!$A$2:$L$703,11,FALSE)</f>
        <v>4</v>
      </c>
      <c r="N1991" s="30" t="str">
        <f>IF(E1991="Coinciden",D1991,IF(E1991="Revisar",VLOOKUP(A1991,Revisión!$A$2:$L$703,12,FALSE),""))</f>
        <v>Senecio micropifolius</v>
      </c>
    </row>
    <row r="1992" spans="1:14" x14ac:dyDescent="0.3">
      <c r="A1992" t="s">
        <v>4096</v>
      </c>
      <c r="B1992" t="s">
        <v>4097</v>
      </c>
      <c r="C1992" t="s">
        <v>4097</v>
      </c>
      <c r="D1992" t="s">
        <v>4098</v>
      </c>
      <c r="E1992" t="s">
        <v>8</v>
      </c>
      <c r="F1992" t="s">
        <v>15</v>
      </c>
      <c r="H1992" s="23" t="str">
        <f>VLOOKUP(A1992,Revisión!$A$2:$L$703,6,FALSE)</f>
        <v>Brachyglottis lagopus</v>
      </c>
      <c r="I1992" s="4" t="str">
        <f>VLOOKUP(A1992,Revisión!$A$2:$L$703,7,FALSE)</f>
        <v>-</v>
      </c>
      <c r="J1992" s="4" t="str">
        <f>VLOOKUP(A1992,Revisión!$A$2:$L$703,8,FALSE)</f>
        <v>Brachyglottis lagopus</v>
      </c>
      <c r="K1992" s="4" t="str">
        <f>VLOOKUP(A1992,Revisión!$A$2:$L$703,9,FALSE)</f>
        <v>Brachyglottis lagopus</v>
      </c>
      <c r="L1992" s="4" t="str">
        <f>VLOOKUP(A1992,Revisión!$A$2:$L$703,10,FALSE)</f>
        <v>Brachyglottis lagopus</v>
      </c>
      <c r="M1992" s="18">
        <f>VLOOKUP(A1992,Revisión!$A$2:$L$703,11,FALSE)</f>
        <v>4</v>
      </c>
      <c r="N1992" s="30" t="str">
        <f>IF(E1992="Coinciden",D1992,IF(E1992="Revisar",VLOOKUP(A1992,Revisión!$A$2:$L$703,12,FALSE),""))</f>
        <v>Brachyglottis lagopus</v>
      </c>
    </row>
    <row r="1993" spans="1:14" x14ac:dyDescent="0.3">
      <c r="A1993" t="s">
        <v>4099</v>
      </c>
      <c r="B1993" t="s">
        <v>4100</v>
      </c>
      <c r="C1993" t="s">
        <v>4100</v>
      </c>
      <c r="D1993" t="s">
        <v>4100</v>
      </c>
      <c r="E1993" t="s">
        <v>18</v>
      </c>
      <c r="F1993" t="s">
        <v>19</v>
      </c>
      <c r="H1993" s="23" t="e">
        <f>VLOOKUP(A1993,Revisión!$A$2:$L$703,6,FALSE)</f>
        <v>#N/A</v>
      </c>
      <c r="I1993" s="4" t="e">
        <f>VLOOKUP(A1993,Revisión!$A$2:$L$703,7,FALSE)</f>
        <v>#N/A</v>
      </c>
      <c r="J1993" s="4" t="e">
        <f>VLOOKUP(A1993,Revisión!$A$2:$L$703,8,FALSE)</f>
        <v>#N/A</v>
      </c>
      <c r="K1993" s="4" t="e">
        <f>VLOOKUP(A1993,Revisión!$A$2:$L$703,9,FALSE)</f>
        <v>#N/A</v>
      </c>
      <c r="L1993" s="4" t="e">
        <f>VLOOKUP(A1993,Revisión!$A$2:$L$703,10,FALSE)</f>
        <v>#N/A</v>
      </c>
      <c r="M1993" s="18" t="e">
        <f>VLOOKUP(A1993,Revisión!$A$2:$L$703,11,FALSE)</f>
        <v>#N/A</v>
      </c>
      <c r="N1993" s="30" t="str">
        <f>IF(E1993="Coinciden",D1993,IF(E1993="Revisar",VLOOKUP(A1993,Revisión!$A$2:$L$703,12,FALSE),""))</f>
        <v>Senecio vulgaris</v>
      </c>
    </row>
    <row r="1994" spans="1:14" x14ac:dyDescent="0.3">
      <c r="A1994" t="s">
        <v>4101</v>
      </c>
      <c r="B1994" t="s">
        <v>4102</v>
      </c>
      <c r="C1994" t="s">
        <v>4102</v>
      </c>
      <c r="D1994" t="s">
        <v>4102</v>
      </c>
      <c r="E1994" t="s">
        <v>18</v>
      </c>
      <c r="F1994" t="s">
        <v>19</v>
      </c>
      <c r="H1994" s="23" t="e">
        <f>VLOOKUP(A1994,Revisión!$A$2:$L$703,6,FALSE)</f>
        <v>#N/A</v>
      </c>
      <c r="I1994" s="4" t="e">
        <f>VLOOKUP(A1994,Revisión!$A$2:$L$703,7,FALSE)</f>
        <v>#N/A</v>
      </c>
      <c r="J1994" s="4" t="e">
        <f>VLOOKUP(A1994,Revisión!$A$2:$L$703,8,FALSE)</f>
        <v>#N/A</v>
      </c>
      <c r="K1994" s="4" t="e">
        <f>VLOOKUP(A1994,Revisión!$A$2:$L$703,9,FALSE)</f>
        <v>#N/A</v>
      </c>
      <c r="L1994" s="4" t="e">
        <f>VLOOKUP(A1994,Revisión!$A$2:$L$703,10,FALSE)</f>
        <v>#N/A</v>
      </c>
      <c r="M1994" s="18" t="e">
        <f>VLOOKUP(A1994,Revisión!$A$2:$L$703,11,FALSE)</f>
        <v>#N/A</v>
      </c>
      <c r="N1994" s="30" t="str">
        <f>IF(E1994="Coinciden",D1994,IF(E1994="Revisar",VLOOKUP(A1994,Revisión!$A$2:$L$703,12,FALSE),""))</f>
        <v>Senecio gunnii</v>
      </c>
    </row>
    <row r="1995" spans="1:14" x14ac:dyDescent="0.3">
      <c r="A1995" t="s">
        <v>4103</v>
      </c>
      <c r="B1995" t="s">
        <v>4104</v>
      </c>
      <c r="C1995" t="s">
        <v>4104</v>
      </c>
      <c r="D1995" t="s">
        <v>4105</v>
      </c>
      <c r="E1995" t="s">
        <v>8</v>
      </c>
      <c r="F1995" t="s">
        <v>15</v>
      </c>
      <c r="H1995" s="23" t="str">
        <f>VLOOKUP(A1995,Revisión!$A$2:$L$703,6,FALSE)</f>
        <v>Nemosenecio nikoensis</v>
      </c>
      <c r="I1995" s="4" t="str">
        <f>VLOOKUP(A1995,Revisión!$A$2:$L$703,7,FALSE)</f>
        <v>-</v>
      </c>
      <c r="J1995" s="4" t="str">
        <f>VLOOKUP(A1995,Revisión!$A$2:$L$703,8,FALSE)</f>
        <v>Nemosenecio nikoensis</v>
      </c>
      <c r="K1995" s="4" t="str">
        <f>VLOOKUP(A1995,Revisión!$A$2:$L$703,9,FALSE)</f>
        <v>Nemosenecio nikoensis</v>
      </c>
      <c r="L1995" s="4" t="str">
        <f>VLOOKUP(A1995,Revisión!$A$2:$L$703,10,FALSE)</f>
        <v>Nemosenecio nikoensis</v>
      </c>
      <c r="M1995" s="18">
        <f>VLOOKUP(A1995,Revisión!$A$2:$L$703,11,FALSE)</f>
        <v>5</v>
      </c>
      <c r="N1995" s="30" t="str">
        <f>IF(E1995="Coinciden",D1995,IF(E1995="Revisar",VLOOKUP(A1995,Revisión!$A$2:$L$703,12,FALSE),""))</f>
        <v>Nemosenecio nikoensis</v>
      </c>
    </row>
    <row r="1996" spans="1:14" x14ac:dyDescent="0.3">
      <c r="A1996" t="s">
        <v>4106</v>
      </c>
      <c r="B1996" t="s">
        <v>4107</v>
      </c>
      <c r="C1996" t="s">
        <v>4107</v>
      </c>
      <c r="D1996" t="s">
        <v>4107</v>
      </c>
      <c r="E1996" t="s">
        <v>18</v>
      </c>
      <c r="F1996" t="s">
        <v>19</v>
      </c>
      <c r="H1996" s="23" t="e">
        <f>VLOOKUP(A1996,Revisión!$A$2:$L$703,6,FALSE)</f>
        <v>#N/A</v>
      </c>
      <c r="I1996" s="4" t="e">
        <f>VLOOKUP(A1996,Revisión!$A$2:$L$703,7,FALSE)</f>
        <v>#N/A</v>
      </c>
      <c r="J1996" s="4" t="e">
        <f>VLOOKUP(A1996,Revisión!$A$2:$L$703,8,FALSE)</f>
        <v>#N/A</v>
      </c>
      <c r="K1996" s="4" t="e">
        <f>VLOOKUP(A1996,Revisión!$A$2:$L$703,9,FALSE)</f>
        <v>#N/A</v>
      </c>
      <c r="L1996" s="4" t="e">
        <f>VLOOKUP(A1996,Revisión!$A$2:$L$703,10,FALSE)</f>
        <v>#N/A</v>
      </c>
      <c r="M1996" s="18" t="e">
        <f>VLOOKUP(A1996,Revisión!$A$2:$L$703,11,FALSE)</f>
        <v>#N/A</v>
      </c>
      <c r="N1996" s="30" t="str">
        <f>IF(E1996="Coinciden",D1996,IF(E1996="Revisar",VLOOKUP(A1996,Revisión!$A$2:$L$703,12,FALSE),""))</f>
        <v>Senecio lautus</v>
      </c>
    </row>
    <row r="1997" spans="1:14" x14ac:dyDescent="0.3">
      <c r="A1997" t="s">
        <v>4108</v>
      </c>
      <c r="C1997" t="s">
        <v>4109</v>
      </c>
      <c r="D1997" t="s">
        <v>4109</v>
      </c>
      <c r="E1997" t="s">
        <v>8</v>
      </c>
      <c r="F1997" t="s">
        <v>49</v>
      </c>
      <c r="H1997" s="23" t="str">
        <f>VLOOKUP(A1997,Revisión!$A$2:$L$703,6,FALSE)</f>
        <v>Senecio eruciformis</v>
      </c>
      <c r="I1997" s="4" t="str">
        <f>VLOOKUP(A1997,Revisión!$A$2:$L$703,7,FALSE)</f>
        <v>-</v>
      </c>
      <c r="J1997" s="4" t="str">
        <f>VLOOKUP(A1997,Revisión!$A$2:$L$703,8,FALSE)</f>
        <v>Senecio eruciformis</v>
      </c>
      <c r="K1997" s="4" t="str">
        <f>VLOOKUP(A1997,Revisión!$A$2:$L$703,9,FALSE)</f>
        <v>Senecio eruciformis</v>
      </c>
      <c r="L1997" s="4" t="str">
        <f>VLOOKUP(A1997,Revisión!$A$2:$L$703,10,FALSE)</f>
        <v>Senecio eruciformis</v>
      </c>
      <c r="M1997" s="18">
        <f>VLOOKUP(A1997,Revisión!$A$2:$L$703,11,FALSE)</f>
        <v>4</v>
      </c>
      <c r="N1997" s="30" t="str">
        <f>IF(E1997="Coinciden",D1997,IF(E1997="Revisar",VLOOKUP(A1997,Revisión!$A$2:$L$703,12,FALSE),""))</f>
        <v>Senecio eruciformis</v>
      </c>
    </row>
    <row r="1998" spans="1:14" x14ac:dyDescent="0.3">
      <c r="A1998" t="s">
        <v>4110</v>
      </c>
      <c r="B1998" t="s">
        <v>4111</v>
      </c>
      <c r="C1998" t="s">
        <v>4111</v>
      </c>
      <c r="D1998" t="s">
        <v>4111</v>
      </c>
      <c r="E1998" t="s">
        <v>18</v>
      </c>
      <c r="F1998" t="s">
        <v>19</v>
      </c>
      <c r="H1998" s="23" t="e">
        <f>VLOOKUP(A1998,Revisión!$A$2:$L$703,6,FALSE)</f>
        <v>#N/A</v>
      </c>
      <c r="I1998" s="4" t="e">
        <f>VLOOKUP(A1998,Revisión!$A$2:$L$703,7,FALSE)</f>
        <v>#N/A</v>
      </c>
      <c r="J1998" s="4" t="e">
        <f>VLOOKUP(A1998,Revisión!$A$2:$L$703,8,FALSE)</f>
        <v>#N/A</v>
      </c>
      <c r="K1998" s="4" t="e">
        <f>VLOOKUP(A1998,Revisión!$A$2:$L$703,9,FALSE)</f>
        <v>#N/A</v>
      </c>
      <c r="L1998" s="4" t="e">
        <f>VLOOKUP(A1998,Revisión!$A$2:$L$703,10,FALSE)</f>
        <v>#N/A</v>
      </c>
      <c r="M1998" s="18" t="e">
        <f>VLOOKUP(A1998,Revisión!$A$2:$L$703,11,FALSE)</f>
        <v>#N/A</v>
      </c>
      <c r="N1998" s="30" t="str">
        <f>IF(E1998="Coinciden",D1998,IF(E1998="Revisar",VLOOKUP(A1998,Revisión!$A$2:$L$703,12,FALSE),""))</f>
        <v>Senecio grisebachii</v>
      </c>
    </row>
    <row r="1999" spans="1:14" x14ac:dyDescent="0.3">
      <c r="A1999" t="s">
        <v>4112</v>
      </c>
      <c r="B1999" t="s">
        <v>4113</v>
      </c>
      <c r="C1999" t="s">
        <v>4113</v>
      </c>
      <c r="D1999" t="s">
        <v>4113</v>
      </c>
      <c r="E1999" t="s">
        <v>18</v>
      </c>
      <c r="F1999" t="s">
        <v>19</v>
      </c>
      <c r="H1999" s="23" t="e">
        <f>VLOOKUP(A1999,Revisión!$A$2:$L$703,6,FALSE)</f>
        <v>#N/A</v>
      </c>
      <c r="I1999" s="4" t="e">
        <f>VLOOKUP(A1999,Revisión!$A$2:$L$703,7,FALSE)</f>
        <v>#N/A</v>
      </c>
      <c r="J1999" s="4" t="e">
        <f>VLOOKUP(A1999,Revisión!$A$2:$L$703,8,FALSE)</f>
        <v>#N/A</v>
      </c>
      <c r="K1999" s="4" t="e">
        <f>VLOOKUP(A1999,Revisión!$A$2:$L$703,9,FALSE)</f>
        <v>#N/A</v>
      </c>
      <c r="L1999" s="4" t="e">
        <f>VLOOKUP(A1999,Revisión!$A$2:$L$703,10,FALSE)</f>
        <v>#N/A</v>
      </c>
      <c r="M1999" s="18" t="e">
        <f>VLOOKUP(A1999,Revisión!$A$2:$L$703,11,FALSE)</f>
        <v>#N/A</v>
      </c>
      <c r="N1999" s="30" t="str">
        <f>IF(E1999="Coinciden",D1999,IF(E1999="Revisar",VLOOKUP(A1999,Revisión!$A$2:$L$703,12,FALSE),""))</f>
        <v>Jacobaea cannabifolia</v>
      </c>
    </row>
    <row r="2000" spans="1:14" x14ac:dyDescent="0.3">
      <c r="A2000" t="s">
        <v>4114</v>
      </c>
      <c r="B2000" t="s">
        <v>4115</v>
      </c>
      <c r="C2000" t="s">
        <v>4116</v>
      </c>
      <c r="D2000" t="s">
        <v>4115</v>
      </c>
      <c r="E2000" t="s">
        <v>8</v>
      </c>
      <c r="F2000" t="s">
        <v>493</v>
      </c>
      <c r="H2000" s="23" t="str">
        <f>VLOOKUP(A2000,Revisión!$A$2:$L$703,6,FALSE)</f>
        <v>Serissa foetida</v>
      </c>
      <c r="I2000" s="4" t="str">
        <f>VLOOKUP(A2000,Revisión!$A$2:$L$703,7,FALSE)</f>
        <v>-</v>
      </c>
      <c r="J2000" s="4" t="str">
        <f>VLOOKUP(A2000,Revisión!$A$2:$L$703,8,FALSE)</f>
        <v>Serissa japonica</v>
      </c>
      <c r="K2000" s="4" t="str">
        <f>VLOOKUP(A2000,Revisión!$A$2:$L$703,9,FALSE)</f>
        <v>Serissa foetida</v>
      </c>
      <c r="L2000" s="4" t="str">
        <f>VLOOKUP(A2000,Revisión!$A$2:$L$703,10,FALSE)</f>
        <v>Serissa foetida</v>
      </c>
      <c r="M2000" s="18">
        <f>VLOOKUP(A2000,Revisión!$A$2:$L$703,11,FALSE)</f>
        <v>3</v>
      </c>
      <c r="N2000" s="30" t="str">
        <f>IF(E2000="Coinciden",D2000,IF(E2000="Revisar",VLOOKUP(A2000,Revisión!$A$2:$L$703,12,FALSE),""))</f>
        <v>Serissa foetida</v>
      </c>
    </row>
    <row r="2001" spans="1:14" x14ac:dyDescent="0.3">
      <c r="A2001" t="s">
        <v>4117</v>
      </c>
      <c r="B2001" t="s">
        <v>4118</v>
      </c>
      <c r="C2001" t="s">
        <v>4118</v>
      </c>
      <c r="D2001" t="s">
        <v>4119</v>
      </c>
      <c r="E2001" t="s">
        <v>8</v>
      </c>
      <c r="F2001" t="s">
        <v>15</v>
      </c>
      <c r="H2001" s="23" t="str">
        <f>VLOOKUP(A2001,Revisión!$A$2:$L$703,6,FALSE)</f>
        <v>Serratula coronata subsp. insularis</v>
      </c>
      <c r="I2001" s="4" t="str">
        <f>VLOOKUP(A2001,Revisión!$A$2:$L$703,7,FALSE)</f>
        <v>-</v>
      </c>
      <c r="J2001" s="4" t="str">
        <f>VLOOKUP(A2001,Revisión!$A$2:$L$703,8,FALSE)</f>
        <v>Serratula coronata subsp. insularis</v>
      </c>
      <c r="K2001" s="4" t="str">
        <f>VLOOKUP(A2001,Revisión!$A$2:$L$703,9,FALSE)</f>
        <v>Serratula coronata subsp. insularis</v>
      </c>
      <c r="L2001" s="4" t="str">
        <f>VLOOKUP(A2001,Revisión!$A$2:$L$703,10,FALSE)</f>
        <v>Serratula coronata subsp. insularis</v>
      </c>
      <c r="M2001" s="18">
        <f>VLOOKUP(A2001,Revisión!$A$2:$L$703,11,FALSE)</f>
        <v>5</v>
      </c>
      <c r="N2001" s="30" t="str">
        <f>IF(E2001="Coinciden",D2001,IF(E2001="Revisar",VLOOKUP(A2001,Revisión!$A$2:$L$703,12,FALSE),""))</f>
        <v>Serratula coronata subsp. insularis</v>
      </c>
    </row>
    <row r="2002" spans="1:14" x14ac:dyDescent="0.3">
      <c r="A2002" t="s">
        <v>4120</v>
      </c>
      <c r="B2002" t="s">
        <v>4121</v>
      </c>
      <c r="C2002" t="s">
        <v>4121</v>
      </c>
      <c r="D2002" t="s">
        <v>4121</v>
      </c>
      <c r="E2002" t="s">
        <v>18</v>
      </c>
      <c r="F2002" t="s">
        <v>19</v>
      </c>
      <c r="H2002" s="23" t="e">
        <f>VLOOKUP(A2002,Revisión!$A$2:$L$703,6,FALSE)</f>
        <v>#N/A</v>
      </c>
      <c r="I2002" s="4" t="e">
        <f>VLOOKUP(A2002,Revisión!$A$2:$L$703,7,FALSE)</f>
        <v>#N/A</v>
      </c>
      <c r="J2002" s="4" t="e">
        <f>VLOOKUP(A2002,Revisión!$A$2:$L$703,8,FALSE)</f>
        <v>#N/A</v>
      </c>
      <c r="K2002" s="4" t="e">
        <f>VLOOKUP(A2002,Revisión!$A$2:$L$703,9,FALSE)</f>
        <v>#N/A</v>
      </c>
      <c r="L2002" s="4" t="e">
        <f>VLOOKUP(A2002,Revisión!$A$2:$L$703,10,FALSE)</f>
        <v>#N/A</v>
      </c>
      <c r="M2002" s="18" t="e">
        <f>VLOOKUP(A2002,Revisión!$A$2:$L$703,11,FALSE)</f>
        <v>#N/A</v>
      </c>
      <c r="N2002" s="30" t="str">
        <f>IF(E2002="Coinciden",D2002,IF(E2002="Revisar",VLOOKUP(A2002,Revisión!$A$2:$L$703,12,FALSE),""))</f>
        <v>Sesuvium portulacastrum</v>
      </c>
    </row>
    <row r="2003" spans="1:14" x14ac:dyDescent="0.3">
      <c r="A2003" t="s">
        <v>4122</v>
      </c>
      <c r="D2003" t="s">
        <v>4123</v>
      </c>
      <c r="E2003" t="s">
        <v>8</v>
      </c>
      <c r="F2003" t="s">
        <v>9</v>
      </c>
      <c r="H2003" s="23" t="str">
        <f>VLOOKUP(A2003,Revisión!$A$2:$L$703,6,FALSE)</f>
        <v>Setaria parviflora</v>
      </c>
      <c r="I2003" s="4" t="str">
        <f>VLOOKUP(A2003,Revisión!$A$2:$L$703,7,FALSE)</f>
        <v>-</v>
      </c>
      <c r="J2003" s="4" t="str">
        <f>VLOOKUP(A2003,Revisión!$A$2:$L$703,8,FALSE)</f>
        <v>Setaria parviflora</v>
      </c>
      <c r="K2003" s="4" t="str">
        <f>VLOOKUP(A2003,Revisión!$A$2:$L$703,9,FALSE)</f>
        <v>Setaria parviflora</v>
      </c>
      <c r="L2003" s="4" t="str">
        <f>VLOOKUP(A2003,Revisión!$A$2:$L$703,10,FALSE)</f>
        <v>Setaria parviflora</v>
      </c>
      <c r="M2003" s="18">
        <f>VLOOKUP(A2003,Revisión!$A$2:$L$703,11,FALSE)</f>
        <v>5</v>
      </c>
      <c r="N2003" s="30" t="str">
        <f>IF(E2003="Coinciden",D2003,IF(E2003="Revisar",VLOOKUP(A2003,Revisión!$A$2:$L$703,12,FALSE),""))</f>
        <v>Setaria parviflora</v>
      </c>
    </row>
    <row r="2004" spans="1:14" x14ac:dyDescent="0.3">
      <c r="A2004" t="s">
        <v>4124</v>
      </c>
      <c r="B2004" t="s">
        <v>4125</v>
      </c>
      <c r="C2004" t="s">
        <v>4126</v>
      </c>
      <c r="D2004" t="s">
        <v>4126</v>
      </c>
      <c r="E2004" t="s">
        <v>8</v>
      </c>
      <c r="F2004" t="s">
        <v>23</v>
      </c>
      <c r="H2004" s="23" t="str">
        <f>VLOOKUP(A2004,Revisión!$A$2:$L$703,6,FALSE)</f>
        <v>Dasistoma macrophyllum</v>
      </c>
      <c r="I2004" s="4" t="str">
        <f>VLOOKUP(A2004,Revisión!$A$2:$L$703,7,FALSE)</f>
        <v>-</v>
      </c>
      <c r="J2004" s="4" t="str">
        <f>VLOOKUP(A2004,Revisión!$A$2:$L$703,8,FALSE)</f>
        <v>Dasistoma macrophylla</v>
      </c>
      <c r="K2004" s="4" t="str">
        <f>VLOOKUP(A2004,Revisión!$A$2:$L$703,9,FALSE)</f>
        <v>Dasistoma macrophyllum</v>
      </c>
      <c r="L2004" s="4" t="str">
        <f>VLOOKUP(A2004,Revisión!$A$2:$L$703,10,FALSE)</f>
        <v>Dasistoma macrophyllum</v>
      </c>
      <c r="M2004" s="18">
        <f>VLOOKUP(A2004,Revisión!$A$2:$L$703,11,FALSE)</f>
        <v>3</v>
      </c>
      <c r="N2004" s="30" t="str">
        <f>IF(E2004="Coinciden",D2004,IF(E2004="Revisar",VLOOKUP(A2004,Revisión!$A$2:$L$703,12,FALSE),""))</f>
        <v>Dasistoma macrophyllum</v>
      </c>
    </row>
    <row r="2005" spans="1:14" x14ac:dyDescent="0.3">
      <c r="A2005" t="s">
        <v>4127</v>
      </c>
      <c r="B2005" t="s">
        <v>4128</v>
      </c>
      <c r="C2005" t="s">
        <v>4128</v>
      </c>
      <c r="D2005" t="s">
        <v>4128</v>
      </c>
      <c r="E2005" t="s">
        <v>18</v>
      </c>
      <c r="F2005" t="s">
        <v>19</v>
      </c>
      <c r="H2005" s="23" t="e">
        <f>VLOOKUP(A2005,Revisión!$A$2:$L$703,6,FALSE)</f>
        <v>#N/A</v>
      </c>
      <c r="I2005" s="4" t="e">
        <f>VLOOKUP(A2005,Revisión!$A$2:$L$703,7,FALSE)</f>
        <v>#N/A</v>
      </c>
      <c r="J2005" s="4" t="e">
        <f>VLOOKUP(A2005,Revisión!$A$2:$L$703,8,FALSE)</f>
        <v>#N/A</v>
      </c>
      <c r="K2005" s="4" t="e">
        <f>VLOOKUP(A2005,Revisión!$A$2:$L$703,9,FALSE)</f>
        <v>#N/A</v>
      </c>
      <c r="L2005" s="4" t="e">
        <f>VLOOKUP(A2005,Revisión!$A$2:$L$703,10,FALSE)</f>
        <v>#N/A</v>
      </c>
      <c r="M2005" s="18" t="e">
        <f>VLOOKUP(A2005,Revisión!$A$2:$L$703,11,FALSE)</f>
        <v>#N/A</v>
      </c>
      <c r="N2005" s="30" t="str">
        <f>IF(E2005="Coinciden",D2005,IF(E2005="Revisar",VLOOKUP(A2005,Revisión!$A$2:$L$703,12,FALSE),""))</f>
        <v>Sherardia arvensis</v>
      </c>
    </row>
    <row r="2006" spans="1:14" x14ac:dyDescent="0.3">
      <c r="A2006" t="s">
        <v>4129</v>
      </c>
      <c r="C2006" t="s">
        <v>4130</v>
      </c>
      <c r="D2006" t="s">
        <v>4130</v>
      </c>
      <c r="E2006" t="s">
        <v>8</v>
      </c>
      <c r="F2006" t="s">
        <v>49</v>
      </c>
      <c r="H2006" s="23" t="str">
        <f>VLOOKUP(A2006,Revisión!$A$2:$L$703,6,FALSE)</f>
        <v>Schultesia brachyptera</v>
      </c>
      <c r="I2006" s="4" t="str">
        <f>VLOOKUP(A2006,Revisión!$A$2:$L$703,7,FALSE)</f>
        <v>-</v>
      </c>
      <c r="J2006" s="4" t="str">
        <f>VLOOKUP(A2006,Revisión!$A$2:$L$703,8,FALSE)</f>
        <v>Schultesia brachyptera</v>
      </c>
      <c r="K2006" s="4" t="str">
        <f>VLOOKUP(A2006,Revisión!$A$2:$L$703,9,FALSE)</f>
        <v>Schultesia brachyptera</v>
      </c>
      <c r="L2006" s="4" t="str">
        <f>VLOOKUP(A2006,Revisión!$A$2:$L$703,10,FALSE)</f>
        <v>Schultesia brachyptera</v>
      </c>
      <c r="M2006" s="18">
        <f>VLOOKUP(A2006,Revisión!$A$2:$L$703,11,FALSE)</f>
        <v>4</v>
      </c>
      <c r="N2006" s="30" t="str">
        <f>IF(E2006="Coinciden",D2006,IF(E2006="Revisar",VLOOKUP(A2006,Revisión!$A$2:$L$703,12,FALSE),""))</f>
        <v>Schultesia brachyptera</v>
      </c>
    </row>
    <row r="2007" spans="1:14" x14ac:dyDescent="0.3">
      <c r="A2007" t="s">
        <v>4131</v>
      </c>
      <c r="B2007" t="s">
        <v>4132</v>
      </c>
      <c r="D2007" t="s">
        <v>4132</v>
      </c>
      <c r="E2007" t="s">
        <v>8</v>
      </c>
      <c r="F2007" t="s">
        <v>34</v>
      </c>
      <c r="H2007" s="23" t="str">
        <f>VLOOKUP(A2007,Revisión!$A$2:$L$703,6,FALSE)</f>
        <v>Sicyos angulatus</v>
      </c>
      <c r="I2007" s="4" t="str">
        <f>VLOOKUP(A2007,Revisión!$A$2:$L$703,7,FALSE)</f>
        <v>-</v>
      </c>
      <c r="J2007" s="4" t="str">
        <f>VLOOKUP(A2007,Revisión!$A$2:$L$703,8,FALSE)</f>
        <v>Sicyos angulatus</v>
      </c>
      <c r="K2007" s="4" t="str">
        <f>VLOOKUP(A2007,Revisión!$A$2:$L$703,9,FALSE)</f>
        <v>Sicyos angulatus</v>
      </c>
      <c r="L2007" s="4" t="str">
        <f>VLOOKUP(A2007,Revisión!$A$2:$L$703,10,FALSE)</f>
        <v>Sicyos angulatus</v>
      </c>
      <c r="M2007" s="18">
        <f>VLOOKUP(A2007,Revisión!$A$2:$L$703,11,FALSE)</f>
        <v>5</v>
      </c>
      <c r="N2007" s="30" t="str">
        <f>IF(E2007="Coinciden",D2007,IF(E2007="Revisar",VLOOKUP(A2007,Revisión!$A$2:$L$703,12,FALSE),""))</f>
        <v>Sicyos angulatus</v>
      </c>
    </row>
    <row r="2008" spans="1:14" x14ac:dyDescent="0.3">
      <c r="A2008" t="s">
        <v>4133</v>
      </c>
      <c r="B2008" t="s">
        <v>4134</v>
      </c>
      <c r="C2008" t="s">
        <v>4134</v>
      </c>
      <c r="D2008" t="s">
        <v>4134</v>
      </c>
      <c r="E2008" t="s">
        <v>18</v>
      </c>
      <c r="F2008" t="s">
        <v>19</v>
      </c>
      <c r="H2008" s="23" t="e">
        <f>VLOOKUP(A2008,Revisión!$A$2:$L$703,6,FALSE)</f>
        <v>#N/A</v>
      </c>
      <c r="I2008" s="4" t="e">
        <f>VLOOKUP(A2008,Revisión!$A$2:$L$703,7,FALSE)</f>
        <v>#N/A</v>
      </c>
      <c r="J2008" s="4" t="e">
        <f>VLOOKUP(A2008,Revisión!$A$2:$L$703,8,FALSE)</f>
        <v>#N/A</v>
      </c>
      <c r="K2008" s="4" t="e">
        <f>VLOOKUP(A2008,Revisión!$A$2:$L$703,9,FALSE)</f>
        <v>#N/A</v>
      </c>
      <c r="L2008" s="4" t="e">
        <f>VLOOKUP(A2008,Revisión!$A$2:$L$703,10,FALSE)</f>
        <v>#N/A</v>
      </c>
      <c r="M2008" s="18" t="e">
        <f>VLOOKUP(A2008,Revisión!$A$2:$L$703,11,FALSE)</f>
        <v>#N/A</v>
      </c>
      <c r="N2008" s="30" t="str">
        <f>IF(E2008="Coinciden",D2008,IF(E2008="Revisar",VLOOKUP(A2008,Revisión!$A$2:$L$703,12,FALSE),""))</f>
        <v>Krapovickasia flavescens</v>
      </c>
    </row>
    <row r="2009" spans="1:14" x14ac:dyDescent="0.3">
      <c r="A2009" t="s">
        <v>4135</v>
      </c>
      <c r="B2009" t="s">
        <v>4136</v>
      </c>
      <c r="C2009" t="s">
        <v>4136</v>
      </c>
      <c r="D2009" t="s">
        <v>4136</v>
      </c>
      <c r="E2009" t="s">
        <v>18</v>
      </c>
      <c r="F2009" t="s">
        <v>19</v>
      </c>
      <c r="H2009" s="23" t="e">
        <f>VLOOKUP(A2009,Revisión!$A$2:$L$703,6,FALSE)</f>
        <v>#N/A</v>
      </c>
      <c r="I2009" s="4" t="e">
        <f>VLOOKUP(A2009,Revisión!$A$2:$L$703,7,FALSE)</f>
        <v>#N/A</v>
      </c>
      <c r="J2009" s="4" t="e">
        <f>VLOOKUP(A2009,Revisión!$A$2:$L$703,8,FALSE)</f>
        <v>#N/A</v>
      </c>
      <c r="K2009" s="4" t="e">
        <f>VLOOKUP(A2009,Revisión!$A$2:$L$703,9,FALSE)</f>
        <v>#N/A</v>
      </c>
      <c r="L2009" s="4" t="e">
        <f>VLOOKUP(A2009,Revisión!$A$2:$L$703,10,FALSE)</f>
        <v>#N/A</v>
      </c>
      <c r="M2009" s="18" t="e">
        <f>VLOOKUP(A2009,Revisión!$A$2:$L$703,11,FALSE)</f>
        <v>#N/A</v>
      </c>
      <c r="N2009" s="30" t="str">
        <f>IF(E2009="Coinciden",D2009,IF(E2009="Revisar",VLOOKUP(A2009,Revisión!$A$2:$L$703,12,FALSE),""))</f>
        <v>Sida acuta</v>
      </c>
    </row>
    <row r="2010" spans="1:14" x14ac:dyDescent="0.3">
      <c r="A2010" t="s">
        <v>4137</v>
      </c>
      <c r="B2010" t="s">
        <v>4138</v>
      </c>
      <c r="D2010" t="s">
        <v>4138</v>
      </c>
      <c r="E2010" t="s">
        <v>8</v>
      </c>
      <c r="F2010" t="s">
        <v>34</v>
      </c>
      <c r="H2010" s="23" t="str">
        <f>VLOOKUP(A2010,Revisión!$A$2:$L$703,6,FALSE)</f>
        <v>Sida spinosa</v>
      </c>
      <c r="I2010" s="4" t="str">
        <f>VLOOKUP(A2010,Revisión!$A$2:$L$703,7,FALSE)</f>
        <v>-</v>
      </c>
      <c r="J2010" s="4" t="str">
        <f>VLOOKUP(A2010,Revisión!$A$2:$L$703,8,FALSE)</f>
        <v>Sida spinosa</v>
      </c>
      <c r="K2010" s="4" t="str">
        <f>VLOOKUP(A2010,Revisión!$A$2:$L$703,9,FALSE)</f>
        <v>Sida spinosa</v>
      </c>
      <c r="L2010" s="4" t="str">
        <f>VLOOKUP(A2010,Revisión!$A$2:$L$703,10,FALSE)</f>
        <v>Sida spinosa</v>
      </c>
      <c r="M2010" s="18">
        <f>VLOOKUP(A2010,Revisión!$A$2:$L$703,11,FALSE)</f>
        <v>5</v>
      </c>
      <c r="N2010" s="30" t="str">
        <f>IF(E2010="Coinciden",D2010,IF(E2010="Revisar",VLOOKUP(A2010,Revisión!$A$2:$L$703,12,FALSE),""))</f>
        <v>Sida spinosa</v>
      </c>
    </row>
    <row r="2011" spans="1:14" x14ac:dyDescent="0.3">
      <c r="A2011" t="s">
        <v>4139</v>
      </c>
      <c r="B2011" t="s">
        <v>4140</v>
      </c>
      <c r="C2011" t="s">
        <v>4140</v>
      </c>
      <c r="D2011" t="s">
        <v>4140</v>
      </c>
      <c r="E2011" t="s">
        <v>18</v>
      </c>
      <c r="F2011" t="s">
        <v>19</v>
      </c>
      <c r="H2011" s="23" t="e">
        <f>VLOOKUP(A2011,Revisión!$A$2:$L$703,6,FALSE)</f>
        <v>#N/A</v>
      </c>
      <c r="I2011" s="4" t="e">
        <f>VLOOKUP(A2011,Revisión!$A$2:$L$703,7,FALSE)</f>
        <v>#N/A</v>
      </c>
      <c r="J2011" s="4" t="e">
        <f>VLOOKUP(A2011,Revisión!$A$2:$L$703,8,FALSE)</f>
        <v>#N/A</v>
      </c>
      <c r="K2011" s="4" t="e">
        <f>VLOOKUP(A2011,Revisión!$A$2:$L$703,9,FALSE)</f>
        <v>#N/A</v>
      </c>
      <c r="L2011" s="4" t="e">
        <f>VLOOKUP(A2011,Revisión!$A$2:$L$703,10,FALSE)</f>
        <v>#N/A</v>
      </c>
      <c r="M2011" s="18" t="e">
        <f>VLOOKUP(A2011,Revisión!$A$2:$L$703,11,FALSE)</f>
        <v>#N/A</v>
      </c>
      <c r="N2011" s="30" t="str">
        <f>IF(E2011="Coinciden",D2011,IF(E2011="Revisar",VLOOKUP(A2011,Revisión!$A$2:$L$703,12,FALSE),""))</f>
        <v>Sida rhombifolia</v>
      </c>
    </row>
    <row r="2012" spans="1:14" x14ac:dyDescent="0.3">
      <c r="A2012" t="s">
        <v>4141</v>
      </c>
      <c r="D2012" t="s">
        <v>4142</v>
      </c>
      <c r="E2012" t="s">
        <v>8</v>
      </c>
      <c r="F2012" t="s">
        <v>9</v>
      </c>
      <c r="H2012" s="23" t="str">
        <f>VLOOKUP(A2012,Revisión!$A$2:$L$703,6,FALSE)</f>
        <v>Sidastrum paniculatum</v>
      </c>
      <c r="I2012" s="4" t="str">
        <f>VLOOKUP(A2012,Revisión!$A$2:$L$703,7,FALSE)</f>
        <v>-</v>
      </c>
      <c r="J2012" s="4" t="str">
        <f>VLOOKUP(A2012,Revisión!$A$2:$L$703,8,FALSE)</f>
        <v>Sidastrum paniculatum</v>
      </c>
      <c r="K2012" s="4" t="str">
        <f>VLOOKUP(A2012,Revisión!$A$2:$L$703,9,FALSE)</f>
        <v>Sidastrum paniculatum</v>
      </c>
      <c r="L2012" s="4" t="str">
        <f>VLOOKUP(A2012,Revisión!$A$2:$L$703,10,FALSE)</f>
        <v>Sidastrum paniculatum</v>
      </c>
      <c r="M2012" s="18">
        <f>VLOOKUP(A2012,Revisión!$A$2:$L$703,11,FALSE)</f>
        <v>5</v>
      </c>
      <c r="N2012" s="30" t="str">
        <f>IF(E2012="Coinciden",D2012,IF(E2012="Revisar",VLOOKUP(A2012,Revisión!$A$2:$L$703,12,FALSE),""))</f>
        <v>Sidastrum paniculatum</v>
      </c>
    </row>
    <row r="2013" spans="1:14" x14ac:dyDescent="0.3">
      <c r="A2013" t="s">
        <v>4143</v>
      </c>
      <c r="B2013" t="s">
        <v>4144</v>
      </c>
      <c r="C2013" t="s">
        <v>4144</v>
      </c>
      <c r="D2013" t="s">
        <v>4144</v>
      </c>
      <c r="E2013" t="s">
        <v>18</v>
      </c>
      <c r="F2013" t="s">
        <v>19</v>
      </c>
      <c r="H2013" s="23" t="e">
        <f>VLOOKUP(A2013,Revisión!$A$2:$L$703,6,FALSE)</f>
        <v>#N/A</v>
      </c>
      <c r="I2013" s="4" t="e">
        <f>VLOOKUP(A2013,Revisión!$A$2:$L$703,7,FALSE)</f>
        <v>#N/A</v>
      </c>
      <c r="J2013" s="4" t="e">
        <f>VLOOKUP(A2013,Revisión!$A$2:$L$703,8,FALSE)</f>
        <v>#N/A</v>
      </c>
      <c r="K2013" s="4" t="e">
        <f>VLOOKUP(A2013,Revisión!$A$2:$L$703,9,FALSE)</f>
        <v>#N/A</v>
      </c>
      <c r="L2013" s="4" t="e">
        <f>VLOOKUP(A2013,Revisión!$A$2:$L$703,10,FALSE)</f>
        <v>#N/A</v>
      </c>
      <c r="M2013" s="18" t="e">
        <f>VLOOKUP(A2013,Revisión!$A$2:$L$703,11,FALSE)</f>
        <v>#N/A</v>
      </c>
      <c r="N2013" s="30" t="str">
        <f>IF(E2013="Coinciden",D2013,IF(E2013="Revisar",VLOOKUP(A2013,Revisión!$A$2:$L$703,12,FALSE),""))</f>
        <v>Sideritis nervosa</v>
      </c>
    </row>
    <row r="2014" spans="1:14" x14ac:dyDescent="0.3">
      <c r="A2014" t="s">
        <v>4145</v>
      </c>
      <c r="B2014" t="s">
        <v>4146</v>
      </c>
      <c r="C2014" t="s">
        <v>4146</v>
      </c>
      <c r="D2014" t="s">
        <v>4146</v>
      </c>
      <c r="E2014" t="s">
        <v>18</v>
      </c>
      <c r="F2014" t="s">
        <v>19</v>
      </c>
      <c r="H2014" s="23" t="e">
        <f>VLOOKUP(A2014,Revisión!$A$2:$L$703,6,FALSE)</f>
        <v>#N/A</v>
      </c>
      <c r="I2014" s="4" t="e">
        <f>VLOOKUP(A2014,Revisión!$A$2:$L$703,7,FALSE)</f>
        <v>#N/A</v>
      </c>
      <c r="J2014" s="4" t="e">
        <f>VLOOKUP(A2014,Revisión!$A$2:$L$703,8,FALSE)</f>
        <v>#N/A</v>
      </c>
      <c r="K2014" s="4" t="e">
        <f>VLOOKUP(A2014,Revisión!$A$2:$L$703,9,FALSE)</f>
        <v>#N/A</v>
      </c>
      <c r="L2014" s="4" t="e">
        <f>VLOOKUP(A2014,Revisión!$A$2:$L$703,10,FALSE)</f>
        <v>#N/A</v>
      </c>
      <c r="M2014" s="18" t="e">
        <f>VLOOKUP(A2014,Revisión!$A$2:$L$703,11,FALSE)</f>
        <v>#N/A</v>
      </c>
      <c r="N2014" s="30" t="str">
        <f>IF(E2014="Coinciden",D2014,IF(E2014="Revisar",VLOOKUP(A2014,Revisión!$A$2:$L$703,12,FALSE),""))</f>
        <v>Sideritis cretica subsp. cretica</v>
      </c>
    </row>
    <row r="2015" spans="1:14" x14ac:dyDescent="0.3">
      <c r="A2015" t="s">
        <v>4147</v>
      </c>
      <c r="B2015" t="s">
        <v>4148</v>
      </c>
      <c r="C2015" t="s">
        <v>4148</v>
      </c>
      <c r="D2015" t="s">
        <v>4148</v>
      </c>
      <c r="E2015" t="s">
        <v>18</v>
      </c>
      <c r="F2015" t="s">
        <v>19</v>
      </c>
      <c r="H2015" s="23" t="e">
        <f>VLOOKUP(A2015,Revisión!$A$2:$L$703,6,FALSE)</f>
        <v>#N/A</v>
      </c>
      <c r="I2015" s="4" t="e">
        <f>VLOOKUP(A2015,Revisión!$A$2:$L$703,7,FALSE)</f>
        <v>#N/A</v>
      </c>
      <c r="J2015" s="4" t="e">
        <f>VLOOKUP(A2015,Revisión!$A$2:$L$703,8,FALSE)</f>
        <v>#N/A</v>
      </c>
      <c r="K2015" s="4" t="e">
        <f>VLOOKUP(A2015,Revisión!$A$2:$L$703,9,FALSE)</f>
        <v>#N/A</v>
      </c>
      <c r="L2015" s="4" t="e">
        <f>VLOOKUP(A2015,Revisión!$A$2:$L$703,10,FALSE)</f>
        <v>#N/A</v>
      </c>
      <c r="M2015" s="18" t="e">
        <f>VLOOKUP(A2015,Revisión!$A$2:$L$703,11,FALSE)</f>
        <v>#N/A</v>
      </c>
      <c r="N2015" s="30" t="str">
        <f>IF(E2015="Coinciden",D2015,IF(E2015="Revisar",VLOOKUP(A2015,Revisión!$A$2:$L$703,12,FALSE),""))</f>
        <v>Sideroxylon puberulum</v>
      </c>
    </row>
    <row r="2016" spans="1:14" x14ac:dyDescent="0.3">
      <c r="A2016" t="s">
        <v>4149</v>
      </c>
      <c r="B2016" t="s">
        <v>4150</v>
      </c>
      <c r="D2016" t="s">
        <v>4150</v>
      </c>
      <c r="E2016" t="s">
        <v>8</v>
      </c>
      <c r="F2016" t="s">
        <v>34</v>
      </c>
      <c r="H2016" s="23" t="str">
        <f>VLOOKUP(A2016,Revisión!$A$2:$L$703,6,FALSE)</f>
        <v>Sideroxylon cinereum</v>
      </c>
      <c r="I2016" s="4" t="str">
        <f>VLOOKUP(A2016,Revisión!$A$2:$L$703,7,FALSE)</f>
        <v>-</v>
      </c>
      <c r="J2016" s="4" t="str">
        <f>VLOOKUP(A2016,Revisión!$A$2:$L$703,8,FALSE)</f>
        <v>Sideroxylon cinereum</v>
      </c>
      <c r="K2016" s="4" t="str">
        <f>VLOOKUP(A2016,Revisión!$A$2:$L$703,9,FALSE)</f>
        <v>Sideroxylon cinereum</v>
      </c>
      <c r="L2016" s="4" t="str">
        <f>VLOOKUP(A2016,Revisión!$A$2:$L$703,10,FALSE)</f>
        <v>Sideroxylon cinereum</v>
      </c>
      <c r="M2016" s="18">
        <f>VLOOKUP(A2016,Revisión!$A$2:$L$703,11,FALSE)</f>
        <v>4</v>
      </c>
      <c r="N2016" s="30" t="str">
        <f>IF(E2016="Coinciden",D2016,IF(E2016="Revisar",VLOOKUP(A2016,Revisión!$A$2:$L$703,12,FALSE),""))</f>
        <v>Sideroxylon cinereum</v>
      </c>
    </row>
    <row r="2017" spans="1:14" x14ac:dyDescent="0.3">
      <c r="A2017" t="s">
        <v>4151</v>
      </c>
      <c r="B2017" t="s">
        <v>4152</v>
      </c>
      <c r="C2017" t="s">
        <v>4152</v>
      </c>
      <c r="D2017" t="s">
        <v>4152</v>
      </c>
      <c r="E2017" t="s">
        <v>18</v>
      </c>
      <c r="F2017" t="s">
        <v>19</v>
      </c>
      <c r="H2017" s="23" t="e">
        <f>VLOOKUP(A2017,Revisión!$A$2:$L$703,6,FALSE)</f>
        <v>#N/A</v>
      </c>
      <c r="I2017" s="4" t="e">
        <f>VLOOKUP(A2017,Revisión!$A$2:$L$703,7,FALSE)</f>
        <v>#N/A</v>
      </c>
      <c r="J2017" s="4" t="e">
        <f>VLOOKUP(A2017,Revisión!$A$2:$L$703,8,FALSE)</f>
        <v>#N/A</v>
      </c>
      <c r="K2017" s="4" t="e">
        <f>VLOOKUP(A2017,Revisión!$A$2:$L$703,9,FALSE)</f>
        <v>#N/A</v>
      </c>
      <c r="L2017" s="4" t="e">
        <f>VLOOKUP(A2017,Revisión!$A$2:$L$703,10,FALSE)</f>
        <v>#N/A</v>
      </c>
      <c r="M2017" s="18" t="e">
        <f>VLOOKUP(A2017,Revisión!$A$2:$L$703,11,FALSE)</f>
        <v>#N/A</v>
      </c>
      <c r="N2017" s="30" t="str">
        <f>IF(E2017="Coinciden",D2017,IF(E2017="Revisar",VLOOKUP(A2017,Revisión!$A$2:$L$703,12,FALSE),""))</f>
        <v>Sigesbeckia orientalis</v>
      </c>
    </row>
    <row r="2018" spans="1:14" x14ac:dyDescent="0.3">
      <c r="A2018" t="s">
        <v>4153</v>
      </c>
      <c r="B2018" t="s">
        <v>4154</v>
      </c>
      <c r="C2018" t="s">
        <v>4154</v>
      </c>
      <c r="D2018" t="s">
        <v>4154</v>
      </c>
      <c r="E2018" t="s">
        <v>18</v>
      </c>
      <c r="F2018" t="s">
        <v>19</v>
      </c>
      <c r="H2018" s="23" t="e">
        <f>VLOOKUP(A2018,Revisión!$A$2:$L$703,6,FALSE)</f>
        <v>#N/A</v>
      </c>
      <c r="I2018" s="4" t="e">
        <f>VLOOKUP(A2018,Revisión!$A$2:$L$703,7,FALSE)</f>
        <v>#N/A</v>
      </c>
      <c r="J2018" s="4" t="e">
        <f>VLOOKUP(A2018,Revisión!$A$2:$L$703,8,FALSE)</f>
        <v>#N/A</v>
      </c>
      <c r="K2018" s="4" t="e">
        <f>VLOOKUP(A2018,Revisión!$A$2:$L$703,9,FALSE)</f>
        <v>#N/A</v>
      </c>
      <c r="L2018" s="4" t="e">
        <f>VLOOKUP(A2018,Revisión!$A$2:$L$703,10,FALSE)</f>
        <v>#N/A</v>
      </c>
      <c r="M2018" s="18" t="e">
        <f>VLOOKUP(A2018,Revisión!$A$2:$L$703,11,FALSE)</f>
        <v>#N/A</v>
      </c>
      <c r="N2018" s="30" t="str">
        <f>IF(E2018="Coinciden",D2018,IF(E2018="Revisar",VLOOKUP(A2018,Revisión!$A$2:$L$703,12,FALSE),""))</f>
        <v>Geum rossii var. turbinatum</v>
      </c>
    </row>
    <row r="2019" spans="1:14" x14ac:dyDescent="0.3">
      <c r="A2019" t="s">
        <v>4155</v>
      </c>
      <c r="B2019" t="s">
        <v>4156</v>
      </c>
      <c r="C2019" t="s">
        <v>4156</v>
      </c>
      <c r="E2019" t="s">
        <v>8</v>
      </c>
      <c r="F2019" t="s">
        <v>323</v>
      </c>
      <c r="H2019" s="23" t="str">
        <f>VLOOKUP(A2019,Revisión!$A$2:$L$703,6,FALSE)</f>
        <v>Geum triflorum var. ciliatum</v>
      </c>
      <c r="I2019" s="4" t="str">
        <f>VLOOKUP(A2019,Revisión!$A$2:$L$703,7,FALSE)</f>
        <v>-</v>
      </c>
      <c r="J2019" s="4" t="str">
        <f>VLOOKUP(A2019,Revisión!$A$2:$L$703,8,FALSE)</f>
        <v>Geum triflorum var. ciliatum</v>
      </c>
      <c r="K2019" s="4" t="str">
        <f>VLOOKUP(A2019,Revisión!$A$2:$L$703,9,FALSE)</f>
        <v>Geum triflorum var. ciliatum</v>
      </c>
      <c r="L2019" s="4" t="str">
        <f>VLOOKUP(A2019,Revisión!$A$2:$L$703,10,FALSE)</f>
        <v>Geum triflorum var. ciliatum</v>
      </c>
      <c r="M2019" s="18">
        <f>VLOOKUP(A2019,Revisión!$A$2:$L$703,11,FALSE)</f>
        <v>4</v>
      </c>
      <c r="N2019" s="30" t="str">
        <f>IF(E2019="Coinciden",D2019,IF(E2019="Revisar",VLOOKUP(A2019,Revisión!$A$2:$L$703,12,FALSE),""))</f>
        <v>Geum triflorum var. ciliatum</v>
      </c>
    </row>
    <row r="2020" spans="1:14" x14ac:dyDescent="0.3">
      <c r="A2020" t="s">
        <v>4157</v>
      </c>
      <c r="B2020" t="s">
        <v>4158</v>
      </c>
      <c r="D2020" t="s">
        <v>4158</v>
      </c>
      <c r="E2020" t="s">
        <v>8</v>
      </c>
      <c r="F2020" t="s">
        <v>34</v>
      </c>
      <c r="H2020" s="23" t="str">
        <f>VLOOKUP(A2020,Revisión!$A$2:$L$703,6,FALSE)</f>
        <v>Silene colorata</v>
      </c>
      <c r="I2020" s="4" t="str">
        <f>VLOOKUP(A2020,Revisión!$A$2:$L$703,7,FALSE)</f>
        <v>-</v>
      </c>
      <c r="J2020" s="4" t="str">
        <f>VLOOKUP(A2020,Revisión!$A$2:$L$703,8,FALSE)</f>
        <v>Silene colorata</v>
      </c>
      <c r="K2020" s="4" t="str">
        <f>VLOOKUP(A2020,Revisión!$A$2:$L$703,9,FALSE)</f>
        <v>Silene colorata</v>
      </c>
      <c r="L2020" s="4" t="str">
        <f>VLOOKUP(A2020,Revisión!$A$2:$L$703,10,FALSE)</f>
        <v>-</v>
      </c>
      <c r="M2020" s="18">
        <f>VLOOKUP(A2020,Revisión!$A$2:$L$703,11,FALSE)</f>
        <v>4</v>
      </c>
      <c r="N2020" s="30" t="str">
        <f>IF(E2020="Coinciden",D2020,IF(E2020="Revisar",VLOOKUP(A2020,Revisión!$A$2:$L$703,12,FALSE),""))</f>
        <v>Silene colorata</v>
      </c>
    </row>
    <row r="2021" spans="1:14" x14ac:dyDescent="0.3">
      <c r="A2021" t="s">
        <v>4159</v>
      </c>
      <c r="B2021" t="s">
        <v>4160</v>
      </c>
      <c r="C2021" t="s">
        <v>4160</v>
      </c>
      <c r="D2021" t="s">
        <v>4160</v>
      </c>
      <c r="E2021" t="s">
        <v>18</v>
      </c>
      <c r="F2021" t="s">
        <v>19</v>
      </c>
      <c r="H2021" s="23" t="e">
        <f>VLOOKUP(A2021,Revisión!$A$2:$L$703,6,FALSE)</f>
        <v>#N/A</v>
      </c>
      <c r="I2021" s="4" t="e">
        <f>VLOOKUP(A2021,Revisión!$A$2:$L$703,7,FALSE)</f>
        <v>#N/A</v>
      </c>
      <c r="J2021" s="4" t="e">
        <f>VLOOKUP(A2021,Revisión!$A$2:$L$703,8,FALSE)</f>
        <v>#N/A</v>
      </c>
      <c r="K2021" s="4" t="e">
        <f>VLOOKUP(A2021,Revisión!$A$2:$L$703,9,FALSE)</f>
        <v>#N/A</v>
      </c>
      <c r="L2021" s="4" t="e">
        <f>VLOOKUP(A2021,Revisión!$A$2:$L$703,10,FALSE)</f>
        <v>#N/A</v>
      </c>
      <c r="M2021" s="18" t="e">
        <f>VLOOKUP(A2021,Revisión!$A$2:$L$703,11,FALSE)</f>
        <v>#N/A</v>
      </c>
      <c r="N2021" s="30" t="str">
        <f>IF(E2021="Coinciden",D2021,IF(E2021="Revisar",VLOOKUP(A2021,Revisión!$A$2:$L$703,12,FALSE),""))</f>
        <v>Silene acaulis</v>
      </c>
    </row>
    <row r="2022" spans="1:14" x14ac:dyDescent="0.3">
      <c r="A2022" t="s">
        <v>4161</v>
      </c>
      <c r="E2022" t="s">
        <v>8</v>
      </c>
      <c r="F2022" t="s">
        <v>11</v>
      </c>
      <c r="H2022" s="23" t="e">
        <f>VLOOKUP(A2022,Revisión!$A$2:$L$703,6,FALSE)</f>
        <v>#N/A</v>
      </c>
      <c r="I2022" s="4" t="e">
        <f>VLOOKUP(A2022,Revisión!$A$2:$L$703,7,FALSE)</f>
        <v>#N/A</v>
      </c>
      <c r="J2022" s="4" t="e">
        <f>VLOOKUP(A2022,Revisión!$A$2:$L$703,8,FALSE)</f>
        <v>#N/A</v>
      </c>
      <c r="K2022" s="4" t="e">
        <f>VLOOKUP(A2022,Revisión!$A$2:$L$703,9,FALSE)</f>
        <v>#N/A</v>
      </c>
      <c r="L2022" s="4" t="e">
        <f>VLOOKUP(A2022,Revisión!$A$2:$L$703,10,FALSE)</f>
        <v>#N/A</v>
      </c>
      <c r="M2022" s="18" t="e">
        <f>VLOOKUP(A2022,Revisión!$A$2:$L$703,11,FALSE)</f>
        <v>#N/A</v>
      </c>
      <c r="N2022" s="30" t="e">
        <f>IF(E2022="Coinciden",D2022,IF(E2022="Revisar",VLOOKUP(A2022,Revisión!$A$2:$L$703,12,FALSE),""))</f>
        <v>#N/A</v>
      </c>
    </row>
    <row r="2023" spans="1:14" x14ac:dyDescent="0.3">
      <c r="A2023" t="s">
        <v>4162</v>
      </c>
      <c r="B2023" t="s">
        <v>4163</v>
      </c>
      <c r="C2023" t="s">
        <v>4163</v>
      </c>
      <c r="D2023" t="s">
        <v>4163</v>
      </c>
      <c r="E2023" t="s">
        <v>18</v>
      </c>
      <c r="F2023" t="s">
        <v>19</v>
      </c>
      <c r="H2023" s="23" t="e">
        <f>VLOOKUP(A2023,Revisión!$A$2:$L$703,6,FALSE)</f>
        <v>#N/A</v>
      </c>
      <c r="I2023" s="4" t="e">
        <f>VLOOKUP(A2023,Revisión!$A$2:$L$703,7,FALSE)</f>
        <v>#N/A</v>
      </c>
      <c r="J2023" s="4" t="e">
        <f>VLOOKUP(A2023,Revisión!$A$2:$L$703,8,FALSE)</f>
        <v>#N/A</v>
      </c>
      <c r="K2023" s="4" t="e">
        <f>VLOOKUP(A2023,Revisión!$A$2:$L$703,9,FALSE)</f>
        <v>#N/A</v>
      </c>
      <c r="L2023" s="4" t="e">
        <f>VLOOKUP(A2023,Revisión!$A$2:$L$703,10,FALSE)</f>
        <v>#N/A</v>
      </c>
      <c r="M2023" s="18" t="e">
        <f>VLOOKUP(A2023,Revisión!$A$2:$L$703,11,FALSE)</f>
        <v>#N/A</v>
      </c>
      <c r="N2023" s="30" t="str">
        <f>IF(E2023="Coinciden",D2023,IF(E2023="Revisar",VLOOKUP(A2023,Revisión!$A$2:$L$703,12,FALSE),""))</f>
        <v>Silene gallica</v>
      </c>
    </row>
    <row r="2024" spans="1:14" x14ac:dyDescent="0.3">
      <c r="A2024" t="s">
        <v>4164</v>
      </c>
      <c r="B2024" t="s">
        <v>4165</v>
      </c>
      <c r="D2024" t="s">
        <v>4165</v>
      </c>
      <c r="E2024" t="s">
        <v>8</v>
      </c>
      <c r="F2024" t="s">
        <v>34</v>
      </c>
      <c r="H2024" s="23" t="str">
        <f>VLOOKUP(A2024,Revisión!$A$2:$L$703,6,FALSE)</f>
        <v>Silene stellata</v>
      </c>
      <c r="I2024" s="4" t="str">
        <f>VLOOKUP(A2024,Revisión!$A$2:$L$703,7,FALSE)</f>
        <v>-</v>
      </c>
      <c r="J2024" s="4" t="str">
        <f>VLOOKUP(A2024,Revisión!$A$2:$L$703,8,FALSE)</f>
        <v>Silene stellata</v>
      </c>
      <c r="K2024" s="4" t="str">
        <f>VLOOKUP(A2024,Revisión!$A$2:$L$703,9,FALSE)</f>
        <v>Silene stellata</v>
      </c>
      <c r="L2024" s="4" t="str">
        <f>VLOOKUP(A2024,Revisión!$A$2:$L$703,10,FALSE)</f>
        <v>Silene stellata</v>
      </c>
      <c r="M2024" s="18">
        <f>VLOOKUP(A2024,Revisión!$A$2:$L$703,11,FALSE)</f>
        <v>5</v>
      </c>
      <c r="N2024" s="30" t="str">
        <f>IF(E2024="Coinciden",D2024,IF(E2024="Revisar",VLOOKUP(A2024,Revisión!$A$2:$L$703,12,FALSE),""))</f>
        <v>Silene stellata</v>
      </c>
    </row>
    <row r="2025" spans="1:14" x14ac:dyDescent="0.3">
      <c r="A2025" t="s">
        <v>4166</v>
      </c>
      <c r="B2025" t="s">
        <v>4167</v>
      </c>
      <c r="C2025" t="s">
        <v>4167</v>
      </c>
      <c r="D2025" t="s">
        <v>4167</v>
      </c>
      <c r="E2025" t="s">
        <v>18</v>
      </c>
      <c r="F2025" t="s">
        <v>19</v>
      </c>
      <c r="H2025" s="23" t="e">
        <f>VLOOKUP(A2025,Revisión!$A$2:$L$703,6,FALSE)</f>
        <v>#N/A</v>
      </c>
      <c r="I2025" s="4" t="e">
        <f>VLOOKUP(A2025,Revisión!$A$2:$L$703,7,FALSE)</f>
        <v>#N/A</v>
      </c>
      <c r="J2025" s="4" t="e">
        <f>VLOOKUP(A2025,Revisión!$A$2:$L$703,8,FALSE)</f>
        <v>#N/A</v>
      </c>
      <c r="K2025" s="4" t="e">
        <f>VLOOKUP(A2025,Revisión!$A$2:$L$703,9,FALSE)</f>
        <v>#N/A</v>
      </c>
      <c r="L2025" s="4" t="e">
        <f>VLOOKUP(A2025,Revisión!$A$2:$L$703,10,FALSE)</f>
        <v>#N/A</v>
      </c>
      <c r="M2025" s="18" t="e">
        <f>VLOOKUP(A2025,Revisión!$A$2:$L$703,11,FALSE)</f>
        <v>#N/A</v>
      </c>
      <c r="N2025" s="30" t="str">
        <f>IF(E2025="Coinciden",D2025,IF(E2025="Revisar",VLOOKUP(A2025,Revisión!$A$2:$L$703,12,FALSE),""))</f>
        <v>Silene vulgaris</v>
      </c>
    </row>
    <row r="2026" spans="1:14" x14ac:dyDescent="0.3">
      <c r="A2026" t="s">
        <v>4168</v>
      </c>
      <c r="B2026" t="s">
        <v>4169</v>
      </c>
      <c r="C2026" t="s">
        <v>4169</v>
      </c>
      <c r="D2026" t="s">
        <v>4169</v>
      </c>
      <c r="E2026" t="s">
        <v>18</v>
      </c>
      <c r="F2026" t="s">
        <v>19</v>
      </c>
      <c r="H2026" s="23" t="e">
        <f>VLOOKUP(A2026,Revisión!$A$2:$L$703,6,FALSE)</f>
        <v>#N/A</v>
      </c>
      <c r="I2026" s="4" t="e">
        <f>VLOOKUP(A2026,Revisión!$A$2:$L$703,7,FALSE)</f>
        <v>#N/A</v>
      </c>
      <c r="J2026" s="4" t="e">
        <f>VLOOKUP(A2026,Revisión!$A$2:$L$703,8,FALSE)</f>
        <v>#N/A</v>
      </c>
      <c r="K2026" s="4" t="e">
        <f>VLOOKUP(A2026,Revisión!$A$2:$L$703,9,FALSE)</f>
        <v>#N/A</v>
      </c>
      <c r="L2026" s="4" t="e">
        <f>VLOOKUP(A2026,Revisión!$A$2:$L$703,10,FALSE)</f>
        <v>#N/A</v>
      </c>
      <c r="M2026" s="18" t="e">
        <f>VLOOKUP(A2026,Revisión!$A$2:$L$703,11,FALSE)</f>
        <v>#N/A</v>
      </c>
      <c r="N2026" s="30" t="str">
        <f>IF(E2026="Coinciden",D2026,IF(E2026="Revisar",VLOOKUP(A2026,Revisión!$A$2:$L$703,12,FALSE),""))</f>
        <v>Silene nivea</v>
      </c>
    </row>
    <row r="2027" spans="1:14" x14ac:dyDescent="0.3">
      <c r="A2027" t="s">
        <v>4170</v>
      </c>
      <c r="B2027" t="s">
        <v>4171</v>
      </c>
      <c r="C2027" t="s">
        <v>4171</v>
      </c>
      <c r="D2027" t="s">
        <v>4171</v>
      </c>
      <c r="E2027" t="s">
        <v>18</v>
      </c>
      <c r="F2027" t="s">
        <v>19</v>
      </c>
      <c r="H2027" s="23" t="e">
        <f>VLOOKUP(A2027,Revisión!$A$2:$L$703,6,FALSE)</f>
        <v>#N/A</v>
      </c>
      <c r="I2027" s="4" t="e">
        <f>VLOOKUP(A2027,Revisión!$A$2:$L$703,7,FALSE)</f>
        <v>#N/A</v>
      </c>
      <c r="J2027" s="4" t="e">
        <f>VLOOKUP(A2027,Revisión!$A$2:$L$703,8,FALSE)</f>
        <v>#N/A</v>
      </c>
      <c r="K2027" s="4" t="e">
        <f>VLOOKUP(A2027,Revisión!$A$2:$L$703,9,FALSE)</f>
        <v>#N/A</v>
      </c>
      <c r="L2027" s="4" t="e">
        <f>VLOOKUP(A2027,Revisión!$A$2:$L$703,10,FALSE)</f>
        <v>#N/A</v>
      </c>
      <c r="M2027" s="18" t="e">
        <f>VLOOKUP(A2027,Revisión!$A$2:$L$703,11,FALSE)</f>
        <v>#N/A</v>
      </c>
      <c r="N2027" s="30" t="str">
        <f>IF(E2027="Coinciden",D2027,IF(E2027="Revisar",VLOOKUP(A2027,Revisión!$A$2:$L$703,12,FALSE),""))</f>
        <v>Silene dioica</v>
      </c>
    </row>
    <row r="2028" spans="1:14" x14ac:dyDescent="0.3">
      <c r="A2028" t="s">
        <v>4172</v>
      </c>
      <c r="B2028" t="s">
        <v>4173</v>
      </c>
      <c r="C2028" t="s">
        <v>4173</v>
      </c>
      <c r="D2028" t="s">
        <v>4173</v>
      </c>
      <c r="E2028" t="s">
        <v>18</v>
      </c>
      <c r="F2028" t="s">
        <v>19</v>
      </c>
      <c r="H2028" s="23" t="e">
        <f>VLOOKUP(A2028,Revisión!$A$2:$L$703,6,FALSE)</f>
        <v>#N/A</v>
      </c>
      <c r="I2028" s="4" t="e">
        <f>VLOOKUP(A2028,Revisión!$A$2:$L$703,7,FALSE)</f>
        <v>#N/A</v>
      </c>
      <c r="J2028" s="4" t="e">
        <f>VLOOKUP(A2028,Revisión!$A$2:$L$703,8,FALSE)</f>
        <v>#N/A</v>
      </c>
      <c r="K2028" s="4" t="e">
        <f>VLOOKUP(A2028,Revisión!$A$2:$L$703,9,FALSE)</f>
        <v>#N/A</v>
      </c>
      <c r="L2028" s="4" t="e">
        <f>VLOOKUP(A2028,Revisión!$A$2:$L$703,10,FALSE)</f>
        <v>#N/A</v>
      </c>
      <c r="M2028" s="18" t="e">
        <f>VLOOKUP(A2028,Revisión!$A$2:$L$703,11,FALSE)</f>
        <v>#N/A</v>
      </c>
      <c r="N2028" s="30" t="str">
        <f>IF(E2028="Coinciden",D2028,IF(E2028="Revisar",VLOOKUP(A2028,Revisión!$A$2:$L$703,12,FALSE),""))</f>
        <v>Silene scouleri subsp. hallii</v>
      </c>
    </row>
    <row r="2029" spans="1:14" x14ac:dyDescent="0.3">
      <c r="A2029" t="s">
        <v>4174</v>
      </c>
      <c r="B2029" t="s">
        <v>4175</v>
      </c>
      <c r="C2029" t="s">
        <v>4175</v>
      </c>
      <c r="D2029" t="s">
        <v>4175</v>
      </c>
      <c r="E2029" t="s">
        <v>18</v>
      </c>
      <c r="F2029" t="s">
        <v>19</v>
      </c>
      <c r="H2029" s="23" t="e">
        <f>VLOOKUP(A2029,Revisión!$A$2:$L$703,6,FALSE)</f>
        <v>#N/A</v>
      </c>
      <c r="I2029" s="4" t="e">
        <f>VLOOKUP(A2029,Revisión!$A$2:$L$703,7,FALSE)</f>
        <v>#N/A</v>
      </c>
      <c r="J2029" s="4" t="e">
        <f>VLOOKUP(A2029,Revisión!$A$2:$L$703,8,FALSE)</f>
        <v>#N/A</v>
      </c>
      <c r="K2029" s="4" t="e">
        <f>VLOOKUP(A2029,Revisión!$A$2:$L$703,9,FALSE)</f>
        <v>#N/A</v>
      </c>
      <c r="L2029" s="4" t="e">
        <f>VLOOKUP(A2029,Revisión!$A$2:$L$703,10,FALSE)</f>
        <v>#N/A</v>
      </c>
      <c r="M2029" s="18" t="e">
        <f>VLOOKUP(A2029,Revisión!$A$2:$L$703,11,FALSE)</f>
        <v>#N/A</v>
      </c>
      <c r="N2029" s="30" t="str">
        <f>IF(E2029="Coinciden",D2029,IF(E2029="Revisar",VLOOKUP(A2029,Revisión!$A$2:$L$703,12,FALSE),""))</f>
        <v>Silphium terebinthinaceum</v>
      </c>
    </row>
    <row r="2030" spans="1:14" x14ac:dyDescent="0.3">
      <c r="A2030" t="s">
        <v>4176</v>
      </c>
      <c r="B2030" t="s">
        <v>4177</v>
      </c>
      <c r="C2030" t="s">
        <v>4177</v>
      </c>
      <c r="D2030" t="s">
        <v>4177</v>
      </c>
      <c r="E2030" t="s">
        <v>18</v>
      </c>
      <c r="F2030" t="s">
        <v>19</v>
      </c>
      <c r="H2030" s="23" t="e">
        <f>VLOOKUP(A2030,Revisión!$A$2:$L$703,6,FALSE)</f>
        <v>#N/A</v>
      </c>
      <c r="I2030" s="4" t="e">
        <f>VLOOKUP(A2030,Revisión!$A$2:$L$703,7,FALSE)</f>
        <v>#N/A</v>
      </c>
      <c r="J2030" s="4" t="e">
        <f>VLOOKUP(A2030,Revisión!$A$2:$L$703,8,FALSE)</f>
        <v>#N/A</v>
      </c>
      <c r="K2030" s="4" t="e">
        <f>VLOOKUP(A2030,Revisión!$A$2:$L$703,9,FALSE)</f>
        <v>#N/A</v>
      </c>
      <c r="L2030" s="4" t="e">
        <f>VLOOKUP(A2030,Revisión!$A$2:$L$703,10,FALSE)</f>
        <v>#N/A</v>
      </c>
      <c r="M2030" s="18" t="e">
        <f>VLOOKUP(A2030,Revisión!$A$2:$L$703,11,FALSE)</f>
        <v>#N/A</v>
      </c>
      <c r="N2030" s="30" t="str">
        <f>IF(E2030="Coinciden",D2030,IF(E2030="Revisar",VLOOKUP(A2030,Revisión!$A$2:$L$703,12,FALSE),""))</f>
        <v>Silphium integrifolium</v>
      </c>
    </row>
    <row r="2031" spans="1:14" x14ac:dyDescent="0.3">
      <c r="A2031" t="s">
        <v>4178</v>
      </c>
      <c r="B2031" t="s">
        <v>4179</v>
      </c>
      <c r="D2031" t="s">
        <v>4179</v>
      </c>
      <c r="E2031" t="s">
        <v>8</v>
      </c>
      <c r="F2031" t="s">
        <v>34</v>
      </c>
      <c r="H2031" s="23" t="str">
        <f>VLOOKUP(A2031,Revisión!$A$2:$L$703,6,FALSE)</f>
        <v>Silphium laciniatum</v>
      </c>
      <c r="I2031" s="4" t="str">
        <f>VLOOKUP(A2031,Revisión!$A$2:$L$703,7,FALSE)</f>
        <v>-</v>
      </c>
      <c r="J2031" s="4" t="str">
        <f>VLOOKUP(A2031,Revisión!$A$2:$L$703,8,FALSE)</f>
        <v>Silphium laciniatum</v>
      </c>
      <c r="K2031" s="4" t="str">
        <f>VLOOKUP(A2031,Revisión!$A$2:$L$703,9,FALSE)</f>
        <v>Silphium laciniatum</v>
      </c>
      <c r="L2031" s="4" t="str">
        <f>VLOOKUP(A2031,Revisión!$A$2:$L$703,10,FALSE)</f>
        <v>Silphium laciniatum</v>
      </c>
      <c r="M2031" s="18">
        <f>VLOOKUP(A2031,Revisión!$A$2:$L$703,11,FALSE)</f>
        <v>5</v>
      </c>
      <c r="N2031" s="30" t="str">
        <f>IF(E2031="Coinciden",D2031,IF(E2031="Revisar",VLOOKUP(A2031,Revisión!$A$2:$L$703,12,FALSE),""))</f>
        <v>Silphium laciniatum</v>
      </c>
    </row>
    <row r="2032" spans="1:14" x14ac:dyDescent="0.3">
      <c r="A2032" t="s">
        <v>4180</v>
      </c>
      <c r="B2032" t="s">
        <v>4181</v>
      </c>
      <c r="C2032" t="s">
        <v>4181</v>
      </c>
      <c r="D2032" t="s">
        <v>4181</v>
      </c>
      <c r="E2032" t="s">
        <v>18</v>
      </c>
      <c r="F2032" t="s">
        <v>19</v>
      </c>
      <c r="H2032" s="23" t="e">
        <f>VLOOKUP(A2032,Revisión!$A$2:$L$703,6,FALSE)</f>
        <v>#N/A</v>
      </c>
      <c r="I2032" s="4" t="e">
        <f>VLOOKUP(A2032,Revisión!$A$2:$L$703,7,FALSE)</f>
        <v>#N/A</v>
      </c>
      <c r="J2032" s="4" t="e">
        <f>VLOOKUP(A2032,Revisión!$A$2:$L$703,8,FALSE)</f>
        <v>#N/A</v>
      </c>
      <c r="K2032" s="4" t="e">
        <f>VLOOKUP(A2032,Revisión!$A$2:$L$703,9,FALSE)</f>
        <v>#N/A</v>
      </c>
      <c r="L2032" s="4" t="e">
        <f>VLOOKUP(A2032,Revisión!$A$2:$L$703,10,FALSE)</f>
        <v>#N/A</v>
      </c>
      <c r="M2032" s="18" t="e">
        <f>VLOOKUP(A2032,Revisión!$A$2:$L$703,11,FALSE)</f>
        <v>#N/A</v>
      </c>
      <c r="N2032" s="30" t="str">
        <f>IF(E2032="Coinciden",D2032,IF(E2032="Revisar",VLOOKUP(A2032,Revisión!$A$2:$L$703,12,FALSE),""))</f>
        <v>Silphium perfoliatum</v>
      </c>
    </row>
    <row r="2033" spans="1:14" x14ac:dyDescent="0.3">
      <c r="A2033" t="s">
        <v>4182</v>
      </c>
      <c r="E2033" t="s">
        <v>8</v>
      </c>
      <c r="F2033" t="s">
        <v>11</v>
      </c>
      <c r="H2033" s="23" t="e">
        <f>VLOOKUP(A2033,Revisión!$A$2:$L$703,6,FALSE)</f>
        <v>#N/A</v>
      </c>
      <c r="I2033" s="4" t="e">
        <f>VLOOKUP(A2033,Revisión!$A$2:$L$703,7,FALSE)</f>
        <v>#N/A</v>
      </c>
      <c r="J2033" s="4" t="e">
        <f>VLOOKUP(A2033,Revisión!$A$2:$L$703,8,FALSE)</f>
        <v>#N/A</v>
      </c>
      <c r="K2033" s="4" t="e">
        <f>VLOOKUP(A2033,Revisión!$A$2:$L$703,9,FALSE)</f>
        <v>#N/A</v>
      </c>
      <c r="L2033" s="4" t="e">
        <f>VLOOKUP(A2033,Revisión!$A$2:$L$703,10,FALSE)</f>
        <v>#N/A</v>
      </c>
      <c r="M2033" s="18" t="e">
        <f>VLOOKUP(A2033,Revisión!$A$2:$L$703,11,FALSE)</f>
        <v>#N/A</v>
      </c>
      <c r="N2033" s="30" t="e">
        <f>IF(E2033="Coinciden",D2033,IF(E2033="Revisar",VLOOKUP(A2033,Revisión!$A$2:$L$703,12,FALSE),""))</f>
        <v>#N/A</v>
      </c>
    </row>
    <row r="2034" spans="1:14" x14ac:dyDescent="0.3">
      <c r="A2034" t="s">
        <v>4183</v>
      </c>
      <c r="B2034" t="s">
        <v>4184</v>
      </c>
      <c r="C2034" t="s">
        <v>4184</v>
      </c>
      <c r="D2034" t="s">
        <v>4184</v>
      </c>
      <c r="E2034" t="s">
        <v>18</v>
      </c>
      <c r="F2034" t="s">
        <v>19</v>
      </c>
      <c r="H2034" s="23" t="e">
        <f>VLOOKUP(A2034,Revisión!$A$2:$L$703,6,FALSE)</f>
        <v>#N/A</v>
      </c>
      <c r="I2034" s="4" t="e">
        <f>VLOOKUP(A2034,Revisión!$A$2:$L$703,7,FALSE)</f>
        <v>#N/A</v>
      </c>
      <c r="J2034" s="4" t="e">
        <f>VLOOKUP(A2034,Revisión!$A$2:$L$703,8,FALSE)</f>
        <v>#N/A</v>
      </c>
      <c r="K2034" s="4" t="e">
        <f>VLOOKUP(A2034,Revisión!$A$2:$L$703,9,FALSE)</f>
        <v>#N/A</v>
      </c>
      <c r="L2034" s="4" t="e">
        <f>VLOOKUP(A2034,Revisión!$A$2:$L$703,10,FALSE)</f>
        <v>#N/A</v>
      </c>
      <c r="M2034" s="18" t="e">
        <f>VLOOKUP(A2034,Revisión!$A$2:$L$703,11,FALSE)</f>
        <v>#N/A</v>
      </c>
      <c r="N2034" s="30" t="str">
        <f>IF(E2034="Coinciden",D2034,IF(E2034="Revisar",VLOOKUP(A2034,Revisión!$A$2:$L$703,12,FALSE),""))</f>
        <v>Sipanea galioides</v>
      </c>
    </row>
    <row r="2035" spans="1:14" x14ac:dyDescent="0.3">
      <c r="A2035" t="s">
        <v>4185</v>
      </c>
      <c r="B2035" t="s">
        <v>4186</v>
      </c>
      <c r="C2035" t="s">
        <v>4186</v>
      </c>
      <c r="D2035" t="s">
        <v>4186</v>
      </c>
      <c r="E2035" t="s">
        <v>18</v>
      </c>
      <c r="F2035" t="s">
        <v>19</v>
      </c>
      <c r="H2035" s="23" t="e">
        <f>VLOOKUP(A2035,Revisión!$A$2:$L$703,6,FALSE)</f>
        <v>#N/A</v>
      </c>
      <c r="I2035" s="4" t="e">
        <f>VLOOKUP(A2035,Revisión!$A$2:$L$703,7,FALSE)</f>
        <v>#N/A</v>
      </c>
      <c r="J2035" s="4" t="e">
        <f>VLOOKUP(A2035,Revisión!$A$2:$L$703,8,FALSE)</f>
        <v>#N/A</v>
      </c>
      <c r="K2035" s="4" t="e">
        <f>VLOOKUP(A2035,Revisión!$A$2:$L$703,9,FALSE)</f>
        <v>#N/A</v>
      </c>
      <c r="L2035" s="4" t="e">
        <f>VLOOKUP(A2035,Revisión!$A$2:$L$703,10,FALSE)</f>
        <v>#N/A</v>
      </c>
      <c r="M2035" s="18" t="e">
        <f>VLOOKUP(A2035,Revisión!$A$2:$L$703,11,FALSE)</f>
        <v>#N/A</v>
      </c>
      <c r="N2035" s="30" t="str">
        <f>IF(E2035="Coinciden",D2035,IF(E2035="Revisar",VLOOKUP(A2035,Revisión!$A$2:$L$703,12,FALSE),""))</f>
        <v>Siphanthera cordifolia</v>
      </c>
    </row>
    <row r="2036" spans="1:14" x14ac:dyDescent="0.3">
      <c r="A2036" t="s">
        <v>4187</v>
      </c>
      <c r="B2036" t="s">
        <v>4188</v>
      </c>
      <c r="C2036" t="s">
        <v>4188</v>
      </c>
      <c r="D2036" t="s">
        <v>4188</v>
      </c>
      <c r="E2036" t="s">
        <v>18</v>
      </c>
      <c r="F2036" t="s">
        <v>19</v>
      </c>
      <c r="H2036" s="23" t="e">
        <f>VLOOKUP(A2036,Revisión!$A$2:$L$703,6,FALSE)</f>
        <v>#N/A</v>
      </c>
      <c r="I2036" s="4" t="e">
        <f>VLOOKUP(A2036,Revisión!$A$2:$L$703,7,FALSE)</f>
        <v>#N/A</v>
      </c>
      <c r="J2036" s="4" t="e">
        <f>VLOOKUP(A2036,Revisión!$A$2:$L$703,8,FALSE)</f>
        <v>#N/A</v>
      </c>
      <c r="K2036" s="4" t="e">
        <f>VLOOKUP(A2036,Revisión!$A$2:$L$703,9,FALSE)</f>
        <v>#N/A</v>
      </c>
      <c r="L2036" s="4" t="e">
        <f>VLOOKUP(A2036,Revisión!$A$2:$L$703,10,FALSE)</f>
        <v>#N/A</v>
      </c>
      <c r="M2036" s="18" t="e">
        <f>VLOOKUP(A2036,Revisión!$A$2:$L$703,11,FALSE)</f>
        <v>#N/A</v>
      </c>
      <c r="N2036" s="30" t="str">
        <f>IF(E2036="Coinciden",D2036,IF(E2036="Revisar",VLOOKUP(A2036,Revisión!$A$2:$L$703,12,FALSE),""))</f>
        <v>Sisymbrium orientale</v>
      </c>
    </row>
    <row r="2037" spans="1:14" x14ac:dyDescent="0.3">
      <c r="A2037" t="s">
        <v>4189</v>
      </c>
      <c r="B2037" t="s">
        <v>4190</v>
      </c>
      <c r="D2037" t="s">
        <v>4191</v>
      </c>
      <c r="E2037" t="s">
        <v>8</v>
      </c>
      <c r="F2037" t="s">
        <v>9</v>
      </c>
      <c r="H2037" s="23" t="str">
        <f>VLOOKUP(A2037,Revisión!$A$2:$L$703,6,FALSE)</f>
        <v>Descurainia incisa subsp. incisa</v>
      </c>
      <c r="I2037" s="4" t="str">
        <f>VLOOKUP(A2037,Revisión!$A$2:$L$703,7,FALSE)</f>
        <v>-</v>
      </c>
      <c r="J2037" s="4" t="str">
        <f>VLOOKUP(A2037,Revisión!$A$2:$L$703,8,FALSE)</f>
        <v>Descurainia incisa subsp. incisa</v>
      </c>
      <c r="K2037" s="4" t="str">
        <f>VLOOKUP(A2037,Revisión!$A$2:$L$703,9,FALSE)</f>
        <v>Descurainia incisa subsp. incisa</v>
      </c>
      <c r="L2037" s="4" t="str">
        <f>VLOOKUP(A2037,Revisión!$A$2:$L$703,10,FALSE)</f>
        <v>Descurainia incisa subsp. incisa</v>
      </c>
      <c r="M2037" s="18">
        <f>VLOOKUP(A2037,Revisión!$A$2:$L$703,11,FALSE)</f>
        <v>4</v>
      </c>
      <c r="N2037" s="30" t="str">
        <f>IF(E2037="Coinciden",D2037,IF(E2037="Revisar",VLOOKUP(A2037,Revisión!$A$2:$L$703,12,FALSE),""))</f>
        <v>Descurainia incisa subsp. incisa</v>
      </c>
    </row>
    <row r="2038" spans="1:14" x14ac:dyDescent="0.3">
      <c r="A2038" t="s">
        <v>4192</v>
      </c>
      <c r="B2038" t="s">
        <v>4193</v>
      </c>
      <c r="C2038" t="s">
        <v>4193</v>
      </c>
      <c r="D2038" t="s">
        <v>4193</v>
      </c>
      <c r="E2038" t="s">
        <v>18</v>
      </c>
      <c r="F2038" t="s">
        <v>19</v>
      </c>
      <c r="H2038" s="23" t="e">
        <f>VLOOKUP(A2038,Revisión!$A$2:$L$703,6,FALSE)</f>
        <v>#N/A</v>
      </c>
      <c r="I2038" s="4" t="e">
        <f>VLOOKUP(A2038,Revisión!$A$2:$L$703,7,FALSE)</f>
        <v>#N/A</v>
      </c>
      <c r="J2038" s="4" t="e">
        <f>VLOOKUP(A2038,Revisión!$A$2:$L$703,8,FALSE)</f>
        <v>#N/A</v>
      </c>
      <c r="K2038" s="4" t="e">
        <f>VLOOKUP(A2038,Revisión!$A$2:$L$703,9,FALSE)</f>
        <v>#N/A</v>
      </c>
      <c r="L2038" s="4" t="e">
        <f>VLOOKUP(A2038,Revisión!$A$2:$L$703,10,FALSE)</f>
        <v>#N/A</v>
      </c>
      <c r="M2038" s="18" t="e">
        <f>VLOOKUP(A2038,Revisión!$A$2:$L$703,11,FALSE)</f>
        <v>#N/A</v>
      </c>
      <c r="N2038" s="30" t="str">
        <f>IF(E2038="Coinciden",D2038,IF(E2038="Revisar",VLOOKUP(A2038,Revisión!$A$2:$L$703,12,FALSE),""))</f>
        <v>Sisyranthus trichostomus</v>
      </c>
    </row>
    <row r="2039" spans="1:14" x14ac:dyDescent="0.3">
      <c r="A2039" t="s">
        <v>4194</v>
      </c>
      <c r="B2039" t="s">
        <v>4195</v>
      </c>
      <c r="C2039" t="s">
        <v>4195</v>
      </c>
      <c r="D2039" t="s">
        <v>4195</v>
      </c>
      <c r="E2039" t="s">
        <v>18</v>
      </c>
      <c r="F2039" t="s">
        <v>19</v>
      </c>
      <c r="H2039" s="23" t="e">
        <f>VLOOKUP(A2039,Revisión!$A$2:$L$703,6,FALSE)</f>
        <v>#N/A</v>
      </c>
      <c r="I2039" s="4" t="e">
        <f>VLOOKUP(A2039,Revisión!$A$2:$L$703,7,FALSE)</f>
        <v>#N/A</v>
      </c>
      <c r="J2039" s="4" t="e">
        <f>VLOOKUP(A2039,Revisión!$A$2:$L$703,8,FALSE)</f>
        <v>#N/A</v>
      </c>
      <c r="K2039" s="4" t="e">
        <f>VLOOKUP(A2039,Revisión!$A$2:$L$703,9,FALSE)</f>
        <v>#N/A</v>
      </c>
      <c r="L2039" s="4" t="e">
        <f>VLOOKUP(A2039,Revisión!$A$2:$L$703,10,FALSE)</f>
        <v>#N/A</v>
      </c>
      <c r="M2039" s="18" t="e">
        <f>VLOOKUP(A2039,Revisión!$A$2:$L$703,11,FALSE)</f>
        <v>#N/A</v>
      </c>
      <c r="N2039" s="30" t="str">
        <f>IF(E2039="Coinciden",D2039,IF(E2039="Revisar",VLOOKUP(A2039,Revisión!$A$2:$L$703,12,FALSE),""))</f>
        <v>Sisyrinchium angustifolium</v>
      </c>
    </row>
    <row r="2040" spans="1:14" x14ac:dyDescent="0.3">
      <c r="A2040" t="s">
        <v>4196</v>
      </c>
      <c r="B2040" t="s">
        <v>4197</v>
      </c>
      <c r="C2040" t="s">
        <v>4197</v>
      </c>
      <c r="D2040" t="s">
        <v>4197</v>
      </c>
      <c r="E2040" t="s">
        <v>18</v>
      </c>
      <c r="F2040" t="s">
        <v>19</v>
      </c>
      <c r="H2040" s="23" t="e">
        <f>VLOOKUP(A2040,Revisión!$A$2:$L$703,6,FALSE)</f>
        <v>#N/A</v>
      </c>
      <c r="I2040" s="4" t="e">
        <f>VLOOKUP(A2040,Revisión!$A$2:$L$703,7,FALSE)</f>
        <v>#N/A</v>
      </c>
      <c r="J2040" s="4" t="e">
        <f>VLOOKUP(A2040,Revisión!$A$2:$L$703,8,FALSE)</f>
        <v>#N/A</v>
      </c>
      <c r="K2040" s="4" t="e">
        <f>VLOOKUP(A2040,Revisión!$A$2:$L$703,9,FALSE)</f>
        <v>#N/A</v>
      </c>
      <c r="L2040" s="4" t="e">
        <f>VLOOKUP(A2040,Revisión!$A$2:$L$703,10,FALSE)</f>
        <v>#N/A</v>
      </c>
      <c r="M2040" s="18" t="e">
        <f>VLOOKUP(A2040,Revisión!$A$2:$L$703,11,FALSE)</f>
        <v>#N/A</v>
      </c>
      <c r="N2040" s="30" t="str">
        <f>IF(E2040="Coinciden",D2040,IF(E2040="Revisar",VLOOKUP(A2040,Revisión!$A$2:$L$703,12,FALSE),""))</f>
        <v>Olsynium philippii</v>
      </c>
    </row>
    <row r="2041" spans="1:14" x14ac:dyDescent="0.3">
      <c r="A2041" t="s">
        <v>4198</v>
      </c>
      <c r="B2041" t="s">
        <v>4199</v>
      </c>
      <c r="C2041" t="s">
        <v>4199</v>
      </c>
      <c r="D2041" t="s">
        <v>4199</v>
      </c>
      <c r="E2041" t="s">
        <v>18</v>
      </c>
      <c r="F2041" t="s">
        <v>19</v>
      </c>
      <c r="H2041" s="23" t="e">
        <f>VLOOKUP(A2041,Revisión!$A$2:$L$703,6,FALSE)</f>
        <v>#N/A</v>
      </c>
      <c r="I2041" s="4" t="e">
        <f>VLOOKUP(A2041,Revisión!$A$2:$L$703,7,FALSE)</f>
        <v>#N/A</v>
      </c>
      <c r="J2041" s="4" t="e">
        <f>VLOOKUP(A2041,Revisión!$A$2:$L$703,8,FALSE)</f>
        <v>#N/A</v>
      </c>
      <c r="K2041" s="4" t="e">
        <f>VLOOKUP(A2041,Revisión!$A$2:$L$703,9,FALSE)</f>
        <v>#N/A</v>
      </c>
      <c r="L2041" s="4" t="e">
        <f>VLOOKUP(A2041,Revisión!$A$2:$L$703,10,FALSE)</f>
        <v>#N/A</v>
      </c>
      <c r="M2041" s="18" t="e">
        <f>VLOOKUP(A2041,Revisión!$A$2:$L$703,11,FALSE)</f>
        <v>#N/A</v>
      </c>
      <c r="N2041" s="30" t="str">
        <f>IF(E2041="Coinciden",D2041,IF(E2041="Revisar",VLOOKUP(A2041,Revisión!$A$2:$L$703,12,FALSE),""))</f>
        <v>Sisyrinchium arenarium</v>
      </c>
    </row>
    <row r="2042" spans="1:14" x14ac:dyDescent="0.3">
      <c r="A2042" t="s">
        <v>4200</v>
      </c>
      <c r="B2042" t="s">
        <v>4201</v>
      </c>
      <c r="C2042" t="s">
        <v>4201</v>
      </c>
      <c r="D2042" t="s">
        <v>4201</v>
      </c>
      <c r="E2042" t="s">
        <v>18</v>
      </c>
      <c r="F2042" t="s">
        <v>19</v>
      </c>
      <c r="H2042" s="23" t="e">
        <f>VLOOKUP(A2042,Revisión!$A$2:$L$703,6,FALSE)</f>
        <v>#N/A</v>
      </c>
      <c r="I2042" s="4" t="e">
        <f>VLOOKUP(A2042,Revisión!$A$2:$L$703,7,FALSE)</f>
        <v>#N/A</v>
      </c>
      <c r="J2042" s="4" t="e">
        <f>VLOOKUP(A2042,Revisión!$A$2:$L$703,8,FALSE)</f>
        <v>#N/A</v>
      </c>
      <c r="K2042" s="4" t="e">
        <f>VLOOKUP(A2042,Revisión!$A$2:$L$703,9,FALSE)</f>
        <v>#N/A</v>
      </c>
      <c r="L2042" s="4" t="e">
        <f>VLOOKUP(A2042,Revisión!$A$2:$L$703,10,FALSE)</f>
        <v>#N/A</v>
      </c>
      <c r="M2042" s="18" t="e">
        <f>VLOOKUP(A2042,Revisión!$A$2:$L$703,11,FALSE)</f>
        <v>#N/A</v>
      </c>
      <c r="N2042" s="30" t="str">
        <f>IF(E2042="Coinciden",D2042,IF(E2042="Revisar",VLOOKUP(A2042,Revisión!$A$2:$L$703,12,FALSE),""))</f>
        <v>Sisyrinchium micranthum</v>
      </c>
    </row>
    <row r="2043" spans="1:14" x14ac:dyDescent="0.3">
      <c r="A2043" t="s">
        <v>4202</v>
      </c>
      <c r="B2043" t="s">
        <v>4195</v>
      </c>
      <c r="D2043" t="s">
        <v>4195</v>
      </c>
      <c r="E2043" t="s">
        <v>8</v>
      </c>
      <c r="F2043" t="s">
        <v>34</v>
      </c>
      <c r="H2043" s="23" t="str">
        <f>VLOOKUP(A2043,Revisión!$A$2:$L$703,6,FALSE)</f>
        <v>Sisyrinchium angustifolium</v>
      </c>
      <c r="I2043" s="4" t="str">
        <f>VLOOKUP(A2043,Revisión!$A$2:$L$703,7,FALSE)</f>
        <v>-</v>
      </c>
      <c r="J2043" s="4" t="str">
        <f>VLOOKUP(A2043,Revisión!$A$2:$L$703,8,FALSE)</f>
        <v>Sisyrinchium angustifolium</v>
      </c>
      <c r="K2043" s="4" t="str">
        <f>VLOOKUP(A2043,Revisión!$A$2:$L$703,9,FALSE)</f>
        <v>Sisyrinchium angustifolium</v>
      </c>
      <c r="L2043" s="4" t="str">
        <f>VLOOKUP(A2043,Revisión!$A$2:$L$703,10,FALSE)</f>
        <v>Sisyrinchium angustifolium</v>
      </c>
      <c r="M2043" s="18">
        <f>VLOOKUP(A2043,Revisión!$A$2:$L$703,11,FALSE)</f>
        <v>5</v>
      </c>
      <c r="N2043" s="30" t="str">
        <f>IF(E2043="Coinciden",D2043,IF(E2043="Revisar",VLOOKUP(A2043,Revisión!$A$2:$L$703,12,FALSE),""))</f>
        <v>Sisyrinchium angustifolium</v>
      </c>
    </row>
    <row r="2044" spans="1:14" x14ac:dyDescent="0.3">
      <c r="A2044" t="s">
        <v>4203</v>
      </c>
      <c r="B2044" t="s">
        <v>4204</v>
      </c>
      <c r="C2044" t="s">
        <v>4204</v>
      </c>
      <c r="D2044" t="s">
        <v>4204</v>
      </c>
      <c r="E2044" t="s">
        <v>18</v>
      </c>
      <c r="F2044" t="s">
        <v>19</v>
      </c>
      <c r="H2044" s="23" t="e">
        <f>VLOOKUP(A2044,Revisión!$A$2:$L$703,6,FALSE)</f>
        <v>#N/A</v>
      </c>
      <c r="I2044" s="4" t="e">
        <f>VLOOKUP(A2044,Revisión!$A$2:$L$703,7,FALSE)</f>
        <v>#N/A</v>
      </c>
      <c r="J2044" s="4" t="e">
        <f>VLOOKUP(A2044,Revisión!$A$2:$L$703,8,FALSE)</f>
        <v>#N/A</v>
      </c>
      <c r="K2044" s="4" t="e">
        <f>VLOOKUP(A2044,Revisión!$A$2:$L$703,9,FALSE)</f>
        <v>#N/A</v>
      </c>
      <c r="L2044" s="4" t="e">
        <f>VLOOKUP(A2044,Revisión!$A$2:$L$703,10,FALSE)</f>
        <v>#N/A</v>
      </c>
      <c r="M2044" s="18" t="e">
        <f>VLOOKUP(A2044,Revisión!$A$2:$L$703,11,FALSE)</f>
        <v>#N/A</v>
      </c>
      <c r="N2044" s="30" t="str">
        <f>IF(E2044="Coinciden",D2044,IF(E2044="Revisar",VLOOKUP(A2044,Revisión!$A$2:$L$703,12,FALSE),""))</f>
        <v>Olsynium junceum</v>
      </c>
    </row>
    <row r="2045" spans="1:14" x14ac:dyDescent="0.3">
      <c r="A2045" t="s">
        <v>4205</v>
      </c>
      <c r="B2045" t="s">
        <v>4206</v>
      </c>
      <c r="C2045" t="s">
        <v>4206</v>
      </c>
      <c r="D2045" t="s">
        <v>4206</v>
      </c>
      <c r="E2045" t="s">
        <v>18</v>
      </c>
      <c r="F2045" t="s">
        <v>19</v>
      </c>
      <c r="H2045" s="23" t="e">
        <f>VLOOKUP(A2045,Revisión!$A$2:$L$703,6,FALSE)</f>
        <v>#N/A</v>
      </c>
      <c r="I2045" s="4" t="e">
        <f>VLOOKUP(A2045,Revisión!$A$2:$L$703,7,FALSE)</f>
        <v>#N/A</v>
      </c>
      <c r="J2045" s="4" t="e">
        <f>VLOOKUP(A2045,Revisión!$A$2:$L$703,8,FALSE)</f>
        <v>#N/A</v>
      </c>
      <c r="K2045" s="4" t="e">
        <f>VLOOKUP(A2045,Revisión!$A$2:$L$703,9,FALSE)</f>
        <v>#N/A</v>
      </c>
      <c r="L2045" s="4" t="e">
        <f>VLOOKUP(A2045,Revisión!$A$2:$L$703,10,FALSE)</f>
        <v>#N/A</v>
      </c>
      <c r="M2045" s="18" t="e">
        <f>VLOOKUP(A2045,Revisión!$A$2:$L$703,11,FALSE)</f>
        <v>#N/A</v>
      </c>
      <c r="N2045" s="30" t="str">
        <f>IF(E2045="Coinciden",D2045,IF(E2045="Revisar",VLOOKUP(A2045,Revisión!$A$2:$L$703,12,FALSE),""))</f>
        <v>Sium suave</v>
      </c>
    </row>
    <row r="2046" spans="1:14" x14ac:dyDescent="0.3">
      <c r="A2046" t="s">
        <v>4207</v>
      </c>
      <c r="B2046" t="s">
        <v>4208</v>
      </c>
      <c r="C2046" t="s">
        <v>4208</v>
      </c>
      <c r="D2046" t="s">
        <v>4208</v>
      </c>
      <c r="E2046" t="s">
        <v>18</v>
      </c>
      <c r="F2046" t="s">
        <v>19</v>
      </c>
      <c r="H2046" s="23" t="e">
        <f>VLOOKUP(A2046,Revisión!$A$2:$L$703,6,FALSE)</f>
        <v>#N/A</v>
      </c>
      <c r="I2046" s="4" t="e">
        <f>VLOOKUP(A2046,Revisión!$A$2:$L$703,7,FALSE)</f>
        <v>#N/A</v>
      </c>
      <c r="J2046" s="4" t="e">
        <f>VLOOKUP(A2046,Revisión!$A$2:$L$703,8,FALSE)</f>
        <v>#N/A</v>
      </c>
      <c r="K2046" s="4" t="e">
        <f>VLOOKUP(A2046,Revisión!$A$2:$L$703,9,FALSE)</f>
        <v>#N/A</v>
      </c>
      <c r="L2046" s="4" t="e">
        <f>VLOOKUP(A2046,Revisión!$A$2:$L$703,10,FALSE)</f>
        <v>#N/A</v>
      </c>
      <c r="M2046" s="18" t="e">
        <f>VLOOKUP(A2046,Revisión!$A$2:$L$703,11,FALSE)</f>
        <v>#N/A</v>
      </c>
      <c r="N2046" s="30" t="str">
        <f>IF(E2046="Coinciden",D2046,IF(E2046="Revisar",VLOOKUP(A2046,Revisión!$A$2:$L$703,12,FALSE),""))</f>
        <v>Maianthemum racemosum</v>
      </c>
    </row>
    <row r="2047" spans="1:14" x14ac:dyDescent="0.3">
      <c r="A2047" t="s">
        <v>4209</v>
      </c>
      <c r="B2047" t="s">
        <v>4210</v>
      </c>
      <c r="C2047" t="s">
        <v>4210</v>
      </c>
      <c r="D2047" t="s">
        <v>4210</v>
      </c>
      <c r="E2047" t="s">
        <v>18</v>
      </c>
      <c r="F2047" t="s">
        <v>19</v>
      </c>
      <c r="H2047" s="23" t="e">
        <f>VLOOKUP(A2047,Revisión!$A$2:$L$703,6,FALSE)</f>
        <v>#N/A</v>
      </c>
      <c r="I2047" s="4" t="e">
        <f>VLOOKUP(A2047,Revisión!$A$2:$L$703,7,FALSE)</f>
        <v>#N/A</v>
      </c>
      <c r="J2047" s="4" t="e">
        <f>VLOOKUP(A2047,Revisión!$A$2:$L$703,8,FALSE)</f>
        <v>#N/A</v>
      </c>
      <c r="K2047" s="4" t="e">
        <f>VLOOKUP(A2047,Revisión!$A$2:$L$703,9,FALSE)</f>
        <v>#N/A</v>
      </c>
      <c r="L2047" s="4" t="e">
        <f>VLOOKUP(A2047,Revisión!$A$2:$L$703,10,FALSE)</f>
        <v>#N/A</v>
      </c>
      <c r="M2047" s="18" t="e">
        <f>VLOOKUP(A2047,Revisión!$A$2:$L$703,11,FALSE)</f>
        <v>#N/A</v>
      </c>
      <c r="N2047" s="30" t="str">
        <f>IF(E2047="Coinciden",D2047,IF(E2047="Revisar",VLOOKUP(A2047,Revisión!$A$2:$L$703,12,FALSE),""))</f>
        <v>Maianthemum stellatum</v>
      </c>
    </row>
    <row r="2048" spans="1:14" x14ac:dyDescent="0.3">
      <c r="A2048" t="s">
        <v>4211</v>
      </c>
      <c r="B2048" t="s">
        <v>4212</v>
      </c>
      <c r="C2048" t="s">
        <v>4212</v>
      </c>
      <c r="D2048" t="s">
        <v>4212</v>
      </c>
      <c r="E2048" t="s">
        <v>18</v>
      </c>
      <c r="F2048" t="s">
        <v>19</v>
      </c>
      <c r="H2048" s="23" t="e">
        <f>VLOOKUP(A2048,Revisión!$A$2:$L$703,6,FALSE)</f>
        <v>#N/A</v>
      </c>
      <c r="I2048" s="4" t="e">
        <f>VLOOKUP(A2048,Revisión!$A$2:$L$703,7,FALSE)</f>
        <v>#N/A</v>
      </c>
      <c r="J2048" s="4" t="e">
        <f>VLOOKUP(A2048,Revisión!$A$2:$L$703,8,FALSE)</f>
        <v>#N/A</v>
      </c>
      <c r="K2048" s="4" t="e">
        <f>VLOOKUP(A2048,Revisión!$A$2:$L$703,9,FALSE)</f>
        <v>#N/A</v>
      </c>
      <c r="L2048" s="4" t="e">
        <f>VLOOKUP(A2048,Revisión!$A$2:$L$703,10,FALSE)</f>
        <v>#N/A</v>
      </c>
      <c r="M2048" s="18" t="e">
        <f>VLOOKUP(A2048,Revisión!$A$2:$L$703,11,FALSE)</f>
        <v>#N/A</v>
      </c>
      <c r="N2048" s="30" t="str">
        <f>IF(E2048="Coinciden",D2048,IF(E2048="Revisar",VLOOKUP(A2048,Revisión!$A$2:$L$703,12,FALSE),""))</f>
        <v>Maianthemum trifolium</v>
      </c>
    </row>
    <row r="2049" spans="1:14" x14ac:dyDescent="0.3">
      <c r="A2049" t="s">
        <v>4213</v>
      </c>
      <c r="B2049" t="s">
        <v>4214</v>
      </c>
      <c r="C2049" t="s">
        <v>4214</v>
      </c>
      <c r="D2049" t="s">
        <v>4214</v>
      </c>
      <c r="E2049" t="s">
        <v>18</v>
      </c>
      <c r="F2049" t="s">
        <v>19</v>
      </c>
      <c r="H2049" s="23" t="e">
        <f>VLOOKUP(A2049,Revisión!$A$2:$L$703,6,FALSE)</f>
        <v>#N/A</v>
      </c>
      <c r="I2049" s="4" t="e">
        <f>VLOOKUP(A2049,Revisión!$A$2:$L$703,7,FALSE)</f>
        <v>#N/A</v>
      </c>
      <c r="J2049" s="4" t="e">
        <f>VLOOKUP(A2049,Revisión!$A$2:$L$703,8,FALSE)</f>
        <v>#N/A</v>
      </c>
      <c r="K2049" s="4" t="e">
        <f>VLOOKUP(A2049,Revisión!$A$2:$L$703,9,FALSE)</f>
        <v>#N/A</v>
      </c>
      <c r="L2049" s="4" t="e">
        <f>VLOOKUP(A2049,Revisión!$A$2:$L$703,10,FALSE)</f>
        <v>#N/A</v>
      </c>
      <c r="M2049" s="18" t="e">
        <f>VLOOKUP(A2049,Revisión!$A$2:$L$703,11,FALSE)</f>
        <v>#N/A</v>
      </c>
      <c r="N2049" s="30" t="str">
        <f>IF(E2049="Coinciden",D2049,IF(E2049="Revisar",VLOOKUP(A2049,Revisión!$A$2:$L$703,12,FALSE),""))</f>
        <v>Smilax anceps</v>
      </c>
    </row>
    <row r="2050" spans="1:14" x14ac:dyDescent="0.3">
      <c r="A2050" t="s">
        <v>4215</v>
      </c>
      <c r="B2050" t="s">
        <v>4216</v>
      </c>
      <c r="D2050" t="s">
        <v>4216</v>
      </c>
      <c r="E2050" t="s">
        <v>8</v>
      </c>
      <c r="F2050" t="s">
        <v>34</v>
      </c>
      <c r="H2050" s="23" t="str">
        <f>VLOOKUP(A2050,Revisión!$A$2:$L$703,6,FALSE)</f>
        <v>Smilax herbacea</v>
      </c>
      <c r="I2050" s="4" t="str">
        <f>VLOOKUP(A2050,Revisión!$A$2:$L$703,7,FALSE)</f>
        <v>-</v>
      </c>
      <c r="J2050" s="4" t="str">
        <f>VLOOKUP(A2050,Revisión!$A$2:$L$703,8,FALSE)</f>
        <v>Smilax herbacea</v>
      </c>
      <c r="K2050" s="4" t="str">
        <f>VLOOKUP(A2050,Revisión!$A$2:$L$703,9,FALSE)</f>
        <v>Smilax herbacea</v>
      </c>
      <c r="L2050" s="4" t="str">
        <f>VLOOKUP(A2050,Revisión!$A$2:$L$703,10,FALSE)</f>
        <v>Smilax herbacea</v>
      </c>
      <c r="M2050" s="18">
        <f>VLOOKUP(A2050,Revisión!$A$2:$L$703,11,FALSE)</f>
        <v>5</v>
      </c>
      <c r="N2050" s="30" t="str">
        <f>IF(E2050="Coinciden",D2050,IF(E2050="Revisar",VLOOKUP(A2050,Revisión!$A$2:$L$703,12,FALSE),""))</f>
        <v>Smilax herbacea</v>
      </c>
    </row>
    <row r="2051" spans="1:14" x14ac:dyDescent="0.3">
      <c r="A2051" t="s">
        <v>4217</v>
      </c>
      <c r="B2051" t="s">
        <v>4218</v>
      </c>
      <c r="C2051" t="s">
        <v>4218</v>
      </c>
      <c r="D2051" t="s">
        <v>4218</v>
      </c>
      <c r="E2051" t="s">
        <v>18</v>
      </c>
      <c r="F2051" t="s">
        <v>19</v>
      </c>
      <c r="H2051" s="23" t="e">
        <f>VLOOKUP(A2051,Revisión!$A$2:$L$703,6,FALSE)</f>
        <v>#N/A</v>
      </c>
      <c r="I2051" s="4" t="e">
        <f>VLOOKUP(A2051,Revisión!$A$2:$L$703,7,FALSE)</f>
        <v>#N/A</v>
      </c>
      <c r="J2051" s="4" t="e">
        <f>VLOOKUP(A2051,Revisión!$A$2:$L$703,8,FALSE)</f>
        <v>#N/A</v>
      </c>
      <c r="K2051" s="4" t="e">
        <f>VLOOKUP(A2051,Revisión!$A$2:$L$703,9,FALSE)</f>
        <v>#N/A</v>
      </c>
      <c r="L2051" s="4" t="e">
        <f>VLOOKUP(A2051,Revisión!$A$2:$L$703,10,FALSE)</f>
        <v>#N/A</v>
      </c>
      <c r="M2051" s="18" t="e">
        <f>VLOOKUP(A2051,Revisión!$A$2:$L$703,11,FALSE)</f>
        <v>#N/A</v>
      </c>
      <c r="N2051" s="30" t="str">
        <f>IF(E2051="Coinciden",D2051,IF(E2051="Revisar",VLOOKUP(A2051,Revisión!$A$2:$L$703,12,FALSE),""))</f>
        <v>Smilax aspera</v>
      </c>
    </row>
    <row r="2052" spans="1:14" x14ac:dyDescent="0.3">
      <c r="A2052" t="s">
        <v>4219</v>
      </c>
      <c r="B2052" t="s">
        <v>4220</v>
      </c>
      <c r="C2052" t="s">
        <v>4221</v>
      </c>
      <c r="D2052" t="s">
        <v>4221</v>
      </c>
      <c r="E2052" t="s">
        <v>8</v>
      </c>
      <c r="F2052" t="s">
        <v>23</v>
      </c>
      <c r="H2052" s="23" t="str">
        <f>VLOOKUP(A2052,Revisión!$A$2:$L$703,6,FALSE)</f>
        <v>Smilax tamnoides</v>
      </c>
      <c r="I2052" s="4" t="str">
        <f>VLOOKUP(A2052,Revisión!$A$2:$L$703,7,FALSE)</f>
        <v>-</v>
      </c>
      <c r="J2052" s="4" t="str">
        <f>VLOOKUP(A2052,Revisión!$A$2:$L$703,8,FALSE)</f>
        <v>Smilax tamnoides</v>
      </c>
      <c r="K2052" s="4" t="str">
        <f>VLOOKUP(A2052,Revisión!$A$2:$L$703,9,FALSE)</f>
        <v>Smilax tamnoides</v>
      </c>
      <c r="L2052" s="4" t="str">
        <f>VLOOKUP(A2052,Revisión!$A$2:$L$703,10,FALSE)</f>
        <v>Smilax tamnoides</v>
      </c>
      <c r="M2052" s="18">
        <f>VLOOKUP(A2052,Revisión!$A$2:$L$703,11,FALSE)</f>
        <v>4</v>
      </c>
      <c r="N2052" s="30" t="str">
        <f>IF(E2052="Coinciden",D2052,IF(E2052="Revisar",VLOOKUP(A2052,Revisión!$A$2:$L$703,12,FALSE),""))</f>
        <v>Smilax tamnoides</v>
      </c>
    </row>
    <row r="2053" spans="1:14" x14ac:dyDescent="0.3">
      <c r="A2053" t="s">
        <v>4222</v>
      </c>
      <c r="B2053" t="s">
        <v>4223</v>
      </c>
      <c r="C2053" t="s">
        <v>4223</v>
      </c>
      <c r="D2053" t="s">
        <v>4223</v>
      </c>
      <c r="E2053" t="s">
        <v>18</v>
      </c>
      <c r="F2053" t="s">
        <v>19</v>
      </c>
      <c r="H2053" s="23" t="e">
        <f>VLOOKUP(A2053,Revisión!$A$2:$L$703,6,FALSE)</f>
        <v>#N/A</v>
      </c>
      <c r="I2053" s="4" t="e">
        <f>VLOOKUP(A2053,Revisión!$A$2:$L$703,7,FALSE)</f>
        <v>#N/A</v>
      </c>
      <c r="J2053" s="4" t="e">
        <f>VLOOKUP(A2053,Revisión!$A$2:$L$703,8,FALSE)</f>
        <v>#N/A</v>
      </c>
      <c r="K2053" s="4" t="e">
        <f>VLOOKUP(A2053,Revisión!$A$2:$L$703,9,FALSE)</f>
        <v>#N/A</v>
      </c>
      <c r="L2053" s="4" t="e">
        <f>VLOOKUP(A2053,Revisión!$A$2:$L$703,10,FALSE)</f>
        <v>#N/A</v>
      </c>
      <c r="M2053" s="18" t="e">
        <f>VLOOKUP(A2053,Revisión!$A$2:$L$703,11,FALSE)</f>
        <v>#N/A</v>
      </c>
      <c r="N2053" s="30" t="str">
        <f>IF(E2053="Coinciden",D2053,IF(E2053="Revisar",VLOOKUP(A2053,Revisión!$A$2:$L$703,12,FALSE),""))</f>
        <v>Sobralia liliastrum</v>
      </c>
    </row>
    <row r="2054" spans="1:14" x14ac:dyDescent="0.3">
      <c r="A2054" t="s">
        <v>4224</v>
      </c>
      <c r="B2054" t="s">
        <v>4225</v>
      </c>
      <c r="C2054" t="s">
        <v>4225</v>
      </c>
      <c r="D2054" t="s">
        <v>4225</v>
      </c>
      <c r="E2054" t="s">
        <v>18</v>
      </c>
      <c r="F2054" t="s">
        <v>19</v>
      </c>
      <c r="H2054" s="23" t="e">
        <f>VLOOKUP(A2054,Revisión!$A$2:$L$703,6,FALSE)</f>
        <v>#N/A</v>
      </c>
      <c r="I2054" s="4" t="e">
        <f>VLOOKUP(A2054,Revisión!$A$2:$L$703,7,FALSE)</f>
        <v>#N/A</v>
      </c>
      <c r="J2054" s="4" t="e">
        <f>VLOOKUP(A2054,Revisión!$A$2:$L$703,8,FALSE)</f>
        <v>#N/A</v>
      </c>
      <c r="K2054" s="4" t="e">
        <f>VLOOKUP(A2054,Revisión!$A$2:$L$703,9,FALSE)</f>
        <v>#N/A</v>
      </c>
      <c r="L2054" s="4" t="e">
        <f>VLOOKUP(A2054,Revisión!$A$2:$L$703,10,FALSE)</f>
        <v>#N/A</v>
      </c>
      <c r="M2054" s="18" t="e">
        <f>VLOOKUP(A2054,Revisión!$A$2:$L$703,11,FALSE)</f>
        <v>#N/A</v>
      </c>
      <c r="N2054" s="30" t="str">
        <f>IF(E2054="Coinciden",D2054,IF(E2054="Revisar",VLOOKUP(A2054,Revisión!$A$2:$L$703,12,FALSE),""))</f>
        <v>Solanum carolinense</v>
      </c>
    </row>
    <row r="2055" spans="1:14" x14ac:dyDescent="0.3">
      <c r="A2055" t="s">
        <v>4226</v>
      </c>
      <c r="B2055" t="s">
        <v>4227</v>
      </c>
      <c r="D2055" t="s">
        <v>4227</v>
      </c>
      <c r="E2055" t="s">
        <v>8</v>
      </c>
      <c r="F2055" t="s">
        <v>34</v>
      </c>
      <c r="H2055" s="23" t="str">
        <f>VLOOKUP(A2055,Revisión!$A$2:$L$703,6,FALSE)</f>
        <v>Solanum melongena</v>
      </c>
      <c r="I2055" s="4" t="str">
        <f>VLOOKUP(A2055,Revisión!$A$2:$L$703,7,FALSE)</f>
        <v>-</v>
      </c>
      <c r="J2055" s="4" t="str">
        <f>VLOOKUP(A2055,Revisión!$A$2:$L$703,8,FALSE)</f>
        <v>Solanum melongena</v>
      </c>
      <c r="K2055" s="4" t="str">
        <f>VLOOKUP(A2055,Revisión!$A$2:$L$703,9,FALSE)</f>
        <v>Solanum melongena</v>
      </c>
      <c r="L2055" s="4" t="str">
        <f>VLOOKUP(A2055,Revisión!$A$2:$L$703,10,FALSE)</f>
        <v>Solanum melongena</v>
      </c>
      <c r="M2055" s="18">
        <f>VLOOKUP(A2055,Revisión!$A$2:$L$703,11,FALSE)</f>
        <v>5</v>
      </c>
      <c r="N2055" s="30" t="str">
        <f>IF(E2055="Coinciden",D2055,IF(E2055="Revisar",VLOOKUP(A2055,Revisión!$A$2:$L$703,12,FALSE),""))</f>
        <v>Solanum melongena</v>
      </c>
    </row>
    <row r="2056" spans="1:14" x14ac:dyDescent="0.3">
      <c r="A2056" t="s">
        <v>4228</v>
      </c>
      <c r="B2056" t="s">
        <v>4229</v>
      </c>
      <c r="C2056" t="s">
        <v>4229</v>
      </c>
      <c r="D2056" t="s">
        <v>4229</v>
      </c>
      <c r="E2056" t="s">
        <v>18</v>
      </c>
      <c r="F2056" t="s">
        <v>19</v>
      </c>
      <c r="H2056" s="23" t="e">
        <f>VLOOKUP(A2056,Revisión!$A$2:$L$703,6,FALSE)</f>
        <v>#N/A</v>
      </c>
      <c r="I2056" s="4" t="e">
        <f>VLOOKUP(A2056,Revisión!$A$2:$L$703,7,FALSE)</f>
        <v>#N/A</v>
      </c>
      <c r="J2056" s="4" t="e">
        <f>VLOOKUP(A2056,Revisión!$A$2:$L$703,8,FALSE)</f>
        <v>#N/A</v>
      </c>
      <c r="K2056" s="4" t="e">
        <f>VLOOKUP(A2056,Revisión!$A$2:$L$703,9,FALSE)</f>
        <v>#N/A</v>
      </c>
      <c r="L2056" s="4" t="e">
        <f>VLOOKUP(A2056,Revisión!$A$2:$L$703,10,FALSE)</f>
        <v>#N/A</v>
      </c>
      <c r="M2056" s="18" t="e">
        <f>VLOOKUP(A2056,Revisión!$A$2:$L$703,11,FALSE)</f>
        <v>#N/A</v>
      </c>
      <c r="N2056" s="30" t="str">
        <f>IF(E2056="Coinciden",D2056,IF(E2056="Revisar",VLOOKUP(A2056,Revisión!$A$2:$L$703,12,FALSE),""))</f>
        <v>Solanum chacoense</v>
      </c>
    </row>
    <row r="2057" spans="1:14" x14ac:dyDescent="0.3">
      <c r="A2057" t="s">
        <v>4230</v>
      </c>
      <c r="B2057" t="s">
        <v>4231</v>
      </c>
      <c r="C2057" t="s">
        <v>4231</v>
      </c>
      <c r="D2057" t="s">
        <v>4231</v>
      </c>
      <c r="E2057" t="s">
        <v>18</v>
      </c>
      <c r="F2057" t="s">
        <v>19</v>
      </c>
      <c r="H2057" s="23" t="e">
        <f>VLOOKUP(A2057,Revisión!$A$2:$L$703,6,FALSE)</f>
        <v>#N/A</v>
      </c>
      <c r="I2057" s="4" t="e">
        <f>VLOOKUP(A2057,Revisión!$A$2:$L$703,7,FALSE)</f>
        <v>#N/A</v>
      </c>
      <c r="J2057" s="4" t="e">
        <f>VLOOKUP(A2057,Revisión!$A$2:$L$703,8,FALSE)</f>
        <v>#N/A</v>
      </c>
      <c r="K2057" s="4" t="e">
        <f>VLOOKUP(A2057,Revisión!$A$2:$L$703,9,FALSE)</f>
        <v>#N/A</v>
      </c>
      <c r="L2057" s="4" t="e">
        <f>VLOOKUP(A2057,Revisión!$A$2:$L$703,10,FALSE)</f>
        <v>#N/A</v>
      </c>
      <c r="M2057" s="18" t="e">
        <f>VLOOKUP(A2057,Revisión!$A$2:$L$703,11,FALSE)</f>
        <v>#N/A</v>
      </c>
      <c r="N2057" s="30" t="str">
        <f>IF(E2057="Coinciden",D2057,IF(E2057="Revisar",VLOOKUP(A2057,Revisión!$A$2:$L$703,12,FALSE),""))</f>
        <v>Solanum crispum</v>
      </c>
    </row>
    <row r="2058" spans="1:14" x14ac:dyDescent="0.3">
      <c r="A2058" t="s">
        <v>4232</v>
      </c>
      <c r="B2058" t="s">
        <v>4233</v>
      </c>
      <c r="C2058" t="s">
        <v>4233</v>
      </c>
      <c r="D2058" t="s">
        <v>4233</v>
      </c>
      <c r="E2058" t="s">
        <v>18</v>
      </c>
      <c r="F2058" t="s">
        <v>19</v>
      </c>
      <c r="H2058" s="23" t="e">
        <f>VLOOKUP(A2058,Revisión!$A$2:$L$703,6,FALSE)</f>
        <v>#N/A</v>
      </c>
      <c r="I2058" s="4" t="e">
        <f>VLOOKUP(A2058,Revisión!$A$2:$L$703,7,FALSE)</f>
        <v>#N/A</v>
      </c>
      <c r="J2058" s="4" t="e">
        <f>VLOOKUP(A2058,Revisión!$A$2:$L$703,8,FALSE)</f>
        <v>#N/A</v>
      </c>
      <c r="K2058" s="4" t="e">
        <f>VLOOKUP(A2058,Revisión!$A$2:$L$703,9,FALSE)</f>
        <v>#N/A</v>
      </c>
      <c r="L2058" s="4" t="e">
        <f>VLOOKUP(A2058,Revisión!$A$2:$L$703,10,FALSE)</f>
        <v>#N/A</v>
      </c>
      <c r="M2058" s="18" t="e">
        <f>VLOOKUP(A2058,Revisión!$A$2:$L$703,11,FALSE)</f>
        <v>#N/A</v>
      </c>
      <c r="N2058" s="30" t="str">
        <f>IF(E2058="Coinciden",D2058,IF(E2058="Revisar",VLOOKUP(A2058,Revisión!$A$2:$L$703,12,FALSE),""))</f>
        <v>Solanum nigrum</v>
      </c>
    </row>
    <row r="2059" spans="1:14" x14ac:dyDescent="0.3">
      <c r="A2059" t="s">
        <v>4234</v>
      </c>
      <c r="B2059" t="s">
        <v>4235</v>
      </c>
      <c r="D2059" t="s">
        <v>4236</v>
      </c>
      <c r="E2059" t="s">
        <v>8</v>
      </c>
      <c r="F2059" t="s">
        <v>9</v>
      </c>
      <c r="H2059" s="23" t="str">
        <f>VLOOKUP(A2059,Revisión!$A$2:$L$703,6,FALSE)</f>
        <v>Solanum angustifolium</v>
      </c>
      <c r="I2059" s="4" t="str">
        <f>VLOOKUP(A2059,Revisión!$A$2:$L$703,7,FALSE)</f>
        <v>-</v>
      </c>
      <c r="J2059" s="4" t="str">
        <f>VLOOKUP(A2059,Revisión!$A$2:$L$703,8,FALSE)</f>
        <v>Solanum rostratum</v>
      </c>
      <c r="K2059" s="4" t="str">
        <f>VLOOKUP(A2059,Revisión!$A$2:$L$703,9,FALSE)</f>
        <v>Solanum rostratum</v>
      </c>
      <c r="L2059" s="4" t="str">
        <f>VLOOKUP(A2059,Revisión!$A$2:$L$703,10,FALSE)</f>
        <v>Solanum angustifolium</v>
      </c>
      <c r="M2059" s="18">
        <f>VLOOKUP(A2059,Revisión!$A$2:$L$703,11,FALSE)</f>
        <v>3</v>
      </c>
      <c r="N2059" s="30" t="str">
        <f>IF(E2059="Coinciden",D2059,IF(E2059="Revisar",VLOOKUP(A2059,Revisión!$A$2:$L$703,12,FALSE),""))</f>
        <v>Solanum rostratum</v>
      </c>
    </row>
    <row r="2060" spans="1:14" x14ac:dyDescent="0.3">
      <c r="A2060" t="s">
        <v>4237</v>
      </c>
      <c r="B2060" t="s">
        <v>4238</v>
      </c>
      <c r="D2060" t="s">
        <v>4238</v>
      </c>
      <c r="E2060" t="s">
        <v>8</v>
      </c>
      <c r="F2060" t="s">
        <v>34</v>
      </c>
      <c r="H2060" s="23" t="str">
        <f>VLOOKUP(A2060,Revisión!$A$2:$L$703,6,FALSE)</f>
        <v>Solanum torvum</v>
      </c>
      <c r="I2060" s="4" t="str">
        <f>VLOOKUP(A2060,Revisión!$A$2:$L$703,7,FALSE)</f>
        <v>-</v>
      </c>
      <c r="J2060" s="4" t="str">
        <f>VLOOKUP(A2060,Revisión!$A$2:$L$703,8,FALSE)</f>
        <v>Solanum torvum</v>
      </c>
      <c r="K2060" s="4" t="str">
        <f>VLOOKUP(A2060,Revisión!$A$2:$L$703,9,FALSE)</f>
        <v>Solanum torvum</v>
      </c>
      <c r="L2060" s="4" t="str">
        <f>VLOOKUP(A2060,Revisión!$A$2:$L$703,10,FALSE)</f>
        <v>Solanum torvum</v>
      </c>
      <c r="M2060" s="18">
        <f>VLOOKUP(A2060,Revisión!$A$2:$L$703,11,FALSE)</f>
        <v>4</v>
      </c>
      <c r="N2060" s="30" t="str">
        <f>IF(E2060="Coinciden",D2060,IF(E2060="Revisar",VLOOKUP(A2060,Revisión!$A$2:$L$703,12,FALSE),""))</f>
        <v>Solanum torvum</v>
      </c>
    </row>
    <row r="2061" spans="1:14" x14ac:dyDescent="0.3">
      <c r="A2061" t="s">
        <v>4239</v>
      </c>
      <c r="B2061" t="s">
        <v>4240</v>
      </c>
      <c r="C2061" t="s">
        <v>4240</v>
      </c>
      <c r="D2061" t="s">
        <v>4240</v>
      </c>
      <c r="E2061" t="s">
        <v>18</v>
      </c>
      <c r="F2061" t="s">
        <v>19</v>
      </c>
      <c r="H2061" s="23" t="e">
        <f>VLOOKUP(A2061,Revisión!$A$2:$L$703,6,FALSE)</f>
        <v>#N/A</v>
      </c>
      <c r="I2061" s="4" t="e">
        <f>VLOOKUP(A2061,Revisión!$A$2:$L$703,7,FALSE)</f>
        <v>#N/A</v>
      </c>
      <c r="J2061" s="4" t="e">
        <f>VLOOKUP(A2061,Revisión!$A$2:$L$703,8,FALSE)</f>
        <v>#N/A</v>
      </c>
      <c r="K2061" s="4" t="e">
        <f>VLOOKUP(A2061,Revisión!$A$2:$L$703,9,FALSE)</f>
        <v>#N/A</v>
      </c>
      <c r="L2061" s="4" t="e">
        <f>VLOOKUP(A2061,Revisión!$A$2:$L$703,10,FALSE)</f>
        <v>#N/A</v>
      </c>
      <c r="M2061" s="18" t="e">
        <f>VLOOKUP(A2061,Revisión!$A$2:$L$703,11,FALSE)</f>
        <v>#N/A</v>
      </c>
      <c r="N2061" s="30" t="str">
        <f>IF(E2061="Coinciden",D2061,IF(E2061="Revisar",VLOOKUP(A2061,Revisión!$A$2:$L$703,12,FALSE),""))</f>
        <v>Solanum americanum</v>
      </c>
    </row>
    <row r="2062" spans="1:14" x14ac:dyDescent="0.3">
      <c r="A2062" t="s">
        <v>4241</v>
      </c>
      <c r="B2062" t="s">
        <v>4242</v>
      </c>
      <c r="C2062" t="s">
        <v>4242</v>
      </c>
      <c r="D2062" t="s">
        <v>4242</v>
      </c>
      <c r="E2062" t="s">
        <v>18</v>
      </c>
      <c r="F2062" t="s">
        <v>19</v>
      </c>
      <c r="H2062" s="23" t="e">
        <f>VLOOKUP(A2062,Revisión!$A$2:$L$703,6,FALSE)</f>
        <v>#N/A</v>
      </c>
      <c r="I2062" s="4" t="e">
        <f>VLOOKUP(A2062,Revisión!$A$2:$L$703,7,FALSE)</f>
        <v>#N/A</v>
      </c>
      <c r="J2062" s="4" t="e">
        <f>VLOOKUP(A2062,Revisión!$A$2:$L$703,8,FALSE)</f>
        <v>#N/A</v>
      </c>
      <c r="K2062" s="4" t="e">
        <f>VLOOKUP(A2062,Revisión!$A$2:$L$703,9,FALSE)</f>
        <v>#N/A</v>
      </c>
      <c r="L2062" s="4" t="e">
        <f>VLOOKUP(A2062,Revisión!$A$2:$L$703,10,FALSE)</f>
        <v>#N/A</v>
      </c>
      <c r="M2062" s="18" t="e">
        <f>VLOOKUP(A2062,Revisión!$A$2:$L$703,11,FALSE)</f>
        <v>#N/A</v>
      </c>
      <c r="N2062" s="30" t="str">
        <f>IF(E2062="Coinciden",D2062,IF(E2062="Revisar",VLOOKUP(A2062,Revisión!$A$2:$L$703,12,FALSE),""))</f>
        <v>Solanum havanense</v>
      </c>
    </row>
    <row r="2063" spans="1:14" x14ac:dyDescent="0.3">
      <c r="A2063" t="s">
        <v>4243</v>
      </c>
      <c r="B2063" t="s">
        <v>4244</v>
      </c>
      <c r="C2063" t="s">
        <v>4244</v>
      </c>
      <c r="D2063" t="s">
        <v>4244</v>
      </c>
      <c r="E2063" t="s">
        <v>18</v>
      </c>
      <c r="F2063" t="s">
        <v>19</v>
      </c>
      <c r="H2063" s="23" t="e">
        <f>VLOOKUP(A2063,Revisión!$A$2:$L$703,6,FALSE)</f>
        <v>#N/A</v>
      </c>
      <c r="I2063" s="4" t="e">
        <f>VLOOKUP(A2063,Revisión!$A$2:$L$703,7,FALSE)</f>
        <v>#N/A</v>
      </c>
      <c r="J2063" s="4" t="e">
        <f>VLOOKUP(A2063,Revisión!$A$2:$L$703,8,FALSE)</f>
        <v>#N/A</v>
      </c>
      <c r="K2063" s="4" t="e">
        <f>VLOOKUP(A2063,Revisión!$A$2:$L$703,9,FALSE)</f>
        <v>#N/A</v>
      </c>
      <c r="L2063" s="4" t="e">
        <f>VLOOKUP(A2063,Revisión!$A$2:$L$703,10,FALSE)</f>
        <v>#N/A</v>
      </c>
      <c r="M2063" s="18" t="e">
        <f>VLOOKUP(A2063,Revisión!$A$2:$L$703,11,FALSE)</f>
        <v>#N/A</v>
      </c>
      <c r="N2063" s="30" t="str">
        <f>IF(E2063="Coinciden",D2063,IF(E2063="Revisar",VLOOKUP(A2063,Revisión!$A$2:$L$703,12,FALSE),""))</f>
        <v>Solanum erianthum</v>
      </c>
    </row>
    <row r="2064" spans="1:14" x14ac:dyDescent="0.3">
      <c r="A2064" t="s">
        <v>4245</v>
      </c>
      <c r="B2064" t="s">
        <v>4246</v>
      </c>
      <c r="C2064" t="s">
        <v>4246</v>
      </c>
      <c r="D2064" t="s">
        <v>4246</v>
      </c>
      <c r="E2064" t="s">
        <v>18</v>
      </c>
      <c r="F2064" t="s">
        <v>19</v>
      </c>
      <c r="H2064" s="23" t="e">
        <f>VLOOKUP(A2064,Revisión!$A$2:$L$703,6,FALSE)</f>
        <v>#N/A</v>
      </c>
      <c r="I2064" s="4" t="e">
        <f>VLOOKUP(A2064,Revisión!$A$2:$L$703,7,FALSE)</f>
        <v>#N/A</v>
      </c>
      <c r="J2064" s="4" t="e">
        <f>VLOOKUP(A2064,Revisión!$A$2:$L$703,8,FALSE)</f>
        <v>#N/A</v>
      </c>
      <c r="K2064" s="4" t="e">
        <f>VLOOKUP(A2064,Revisión!$A$2:$L$703,9,FALSE)</f>
        <v>#N/A</v>
      </c>
      <c r="L2064" s="4" t="e">
        <f>VLOOKUP(A2064,Revisión!$A$2:$L$703,10,FALSE)</f>
        <v>#N/A</v>
      </c>
      <c r="M2064" s="18" t="e">
        <f>VLOOKUP(A2064,Revisión!$A$2:$L$703,11,FALSE)</f>
        <v>#N/A</v>
      </c>
      <c r="N2064" s="30" t="str">
        <f>IF(E2064="Coinciden",D2064,IF(E2064="Revisar",VLOOKUP(A2064,Revisión!$A$2:$L$703,12,FALSE),""))</f>
        <v>Solenomelus segethi</v>
      </c>
    </row>
    <row r="2065" spans="1:14" x14ac:dyDescent="0.3">
      <c r="A2065" t="s">
        <v>4247</v>
      </c>
      <c r="B2065" t="s">
        <v>4248</v>
      </c>
      <c r="D2065" t="s">
        <v>4248</v>
      </c>
      <c r="E2065" t="s">
        <v>8</v>
      </c>
      <c r="F2065" t="s">
        <v>34</v>
      </c>
      <c r="H2065" s="23" t="str">
        <f>VLOOKUP(A2065,Revisión!$A$2:$L$703,6,FALSE)</f>
        <v>Solidago virgaurea</v>
      </c>
      <c r="I2065" s="4" t="str">
        <f>VLOOKUP(A2065,Revisión!$A$2:$L$703,7,FALSE)</f>
        <v>-</v>
      </c>
      <c r="J2065" s="4" t="str">
        <f>VLOOKUP(A2065,Revisión!$A$2:$L$703,8,FALSE)</f>
        <v>Solidago virgaurea</v>
      </c>
      <c r="K2065" s="4" t="str">
        <f>VLOOKUP(A2065,Revisión!$A$2:$L$703,9,FALSE)</f>
        <v>Solidago virgaurea</v>
      </c>
      <c r="L2065" s="4" t="str">
        <f>VLOOKUP(A2065,Revisión!$A$2:$L$703,10,FALSE)</f>
        <v>Solidago virgaurea</v>
      </c>
      <c r="M2065" s="18">
        <f>VLOOKUP(A2065,Revisión!$A$2:$L$703,11,FALSE)</f>
        <v>5</v>
      </c>
      <c r="N2065" s="30" t="str">
        <f>IF(E2065="Coinciden",D2065,IF(E2065="Revisar",VLOOKUP(A2065,Revisión!$A$2:$L$703,12,FALSE),""))</f>
        <v>Solidago virgaurea</v>
      </c>
    </row>
    <row r="2066" spans="1:14" x14ac:dyDescent="0.3">
      <c r="A2066" t="s">
        <v>4249</v>
      </c>
      <c r="B2066" t="s">
        <v>4250</v>
      </c>
      <c r="C2066" t="s">
        <v>4250</v>
      </c>
      <c r="D2066" t="s">
        <v>4250</v>
      </c>
      <c r="E2066" t="s">
        <v>18</v>
      </c>
      <c r="F2066" t="s">
        <v>19</v>
      </c>
      <c r="H2066" s="23" t="e">
        <f>VLOOKUP(A2066,Revisión!$A$2:$L$703,6,FALSE)</f>
        <v>#N/A</v>
      </c>
      <c r="I2066" s="4" t="e">
        <f>VLOOKUP(A2066,Revisión!$A$2:$L$703,7,FALSE)</f>
        <v>#N/A</v>
      </c>
      <c r="J2066" s="4" t="e">
        <f>VLOOKUP(A2066,Revisión!$A$2:$L$703,8,FALSE)</f>
        <v>#N/A</v>
      </c>
      <c r="K2066" s="4" t="e">
        <f>VLOOKUP(A2066,Revisión!$A$2:$L$703,9,FALSE)</f>
        <v>#N/A</v>
      </c>
      <c r="L2066" s="4" t="e">
        <f>VLOOKUP(A2066,Revisión!$A$2:$L$703,10,FALSE)</f>
        <v>#N/A</v>
      </c>
      <c r="M2066" s="18" t="e">
        <f>VLOOKUP(A2066,Revisión!$A$2:$L$703,11,FALSE)</f>
        <v>#N/A</v>
      </c>
      <c r="N2066" s="30" t="str">
        <f>IF(E2066="Coinciden",D2066,IF(E2066="Revisar",VLOOKUP(A2066,Revisión!$A$2:$L$703,12,FALSE),""))</f>
        <v>Solidago canadensis</v>
      </c>
    </row>
    <row r="2067" spans="1:14" x14ac:dyDescent="0.3">
      <c r="A2067" t="s">
        <v>4251</v>
      </c>
      <c r="E2067" t="s">
        <v>8</v>
      </c>
      <c r="F2067" t="s">
        <v>11</v>
      </c>
      <c r="H2067" s="23" t="e">
        <f>VLOOKUP(A2067,Revisión!$A$2:$L$703,6,FALSE)</f>
        <v>#N/A</v>
      </c>
      <c r="I2067" s="4" t="e">
        <f>VLOOKUP(A2067,Revisión!$A$2:$L$703,7,FALSE)</f>
        <v>#N/A</v>
      </c>
      <c r="J2067" s="4" t="e">
        <f>VLOOKUP(A2067,Revisión!$A$2:$L$703,8,FALSE)</f>
        <v>#N/A</v>
      </c>
      <c r="K2067" s="4" t="e">
        <f>VLOOKUP(A2067,Revisión!$A$2:$L$703,9,FALSE)</f>
        <v>#N/A</v>
      </c>
      <c r="L2067" s="4" t="e">
        <f>VLOOKUP(A2067,Revisión!$A$2:$L$703,10,FALSE)</f>
        <v>#N/A</v>
      </c>
      <c r="M2067" s="18" t="e">
        <f>VLOOKUP(A2067,Revisión!$A$2:$L$703,11,FALSE)</f>
        <v>#N/A</v>
      </c>
      <c r="N2067" s="30" t="e">
        <f>IF(E2067="Coinciden",D2067,IF(E2067="Revisar",VLOOKUP(A2067,Revisión!$A$2:$L$703,12,FALSE),""))</f>
        <v>#N/A</v>
      </c>
    </row>
    <row r="2068" spans="1:14" x14ac:dyDescent="0.3">
      <c r="A2068" t="s">
        <v>4252</v>
      </c>
      <c r="B2068" t="s">
        <v>4253</v>
      </c>
      <c r="C2068" t="s">
        <v>4253</v>
      </c>
      <c r="D2068" t="s">
        <v>4253</v>
      </c>
      <c r="E2068" t="s">
        <v>18</v>
      </c>
      <c r="F2068" t="s">
        <v>19</v>
      </c>
      <c r="H2068" s="23" t="e">
        <f>VLOOKUP(A2068,Revisión!$A$2:$L$703,6,FALSE)</f>
        <v>#N/A</v>
      </c>
      <c r="I2068" s="4" t="e">
        <f>VLOOKUP(A2068,Revisión!$A$2:$L$703,7,FALSE)</f>
        <v>#N/A</v>
      </c>
      <c r="J2068" s="4" t="e">
        <f>VLOOKUP(A2068,Revisión!$A$2:$L$703,8,FALSE)</f>
        <v>#N/A</v>
      </c>
      <c r="K2068" s="4" t="e">
        <f>VLOOKUP(A2068,Revisión!$A$2:$L$703,9,FALSE)</f>
        <v>#N/A</v>
      </c>
      <c r="L2068" s="4" t="e">
        <f>VLOOKUP(A2068,Revisión!$A$2:$L$703,10,FALSE)</f>
        <v>#N/A</v>
      </c>
      <c r="M2068" s="18" t="e">
        <f>VLOOKUP(A2068,Revisión!$A$2:$L$703,11,FALSE)</f>
        <v>#N/A</v>
      </c>
      <c r="N2068" s="30" t="str">
        <f>IF(E2068="Coinciden",D2068,IF(E2068="Revisar",VLOOKUP(A2068,Revisión!$A$2:$L$703,12,FALSE),""))</f>
        <v>Solidago rigida</v>
      </c>
    </row>
    <row r="2069" spans="1:14" x14ac:dyDescent="0.3">
      <c r="A2069" t="s">
        <v>4254</v>
      </c>
      <c r="B2069" t="s">
        <v>4248</v>
      </c>
      <c r="C2069" t="s">
        <v>4248</v>
      </c>
      <c r="D2069" t="s">
        <v>4248</v>
      </c>
      <c r="E2069" t="s">
        <v>18</v>
      </c>
      <c r="F2069" t="s">
        <v>19</v>
      </c>
      <c r="H2069" s="23" t="e">
        <f>VLOOKUP(A2069,Revisión!$A$2:$L$703,6,FALSE)</f>
        <v>#N/A</v>
      </c>
      <c r="I2069" s="4" t="e">
        <f>VLOOKUP(A2069,Revisión!$A$2:$L$703,7,FALSE)</f>
        <v>#N/A</v>
      </c>
      <c r="J2069" s="4" t="e">
        <f>VLOOKUP(A2069,Revisión!$A$2:$L$703,8,FALSE)</f>
        <v>#N/A</v>
      </c>
      <c r="K2069" s="4" t="e">
        <f>VLOOKUP(A2069,Revisión!$A$2:$L$703,9,FALSE)</f>
        <v>#N/A</v>
      </c>
      <c r="L2069" s="4" t="e">
        <f>VLOOKUP(A2069,Revisión!$A$2:$L$703,10,FALSE)</f>
        <v>#N/A</v>
      </c>
      <c r="M2069" s="18" t="e">
        <f>VLOOKUP(A2069,Revisión!$A$2:$L$703,11,FALSE)</f>
        <v>#N/A</v>
      </c>
      <c r="N2069" s="30" t="str">
        <f>IF(E2069="Coinciden",D2069,IF(E2069="Revisar",VLOOKUP(A2069,Revisión!$A$2:$L$703,12,FALSE),""))</f>
        <v>Solidago virgaurea</v>
      </c>
    </row>
    <row r="2070" spans="1:14" x14ac:dyDescent="0.3">
      <c r="A2070" t="s">
        <v>4255</v>
      </c>
      <c r="B2070" t="s">
        <v>4256</v>
      </c>
      <c r="C2070" t="s">
        <v>4256</v>
      </c>
      <c r="D2070" t="s">
        <v>4256</v>
      </c>
      <c r="E2070" t="s">
        <v>18</v>
      </c>
      <c r="F2070" t="s">
        <v>19</v>
      </c>
      <c r="H2070" s="23" t="e">
        <f>VLOOKUP(A2070,Revisión!$A$2:$L$703,6,FALSE)</f>
        <v>#N/A</v>
      </c>
      <c r="I2070" s="4" t="e">
        <f>VLOOKUP(A2070,Revisión!$A$2:$L$703,7,FALSE)</f>
        <v>#N/A</v>
      </c>
      <c r="J2070" s="4" t="e">
        <f>VLOOKUP(A2070,Revisión!$A$2:$L$703,8,FALSE)</f>
        <v>#N/A</v>
      </c>
      <c r="K2070" s="4" t="e">
        <f>VLOOKUP(A2070,Revisión!$A$2:$L$703,9,FALSE)</f>
        <v>#N/A</v>
      </c>
      <c r="L2070" s="4" t="e">
        <f>VLOOKUP(A2070,Revisión!$A$2:$L$703,10,FALSE)</f>
        <v>#N/A</v>
      </c>
      <c r="M2070" s="18" t="e">
        <f>VLOOKUP(A2070,Revisión!$A$2:$L$703,11,FALSE)</f>
        <v>#N/A</v>
      </c>
      <c r="N2070" s="30" t="str">
        <f>IF(E2070="Coinciden",D2070,IF(E2070="Revisar",VLOOKUP(A2070,Revisión!$A$2:$L$703,12,FALSE),""))</f>
        <v>Solidago ulmifolia</v>
      </c>
    </row>
    <row r="2071" spans="1:14" x14ac:dyDescent="0.3">
      <c r="A2071" t="s">
        <v>4257</v>
      </c>
      <c r="B2071" t="s">
        <v>4258</v>
      </c>
      <c r="C2071" t="s">
        <v>4258</v>
      </c>
      <c r="D2071" t="s">
        <v>4258</v>
      </c>
      <c r="E2071" t="s">
        <v>18</v>
      </c>
      <c r="F2071" t="s">
        <v>19</v>
      </c>
      <c r="H2071" s="23" t="e">
        <f>VLOOKUP(A2071,Revisión!$A$2:$L$703,6,FALSE)</f>
        <v>#N/A</v>
      </c>
      <c r="I2071" s="4" t="e">
        <f>VLOOKUP(A2071,Revisión!$A$2:$L$703,7,FALSE)</f>
        <v>#N/A</v>
      </c>
      <c r="J2071" s="4" t="e">
        <f>VLOOKUP(A2071,Revisión!$A$2:$L$703,8,FALSE)</f>
        <v>#N/A</v>
      </c>
      <c r="K2071" s="4" t="e">
        <f>VLOOKUP(A2071,Revisión!$A$2:$L$703,9,FALSE)</f>
        <v>#N/A</v>
      </c>
      <c r="L2071" s="4" t="e">
        <f>VLOOKUP(A2071,Revisión!$A$2:$L$703,10,FALSE)</f>
        <v>#N/A</v>
      </c>
      <c r="M2071" s="18" t="e">
        <f>VLOOKUP(A2071,Revisión!$A$2:$L$703,11,FALSE)</f>
        <v>#N/A</v>
      </c>
      <c r="N2071" s="30" t="str">
        <f>IF(E2071="Coinciden",D2071,IF(E2071="Revisar",VLOOKUP(A2071,Revisión!$A$2:$L$703,12,FALSE),""))</f>
        <v>Solidago missouriensis</v>
      </c>
    </row>
    <row r="2072" spans="1:14" x14ac:dyDescent="0.3">
      <c r="A2072" t="s">
        <v>4259</v>
      </c>
      <c r="B2072" t="s">
        <v>4260</v>
      </c>
      <c r="C2072" t="s">
        <v>4260</v>
      </c>
      <c r="D2072" t="s">
        <v>4260</v>
      </c>
      <c r="E2072" t="s">
        <v>18</v>
      </c>
      <c r="F2072" t="s">
        <v>19</v>
      </c>
      <c r="H2072" s="23" t="e">
        <f>VLOOKUP(A2072,Revisión!$A$2:$L$703,6,FALSE)</f>
        <v>#N/A</v>
      </c>
      <c r="I2072" s="4" t="e">
        <f>VLOOKUP(A2072,Revisión!$A$2:$L$703,7,FALSE)</f>
        <v>#N/A</v>
      </c>
      <c r="J2072" s="4" t="e">
        <f>VLOOKUP(A2072,Revisión!$A$2:$L$703,8,FALSE)</f>
        <v>#N/A</v>
      </c>
      <c r="K2072" s="4" t="e">
        <f>VLOOKUP(A2072,Revisión!$A$2:$L$703,9,FALSE)</f>
        <v>#N/A</v>
      </c>
      <c r="L2072" s="4" t="e">
        <f>VLOOKUP(A2072,Revisión!$A$2:$L$703,10,FALSE)</f>
        <v>#N/A</v>
      </c>
      <c r="M2072" s="18" t="e">
        <f>VLOOKUP(A2072,Revisión!$A$2:$L$703,11,FALSE)</f>
        <v>#N/A</v>
      </c>
      <c r="N2072" s="30" t="str">
        <f>IF(E2072="Coinciden",D2072,IF(E2072="Revisar",VLOOKUP(A2072,Revisión!$A$2:$L$703,12,FALSE),""))</f>
        <v>Solidago sempervirens</v>
      </c>
    </row>
    <row r="2073" spans="1:14" x14ac:dyDescent="0.3">
      <c r="A2073" t="s">
        <v>4261</v>
      </c>
      <c r="B2073" t="s">
        <v>4262</v>
      </c>
      <c r="C2073" t="s">
        <v>4262</v>
      </c>
      <c r="D2073" t="s">
        <v>4262</v>
      </c>
      <c r="E2073" t="s">
        <v>18</v>
      </c>
      <c r="F2073" t="s">
        <v>19</v>
      </c>
      <c r="H2073" s="23" t="e">
        <f>VLOOKUP(A2073,Revisión!$A$2:$L$703,6,FALSE)</f>
        <v>#N/A</v>
      </c>
      <c r="I2073" s="4" t="e">
        <f>VLOOKUP(A2073,Revisión!$A$2:$L$703,7,FALSE)</f>
        <v>#N/A</v>
      </c>
      <c r="J2073" s="4" t="e">
        <f>VLOOKUP(A2073,Revisión!$A$2:$L$703,8,FALSE)</f>
        <v>#N/A</v>
      </c>
      <c r="K2073" s="4" t="e">
        <f>VLOOKUP(A2073,Revisión!$A$2:$L$703,9,FALSE)</f>
        <v>#N/A</v>
      </c>
      <c r="L2073" s="4" t="e">
        <f>VLOOKUP(A2073,Revisión!$A$2:$L$703,10,FALSE)</f>
        <v>#N/A</v>
      </c>
      <c r="M2073" s="18" t="e">
        <f>VLOOKUP(A2073,Revisión!$A$2:$L$703,11,FALSE)</f>
        <v>#N/A</v>
      </c>
      <c r="N2073" s="30" t="str">
        <f>IF(E2073="Coinciden",D2073,IF(E2073="Revisar",VLOOKUP(A2073,Revisión!$A$2:$L$703,12,FALSE),""))</f>
        <v>Solidago speciosa</v>
      </c>
    </row>
    <row r="2074" spans="1:14" x14ac:dyDescent="0.3">
      <c r="A2074" t="s">
        <v>4263</v>
      </c>
      <c r="B2074" t="s">
        <v>4264</v>
      </c>
      <c r="C2074" t="s">
        <v>4264</v>
      </c>
      <c r="D2074" t="s">
        <v>4264</v>
      </c>
      <c r="E2074" t="s">
        <v>18</v>
      </c>
      <c r="F2074" t="s">
        <v>19</v>
      </c>
      <c r="H2074" s="23" t="e">
        <f>VLOOKUP(A2074,Revisión!$A$2:$L$703,6,FALSE)</f>
        <v>#N/A</v>
      </c>
      <c r="I2074" s="4" t="e">
        <f>VLOOKUP(A2074,Revisión!$A$2:$L$703,7,FALSE)</f>
        <v>#N/A</v>
      </c>
      <c r="J2074" s="4" t="e">
        <f>VLOOKUP(A2074,Revisión!$A$2:$L$703,8,FALSE)</f>
        <v>#N/A</v>
      </c>
      <c r="K2074" s="4" t="e">
        <f>VLOOKUP(A2074,Revisión!$A$2:$L$703,9,FALSE)</f>
        <v>#N/A</v>
      </c>
      <c r="L2074" s="4" t="e">
        <f>VLOOKUP(A2074,Revisión!$A$2:$L$703,10,FALSE)</f>
        <v>#N/A</v>
      </c>
      <c r="M2074" s="18" t="e">
        <f>VLOOKUP(A2074,Revisión!$A$2:$L$703,11,FALSE)</f>
        <v>#N/A</v>
      </c>
      <c r="N2074" s="30" t="str">
        <f>IF(E2074="Coinciden",D2074,IF(E2074="Revisar",VLOOKUP(A2074,Revisión!$A$2:$L$703,12,FALSE),""))</f>
        <v>Solidago nemoralis</v>
      </c>
    </row>
    <row r="2075" spans="1:14" x14ac:dyDescent="0.3">
      <c r="A2075" t="s">
        <v>4265</v>
      </c>
      <c r="B2075" t="s">
        <v>4266</v>
      </c>
      <c r="C2075" t="s">
        <v>4267</v>
      </c>
      <c r="D2075" t="s">
        <v>4248</v>
      </c>
      <c r="E2075" t="s">
        <v>8</v>
      </c>
      <c r="F2075" t="s">
        <v>295</v>
      </c>
      <c r="H2075" s="23" t="str">
        <f>VLOOKUP(A2075,Revisión!$A$2:$L$703,6,FALSE)</f>
        <v>Solidago virgaurea subsp. asiatica</v>
      </c>
      <c r="I2075" s="4" t="str">
        <f>VLOOKUP(A2075,Revisión!$A$2:$L$703,7,FALSE)</f>
        <v>-</v>
      </c>
      <c r="J2075" s="4" t="str">
        <f>VLOOKUP(A2075,Revisión!$A$2:$L$703,8,FALSE)</f>
        <v>Solidago decurrens var. decurrens</v>
      </c>
      <c r="K2075" s="4" t="str">
        <f>VLOOKUP(A2075,Revisión!$A$2:$L$703,9,FALSE)</f>
        <v>Solidago virgaurea subsp. asiatica</v>
      </c>
      <c r="L2075" s="4" t="str">
        <f>VLOOKUP(A2075,Revisión!$A$2:$L$703,10,FALSE)</f>
        <v>Solidago virgaurea subsp. asiatica</v>
      </c>
      <c r="M2075" s="18">
        <f>VLOOKUP(A2075,Revisión!$A$2:$L$703,11,FALSE)</f>
        <v>4</v>
      </c>
      <c r="N2075" s="30" t="str">
        <f>IF(E2075="Coinciden",D2075,IF(E2075="Revisar",VLOOKUP(A2075,Revisión!$A$2:$L$703,12,FALSE),""))</f>
        <v>Solidago virgaurea subsp. asiatica</v>
      </c>
    </row>
    <row r="2076" spans="1:14" x14ac:dyDescent="0.3">
      <c r="A2076" t="s">
        <v>4268</v>
      </c>
      <c r="B2076" t="s">
        <v>4269</v>
      </c>
      <c r="D2076" t="s">
        <v>4269</v>
      </c>
      <c r="E2076" t="s">
        <v>8</v>
      </c>
      <c r="F2076" t="s">
        <v>34</v>
      </c>
      <c r="H2076" s="23" t="str">
        <f>VLOOKUP(A2076,Revisión!$A$2:$L$703,6,FALSE)</f>
        <v>Solidago gigantea</v>
      </c>
      <c r="I2076" s="4" t="str">
        <f>VLOOKUP(A2076,Revisión!$A$2:$L$703,7,FALSE)</f>
        <v>-</v>
      </c>
      <c r="J2076" s="4" t="str">
        <f>VLOOKUP(A2076,Revisión!$A$2:$L$703,8,FALSE)</f>
        <v>Solidago gigantea</v>
      </c>
      <c r="K2076" s="4" t="str">
        <f>VLOOKUP(A2076,Revisión!$A$2:$L$703,9,FALSE)</f>
        <v>Solidago gigantea</v>
      </c>
      <c r="L2076" s="4" t="str">
        <f>VLOOKUP(A2076,Revisión!$A$2:$L$703,10,FALSE)</f>
        <v>Solidago gigantea</v>
      </c>
      <c r="M2076" s="18">
        <f>VLOOKUP(A2076,Revisión!$A$2:$L$703,11,FALSE)</f>
        <v>5</v>
      </c>
      <c r="N2076" s="30" t="str">
        <f>IF(E2076="Coinciden",D2076,IF(E2076="Revisar",VLOOKUP(A2076,Revisión!$A$2:$L$703,12,FALSE),""))</f>
        <v>Solidago gigantea</v>
      </c>
    </row>
    <row r="2077" spans="1:14" x14ac:dyDescent="0.3">
      <c r="A2077" t="s">
        <v>4270</v>
      </c>
      <c r="B2077" t="s">
        <v>4271</v>
      </c>
      <c r="C2077" t="s">
        <v>4271</v>
      </c>
      <c r="D2077" t="s">
        <v>4271</v>
      </c>
      <c r="E2077" t="s">
        <v>18</v>
      </c>
      <c r="F2077" t="s">
        <v>19</v>
      </c>
      <c r="H2077" s="23" t="e">
        <f>VLOOKUP(A2077,Revisión!$A$2:$L$703,6,FALSE)</f>
        <v>#N/A</v>
      </c>
      <c r="I2077" s="4" t="e">
        <f>VLOOKUP(A2077,Revisión!$A$2:$L$703,7,FALSE)</f>
        <v>#N/A</v>
      </c>
      <c r="J2077" s="4" t="e">
        <f>VLOOKUP(A2077,Revisión!$A$2:$L$703,8,FALSE)</f>
        <v>#N/A</v>
      </c>
      <c r="K2077" s="4" t="e">
        <f>VLOOKUP(A2077,Revisión!$A$2:$L$703,9,FALSE)</f>
        <v>#N/A</v>
      </c>
      <c r="L2077" s="4" t="e">
        <f>VLOOKUP(A2077,Revisión!$A$2:$L$703,10,FALSE)</f>
        <v>#N/A</v>
      </c>
      <c r="M2077" s="18" t="e">
        <f>VLOOKUP(A2077,Revisión!$A$2:$L$703,11,FALSE)</f>
        <v>#N/A</v>
      </c>
      <c r="N2077" s="30" t="str">
        <f>IF(E2077="Coinciden",D2077,IF(E2077="Revisar",VLOOKUP(A2077,Revisión!$A$2:$L$703,12,FALSE),""))</f>
        <v>Euthamia graminifolia</v>
      </c>
    </row>
    <row r="2078" spans="1:14" x14ac:dyDescent="0.3">
      <c r="A2078" t="s">
        <v>4272</v>
      </c>
      <c r="C2078" t="s">
        <v>4260</v>
      </c>
      <c r="D2078" t="s">
        <v>4260</v>
      </c>
      <c r="E2078" t="s">
        <v>8</v>
      </c>
      <c r="F2078" t="s">
        <v>49</v>
      </c>
      <c r="H2078" s="23" t="str">
        <f>VLOOKUP(A2078,Revisión!$A$2:$L$703,6,FALSE)</f>
        <v>Solidago sempervirens</v>
      </c>
      <c r="I2078" s="4" t="str">
        <f>VLOOKUP(A2078,Revisión!$A$2:$L$703,7,FALSE)</f>
        <v>-</v>
      </c>
      <c r="J2078" s="4" t="str">
        <f>VLOOKUP(A2078,Revisión!$A$2:$L$703,8,FALSE)</f>
        <v>Solidago sempervirens</v>
      </c>
      <c r="K2078" s="4" t="str">
        <f>VLOOKUP(A2078,Revisión!$A$2:$L$703,9,FALSE)</f>
        <v>Solidago sempervirens</v>
      </c>
      <c r="L2078" s="4" t="str">
        <f>VLOOKUP(A2078,Revisión!$A$2:$L$703,10,FALSE)</f>
        <v>Solidago sempervirens</v>
      </c>
      <c r="M2078" s="18">
        <f>VLOOKUP(A2078,Revisión!$A$2:$L$703,11,FALSE)</f>
        <v>5</v>
      </c>
      <c r="N2078" s="30" t="str">
        <f>IF(E2078="Coinciden",D2078,IF(E2078="Revisar",VLOOKUP(A2078,Revisión!$A$2:$L$703,12,FALSE),""))</f>
        <v>Solidago sempervirens</v>
      </c>
    </row>
    <row r="2079" spans="1:14" x14ac:dyDescent="0.3">
      <c r="A2079" t="s">
        <v>4273</v>
      </c>
      <c r="B2079" t="s">
        <v>4274</v>
      </c>
      <c r="C2079" t="s">
        <v>4274</v>
      </c>
      <c r="D2079" t="s">
        <v>4274</v>
      </c>
      <c r="E2079" t="s">
        <v>18</v>
      </c>
      <c r="F2079" t="s">
        <v>19</v>
      </c>
      <c r="H2079" s="23" t="e">
        <f>VLOOKUP(A2079,Revisión!$A$2:$L$703,6,FALSE)</f>
        <v>#N/A</v>
      </c>
      <c r="I2079" s="4" t="e">
        <f>VLOOKUP(A2079,Revisión!$A$2:$L$703,7,FALSE)</f>
        <v>#N/A</v>
      </c>
      <c r="J2079" s="4" t="e">
        <f>VLOOKUP(A2079,Revisión!$A$2:$L$703,8,FALSE)</f>
        <v>#N/A</v>
      </c>
      <c r="K2079" s="4" t="e">
        <f>VLOOKUP(A2079,Revisión!$A$2:$L$703,9,FALSE)</f>
        <v>#N/A</v>
      </c>
      <c r="L2079" s="4" t="e">
        <f>VLOOKUP(A2079,Revisión!$A$2:$L$703,10,FALSE)</f>
        <v>#N/A</v>
      </c>
      <c r="M2079" s="18" t="e">
        <f>VLOOKUP(A2079,Revisión!$A$2:$L$703,11,FALSE)</f>
        <v>#N/A</v>
      </c>
      <c r="N2079" s="30" t="str">
        <f>IF(E2079="Coinciden",D2079,IF(E2079="Revisar",VLOOKUP(A2079,Revisión!$A$2:$L$703,12,FALSE),""))</f>
        <v>Solidago chilensis</v>
      </c>
    </row>
    <row r="2080" spans="1:14" x14ac:dyDescent="0.3">
      <c r="A2080" t="s">
        <v>4275</v>
      </c>
      <c r="B2080" t="s">
        <v>4276</v>
      </c>
      <c r="C2080" t="s">
        <v>4276</v>
      </c>
      <c r="D2080" t="s">
        <v>4276</v>
      </c>
      <c r="E2080" t="s">
        <v>18</v>
      </c>
      <c r="F2080" t="s">
        <v>19</v>
      </c>
      <c r="H2080" s="23" t="e">
        <f>VLOOKUP(A2080,Revisión!$A$2:$L$703,6,FALSE)</f>
        <v>#N/A</v>
      </c>
      <c r="I2080" s="4" t="e">
        <f>VLOOKUP(A2080,Revisión!$A$2:$L$703,7,FALSE)</f>
        <v>#N/A</v>
      </c>
      <c r="J2080" s="4" t="e">
        <f>VLOOKUP(A2080,Revisión!$A$2:$L$703,8,FALSE)</f>
        <v>#N/A</v>
      </c>
      <c r="K2080" s="4" t="e">
        <f>VLOOKUP(A2080,Revisión!$A$2:$L$703,9,FALSE)</f>
        <v>#N/A</v>
      </c>
      <c r="L2080" s="4" t="e">
        <f>VLOOKUP(A2080,Revisión!$A$2:$L$703,10,FALSE)</f>
        <v>#N/A</v>
      </c>
      <c r="M2080" s="18" t="e">
        <f>VLOOKUP(A2080,Revisión!$A$2:$L$703,11,FALSE)</f>
        <v>#N/A</v>
      </c>
      <c r="N2080" s="30" t="str">
        <f>IF(E2080="Coinciden",D2080,IF(E2080="Revisar",VLOOKUP(A2080,Revisión!$A$2:$L$703,12,FALSE),""))</f>
        <v>Sommerfeltia spinulosa</v>
      </c>
    </row>
    <row r="2081" spans="1:14" x14ac:dyDescent="0.3">
      <c r="A2081" t="s">
        <v>4277</v>
      </c>
      <c r="B2081" t="s">
        <v>4278</v>
      </c>
      <c r="C2081" t="s">
        <v>4278</v>
      </c>
      <c r="E2081" t="s">
        <v>8</v>
      </c>
      <c r="F2081" t="s">
        <v>323</v>
      </c>
      <c r="H2081" s="23" t="str">
        <f>VLOOKUP(A2081,Revisión!$A$2:$L$703,6,FALSE)</f>
        <v>Sonchus ortunoi</v>
      </c>
      <c r="I2081" s="4" t="str">
        <f>VLOOKUP(A2081,Revisión!$A$2:$L$703,7,FALSE)</f>
        <v>-</v>
      </c>
      <c r="J2081" s="4" t="str">
        <f>VLOOKUP(A2081,Revisión!$A$2:$L$703,8,FALSE)</f>
        <v>Sonchus ortunoi</v>
      </c>
      <c r="K2081" s="4" t="str">
        <f>VLOOKUP(A2081,Revisión!$A$2:$L$703,9,FALSE)</f>
        <v>Sonchus ortunoi</v>
      </c>
      <c r="L2081" s="4" t="str">
        <f>VLOOKUP(A2081,Revisión!$A$2:$L$703,10,FALSE)</f>
        <v>Sonchus ortunoi</v>
      </c>
      <c r="M2081" s="18">
        <f>VLOOKUP(A2081,Revisión!$A$2:$L$703,11,FALSE)</f>
        <v>4</v>
      </c>
      <c r="N2081" s="30" t="str">
        <f>IF(E2081="Coinciden",D2081,IF(E2081="Revisar",VLOOKUP(A2081,Revisión!$A$2:$L$703,12,FALSE),""))</f>
        <v>Sonchus ortunoi</v>
      </c>
    </row>
    <row r="2082" spans="1:14" x14ac:dyDescent="0.3">
      <c r="A2082" t="s">
        <v>4279</v>
      </c>
      <c r="D2082" t="s">
        <v>4280</v>
      </c>
      <c r="E2082" t="s">
        <v>8</v>
      </c>
      <c r="F2082" t="s">
        <v>9</v>
      </c>
      <c r="H2082" s="23" t="str">
        <f>VLOOKUP(A2082,Revisión!$A$2:$L$703,6,FALSE)</f>
        <v>Sonchus tenerrimus</v>
      </c>
      <c r="I2082" s="4" t="str">
        <f>VLOOKUP(A2082,Revisión!$A$2:$L$703,7,FALSE)</f>
        <v>-</v>
      </c>
      <c r="J2082" s="4" t="str">
        <f>VLOOKUP(A2082,Revisión!$A$2:$L$703,8,FALSE)</f>
        <v>Sonchus tenerrimus</v>
      </c>
      <c r="K2082" s="4" t="str">
        <f>VLOOKUP(A2082,Revisión!$A$2:$L$703,9,FALSE)</f>
        <v>Sonchus tenerrimus</v>
      </c>
      <c r="L2082" s="4" t="str">
        <f>VLOOKUP(A2082,Revisión!$A$2:$L$703,10,FALSE)</f>
        <v>Sonchus tenerrimus</v>
      </c>
      <c r="M2082" s="18">
        <f>VLOOKUP(A2082,Revisión!$A$2:$L$703,11,FALSE)</f>
        <v>5</v>
      </c>
      <c r="N2082" s="30" t="str">
        <f>IF(E2082="Coinciden",D2082,IF(E2082="Revisar",VLOOKUP(A2082,Revisión!$A$2:$L$703,12,FALSE),""))</f>
        <v>Sonchus tenerrimus</v>
      </c>
    </row>
    <row r="2083" spans="1:14" x14ac:dyDescent="0.3">
      <c r="A2083" t="s">
        <v>4281</v>
      </c>
      <c r="B2083" t="s">
        <v>4282</v>
      </c>
      <c r="C2083" t="s">
        <v>4282</v>
      </c>
      <c r="D2083" t="s">
        <v>4282</v>
      </c>
      <c r="E2083" t="s">
        <v>18</v>
      </c>
      <c r="F2083" t="s">
        <v>19</v>
      </c>
      <c r="H2083" s="23" t="e">
        <f>VLOOKUP(A2083,Revisión!$A$2:$L$703,6,FALSE)</f>
        <v>#N/A</v>
      </c>
      <c r="I2083" s="4" t="e">
        <f>VLOOKUP(A2083,Revisión!$A$2:$L$703,7,FALSE)</f>
        <v>#N/A</v>
      </c>
      <c r="J2083" s="4" t="e">
        <f>VLOOKUP(A2083,Revisión!$A$2:$L$703,8,FALSE)</f>
        <v>#N/A</v>
      </c>
      <c r="K2083" s="4" t="e">
        <f>VLOOKUP(A2083,Revisión!$A$2:$L$703,9,FALSE)</f>
        <v>#N/A</v>
      </c>
      <c r="L2083" s="4" t="e">
        <f>VLOOKUP(A2083,Revisión!$A$2:$L$703,10,FALSE)</f>
        <v>#N/A</v>
      </c>
      <c r="M2083" s="18" t="e">
        <f>VLOOKUP(A2083,Revisión!$A$2:$L$703,11,FALSE)</f>
        <v>#N/A</v>
      </c>
      <c r="N2083" s="30" t="str">
        <f>IF(E2083="Coinciden",D2083,IF(E2083="Revisar",VLOOKUP(A2083,Revisión!$A$2:$L$703,12,FALSE),""))</f>
        <v>Sonchus oleraceus</v>
      </c>
    </row>
    <row r="2084" spans="1:14" x14ac:dyDescent="0.3">
      <c r="A2084" t="s">
        <v>4283</v>
      </c>
      <c r="B2084" t="s">
        <v>4284</v>
      </c>
      <c r="C2084" t="s">
        <v>4284</v>
      </c>
      <c r="D2084" t="s">
        <v>4284</v>
      </c>
      <c r="E2084" t="s">
        <v>18</v>
      </c>
      <c r="F2084" t="s">
        <v>19</v>
      </c>
      <c r="H2084" s="23" t="e">
        <f>VLOOKUP(A2084,Revisión!$A$2:$L$703,6,FALSE)</f>
        <v>#N/A</v>
      </c>
      <c r="I2084" s="4" t="e">
        <f>VLOOKUP(A2084,Revisión!$A$2:$L$703,7,FALSE)</f>
        <v>#N/A</v>
      </c>
      <c r="J2084" s="4" t="e">
        <f>VLOOKUP(A2084,Revisión!$A$2:$L$703,8,FALSE)</f>
        <v>#N/A</v>
      </c>
      <c r="K2084" s="4" t="e">
        <f>VLOOKUP(A2084,Revisión!$A$2:$L$703,9,FALSE)</f>
        <v>#N/A</v>
      </c>
      <c r="L2084" s="4" t="e">
        <f>VLOOKUP(A2084,Revisión!$A$2:$L$703,10,FALSE)</f>
        <v>#N/A</v>
      </c>
      <c r="M2084" s="18" t="e">
        <f>VLOOKUP(A2084,Revisión!$A$2:$L$703,11,FALSE)</f>
        <v>#N/A</v>
      </c>
      <c r="N2084" s="30" t="str">
        <f>IF(E2084="Coinciden",D2084,IF(E2084="Revisar",VLOOKUP(A2084,Revisión!$A$2:$L$703,12,FALSE),""))</f>
        <v>Sonchus arvensis</v>
      </c>
    </row>
    <row r="2085" spans="1:14" x14ac:dyDescent="0.3">
      <c r="A2085" t="s">
        <v>4285</v>
      </c>
      <c r="B2085" t="s">
        <v>4286</v>
      </c>
      <c r="C2085" t="s">
        <v>4286</v>
      </c>
      <c r="D2085" t="s">
        <v>4286</v>
      </c>
      <c r="E2085" t="s">
        <v>18</v>
      </c>
      <c r="F2085" t="s">
        <v>19</v>
      </c>
      <c r="H2085" s="23" t="e">
        <f>VLOOKUP(A2085,Revisión!$A$2:$L$703,6,FALSE)</f>
        <v>#N/A</v>
      </c>
      <c r="I2085" s="4" t="e">
        <f>VLOOKUP(A2085,Revisión!$A$2:$L$703,7,FALSE)</f>
        <v>#N/A</v>
      </c>
      <c r="J2085" s="4" t="e">
        <f>VLOOKUP(A2085,Revisión!$A$2:$L$703,8,FALSE)</f>
        <v>#N/A</v>
      </c>
      <c r="K2085" s="4" t="e">
        <f>VLOOKUP(A2085,Revisión!$A$2:$L$703,9,FALSE)</f>
        <v>#N/A</v>
      </c>
      <c r="L2085" s="4" t="e">
        <f>VLOOKUP(A2085,Revisión!$A$2:$L$703,10,FALSE)</f>
        <v>#N/A</v>
      </c>
      <c r="M2085" s="18" t="e">
        <f>VLOOKUP(A2085,Revisión!$A$2:$L$703,11,FALSE)</f>
        <v>#N/A</v>
      </c>
      <c r="N2085" s="30" t="str">
        <f>IF(E2085="Coinciden",D2085,IF(E2085="Revisar",VLOOKUP(A2085,Revisión!$A$2:$L$703,12,FALSE),""))</f>
        <v>Sonchus palustris</v>
      </c>
    </row>
    <row r="2086" spans="1:14" x14ac:dyDescent="0.3">
      <c r="A2086" t="s">
        <v>4287</v>
      </c>
      <c r="B2086" t="s">
        <v>4288</v>
      </c>
      <c r="C2086" t="s">
        <v>4288</v>
      </c>
      <c r="D2086" t="s">
        <v>4288</v>
      </c>
      <c r="E2086" t="s">
        <v>18</v>
      </c>
      <c r="F2086" t="s">
        <v>19</v>
      </c>
      <c r="H2086" s="23" t="e">
        <f>VLOOKUP(A2086,Revisión!$A$2:$L$703,6,FALSE)</f>
        <v>#N/A</v>
      </c>
      <c r="I2086" s="4" t="e">
        <f>VLOOKUP(A2086,Revisión!$A$2:$L$703,7,FALSE)</f>
        <v>#N/A</v>
      </c>
      <c r="J2086" s="4" t="e">
        <f>VLOOKUP(A2086,Revisión!$A$2:$L$703,8,FALSE)</f>
        <v>#N/A</v>
      </c>
      <c r="K2086" s="4" t="e">
        <f>VLOOKUP(A2086,Revisión!$A$2:$L$703,9,FALSE)</f>
        <v>#N/A</v>
      </c>
      <c r="L2086" s="4" t="e">
        <f>VLOOKUP(A2086,Revisión!$A$2:$L$703,10,FALSE)</f>
        <v>#N/A</v>
      </c>
      <c r="M2086" s="18" t="e">
        <f>VLOOKUP(A2086,Revisión!$A$2:$L$703,11,FALSE)</f>
        <v>#N/A</v>
      </c>
      <c r="N2086" s="30" t="str">
        <f>IF(E2086="Coinciden",D2086,IF(E2086="Revisar",VLOOKUP(A2086,Revisión!$A$2:$L$703,12,FALSE),""))</f>
        <v>Sophora flavescens</v>
      </c>
    </row>
    <row r="2087" spans="1:14" x14ac:dyDescent="0.3">
      <c r="A2087" t="s">
        <v>4289</v>
      </c>
      <c r="B2087" t="s">
        <v>4290</v>
      </c>
      <c r="C2087" t="s">
        <v>4290</v>
      </c>
      <c r="D2087" t="s">
        <v>4290</v>
      </c>
      <c r="E2087" t="s">
        <v>18</v>
      </c>
      <c r="F2087" t="s">
        <v>19</v>
      </c>
      <c r="H2087" s="23" t="e">
        <f>VLOOKUP(A2087,Revisión!$A$2:$L$703,6,FALSE)</f>
        <v>#N/A</v>
      </c>
      <c r="I2087" s="4" t="e">
        <f>VLOOKUP(A2087,Revisión!$A$2:$L$703,7,FALSE)</f>
        <v>#N/A</v>
      </c>
      <c r="J2087" s="4" t="e">
        <f>VLOOKUP(A2087,Revisión!$A$2:$L$703,8,FALSE)</f>
        <v>#N/A</v>
      </c>
      <c r="K2087" s="4" t="e">
        <f>VLOOKUP(A2087,Revisión!$A$2:$L$703,9,FALSE)</f>
        <v>#N/A</v>
      </c>
      <c r="L2087" s="4" t="e">
        <f>VLOOKUP(A2087,Revisión!$A$2:$L$703,10,FALSE)</f>
        <v>#N/A</v>
      </c>
      <c r="M2087" s="18" t="e">
        <f>VLOOKUP(A2087,Revisión!$A$2:$L$703,11,FALSE)</f>
        <v>#N/A</v>
      </c>
      <c r="N2087" s="30" t="str">
        <f>IF(E2087="Coinciden",D2087,IF(E2087="Revisar",VLOOKUP(A2087,Revisión!$A$2:$L$703,12,FALSE),""))</f>
        <v>Sorbus commixta</v>
      </c>
    </row>
    <row r="2088" spans="1:14" x14ac:dyDescent="0.3">
      <c r="A2088" t="s">
        <v>4291</v>
      </c>
      <c r="C2088" t="s">
        <v>4292</v>
      </c>
      <c r="D2088" t="s">
        <v>4292</v>
      </c>
      <c r="E2088" t="s">
        <v>8</v>
      </c>
      <c r="F2088" t="s">
        <v>49</v>
      </c>
      <c r="H2088" s="23" t="str">
        <f>VLOOKUP(A2088,Revisión!$A$2:$L$703,6,FALSE)</f>
        <v>Soulamea terminalioides</v>
      </c>
      <c r="I2088" s="4" t="str">
        <f>VLOOKUP(A2088,Revisión!$A$2:$L$703,7,FALSE)</f>
        <v>-</v>
      </c>
      <c r="J2088" s="4" t="str">
        <f>VLOOKUP(A2088,Revisión!$A$2:$L$703,8,FALSE)</f>
        <v>Soulamea terminalioides</v>
      </c>
      <c r="K2088" s="4" t="str">
        <f>VLOOKUP(A2088,Revisión!$A$2:$L$703,9,FALSE)</f>
        <v>Soulamea terminalioides</v>
      </c>
      <c r="L2088" s="4" t="str">
        <f>VLOOKUP(A2088,Revisión!$A$2:$L$703,10,FALSE)</f>
        <v>Soulamea terminalioides</v>
      </c>
      <c r="M2088" s="18">
        <f>VLOOKUP(A2088,Revisión!$A$2:$L$703,11,FALSE)</f>
        <v>4</v>
      </c>
      <c r="N2088" s="30" t="str">
        <f>IF(E2088="Coinciden",D2088,IF(E2088="Revisar",VLOOKUP(A2088,Revisión!$A$2:$L$703,12,FALSE),""))</f>
        <v>Soulamea terminalioides</v>
      </c>
    </row>
    <row r="2089" spans="1:14" x14ac:dyDescent="0.3">
      <c r="A2089" t="s">
        <v>4293</v>
      </c>
      <c r="B2089" t="s">
        <v>4294</v>
      </c>
      <c r="C2089" t="s">
        <v>4294</v>
      </c>
      <c r="D2089" t="s">
        <v>4294</v>
      </c>
      <c r="E2089" t="s">
        <v>18</v>
      </c>
      <c r="F2089" t="s">
        <v>19</v>
      </c>
      <c r="H2089" s="23" t="e">
        <f>VLOOKUP(A2089,Revisión!$A$2:$L$703,6,FALSE)</f>
        <v>#N/A</v>
      </c>
      <c r="I2089" s="4" t="e">
        <f>VLOOKUP(A2089,Revisión!$A$2:$L$703,7,FALSE)</f>
        <v>#N/A</v>
      </c>
      <c r="J2089" s="4" t="e">
        <f>VLOOKUP(A2089,Revisión!$A$2:$L$703,8,FALSE)</f>
        <v>#N/A</v>
      </c>
      <c r="K2089" s="4" t="e">
        <f>VLOOKUP(A2089,Revisión!$A$2:$L$703,9,FALSE)</f>
        <v>#N/A</v>
      </c>
      <c r="L2089" s="4" t="e">
        <f>VLOOKUP(A2089,Revisión!$A$2:$L$703,10,FALSE)</f>
        <v>#N/A</v>
      </c>
      <c r="M2089" s="18" t="e">
        <f>VLOOKUP(A2089,Revisión!$A$2:$L$703,11,FALSE)</f>
        <v>#N/A</v>
      </c>
      <c r="N2089" s="30" t="str">
        <f>IF(E2089="Coinciden",D2089,IF(E2089="Revisar",VLOOKUP(A2089,Revisión!$A$2:$L$703,12,FALSE),""))</f>
        <v>Spartium junceum</v>
      </c>
    </row>
    <row r="2090" spans="1:14" x14ac:dyDescent="0.3">
      <c r="A2090" t="s">
        <v>4295</v>
      </c>
      <c r="B2090" t="s">
        <v>4296</v>
      </c>
      <c r="C2090" t="s">
        <v>4296</v>
      </c>
      <c r="D2090" t="s">
        <v>4296</v>
      </c>
      <c r="E2090" t="s">
        <v>18</v>
      </c>
      <c r="F2090" t="s">
        <v>19</v>
      </c>
      <c r="H2090" s="23" t="e">
        <f>VLOOKUP(A2090,Revisión!$A$2:$L$703,6,FALSE)</f>
        <v>#N/A</v>
      </c>
      <c r="I2090" s="4" t="e">
        <f>VLOOKUP(A2090,Revisión!$A$2:$L$703,7,FALSE)</f>
        <v>#N/A</v>
      </c>
      <c r="J2090" s="4" t="e">
        <f>VLOOKUP(A2090,Revisión!$A$2:$L$703,8,FALSE)</f>
        <v>#N/A</v>
      </c>
      <c r="K2090" s="4" t="e">
        <f>VLOOKUP(A2090,Revisión!$A$2:$L$703,9,FALSE)</f>
        <v>#N/A</v>
      </c>
      <c r="L2090" s="4" t="e">
        <f>VLOOKUP(A2090,Revisión!$A$2:$L$703,10,FALSE)</f>
        <v>#N/A</v>
      </c>
      <c r="M2090" s="18" t="e">
        <f>VLOOKUP(A2090,Revisión!$A$2:$L$703,11,FALSE)</f>
        <v>#N/A</v>
      </c>
      <c r="N2090" s="30" t="str">
        <f>IF(E2090="Coinciden",D2090,IF(E2090="Revisar",VLOOKUP(A2090,Revisión!$A$2:$L$703,12,FALSE),""))</f>
        <v>Cytisus supranubius</v>
      </c>
    </row>
    <row r="2091" spans="1:14" x14ac:dyDescent="0.3">
      <c r="A2091" t="s">
        <v>4297</v>
      </c>
      <c r="B2091" t="s">
        <v>4298</v>
      </c>
      <c r="C2091" t="s">
        <v>4298</v>
      </c>
      <c r="D2091" t="s">
        <v>4298</v>
      </c>
      <c r="E2091" t="s">
        <v>18</v>
      </c>
      <c r="F2091" t="s">
        <v>19</v>
      </c>
      <c r="H2091" s="23" t="e">
        <f>VLOOKUP(A2091,Revisión!$A$2:$L$703,6,FALSE)</f>
        <v>#N/A</v>
      </c>
      <c r="I2091" s="4" t="e">
        <f>VLOOKUP(A2091,Revisión!$A$2:$L$703,7,FALSE)</f>
        <v>#N/A</v>
      </c>
      <c r="J2091" s="4" t="e">
        <f>VLOOKUP(A2091,Revisión!$A$2:$L$703,8,FALSE)</f>
        <v>#N/A</v>
      </c>
      <c r="K2091" s="4" t="e">
        <f>VLOOKUP(A2091,Revisión!$A$2:$L$703,9,FALSE)</f>
        <v>#N/A</v>
      </c>
      <c r="L2091" s="4" t="e">
        <f>VLOOKUP(A2091,Revisión!$A$2:$L$703,10,FALSE)</f>
        <v>#N/A</v>
      </c>
      <c r="M2091" s="18" t="e">
        <f>VLOOKUP(A2091,Revisión!$A$2:$L$703,11,FALSE)</f>
        <v>#N/A</v>
      </c>
      <c r="N2091" s="30" t="str">
        <f>IF(E2091="Coinciden",D2091,IF(E2091="Revisar",VLOOKUP(A2091,Revisión!$A$2:$L$703,12,FALSE),""))</f>
        <v>Triodanis perfoliata</v>
      </c>
    </row>
    <row r="2092" spans="1:14" x14ac:dyDescent="0.3">
      <c r="A2092" t="s">
        <v>4299</v>
      </c>
      <c r="D2092" t="s">
        <v>4300</v>
      </c>
      <c r="E2092" t="s">
        <v>8</v>
      </c>
      <c r="F2092" t="s">
        <v>9</v>
      </c>
      <c r="H2092" s="23" t="str">
        <f>VLOOKUP(A2092,Revisión!$A$2:$L$703,6,FALSE)</f>
        <v>Spermacoce remota</v>
      </c>
      <c r="I2092" s="4" t="str">
        <f>VLOOKUP(A2092,Revisión!$A$2:$L$703,7,FALSE)</f>
        <v>-</v>
      </c>
      <c r="J2092" s="4" t="str">
        <f>VLOOKUP(A2092,Revisión!$A$2:$L$703,8,FALSE)</f>
        <v>Spermacoce remota</v>
      </c>
      <c r="K2092" s="4" t="str">
        <f>VLOOKUP(A2092,Revisión!$A$2:$L$703,9,FALSE)</f>
        <v>Spermacoce remota</v>
      </c>
      <c r="L2092" s="4" t="str">
        <f>VLOOKUP(A2092,Revisión!$A$2:$L$703,10,FALSE)</f>
        <v>Borreria remota</v>
      </c>
      <c r="M2092" s="18">
        <f>VLOOKUP(A2092,Revisión!$A$2:$L$703,11,FALSE)</f>
        <v>3</v>
      </c>
      <c r="N2092" s="30" t="str">
        <f>IF(E2092="Coinciden",D2092,IF(E2092="Revisar",VLOOKUP(A2092,Revisión!$A$2:$L$703,12,FALSE),""))</f>
        <v>Spermacoce remota</v>
      </c>
    </row>
    <row r="2093" spans="1:14" x14ac:dyDescent="0.3">
      <c r="A2093" t="s">
        <v>4301</v>
      </c>
      <c r="B2093" t="s">
        <v>4302</v>
      </c>
      <c r="C2093" t="s">
        <v>4302</v>
      </c>
      <c r="D2093" t="s">
        <v>4302</v>
      </c>
      <c r="E2093" t="s">
        <v>18</v>
      </c>
      <c r="F2093" t="s">
        <v>19</v>
      </c>
      <c r="H2093" s="23" t="e">
        <f>VLOOKUP(A2093,Revisión!$A$2:$L$703,6,FALSE)</f>
        <v>#N/A</v>
      </c>
      <c r="I2093" s="4" t="e">
        <f>VLOOKUP(A2093,Revisión!$A$2:$L$703,7,FALSE)</f>
        <v>#N/A</v>
      </c>
      <c r="J2093" s="4" t="e">
        <f>VLOOKUP(A2093,Revisión!$A$2:$L$703,8,FALSE)</f>
        <v>#N/A</v>
      </c>
      <c r="K2093" s="4" t="e">
        <f>VLOOKUP(A2093,Revisión!$A$2:$L$703,9,FALSE)</f>
        <v>#N/A</v>
      </c>
      <c r="L2093" s="4" t="e">
        <f>VLOOKUP(A2093,Revisión!$A$2:$L$703,10,FALSE)</f>
        <v>#N/A</v>
      </c>
      <c r="M2093" s="18" t="e">
        <f>VLOOKUP(A2093,Revisión!$A$2:$L$703,11,FALSE)</f>
        <v>#N/A</v>
      </c>
      <c r="N2093" s="30" t="str">
        <f>IF(E2093="Coinciden",D2093,IF(E2093="Revisar",VLOOKUP(A2093,Revisión!$A$2:$L$703,12,FALSE),""))</f>
        <v>Spilanthes urens</v>
      </c>
    </row>
    <row r="2094" spans="1:14" x14ac:dyDescent="0.3">
      <c r="A2094" t="s">
        <v>4303</v>
      </c>
      <c r="B2094" t="s">
        <v>4304</v>
      </c>
      <c r="C2094" t="s">
        <v>4305</v>
      </c>
      <c r="D2094" t="s">
        <v>4304</v>
      </c>
      <c r="E2094" t="s">
        <v>8</v>
      </c>
      <c r="F2094" t="s">
        <v>493</v>
      </c>
      <c r="H2094" s="23" t="str">
        <f>VLOOKUP(A2094,Revisión!$A$2:$L$703,6,FALSE)</f>
        <v>Acmella decumbens</v>
      </c>
      <c r="I2094" s="4" t="str">
        <f>VLOOKUP(A2094,Revisión!$A$2:$L$703,7,FALSE)</f>
        <v>-</v>
      </c>
      <c r="J2094" s="4" t="str">
        <f>VLOOKUP(A2094,Revisión!$A$2:$L$703,8,FALSE)</f>
        <v>Acmella decumbens var. decumbens</v>
      </c>
      <c r="K2094" s="4" t="str">
        <f>VLOOKUP(A2094,Revisión!$A$2:$L$703,9,FALSE)</f>
        <v>Acmella decumbens</v>
      </c>
      <c r="L2094" s="4" t="str">
        <f>VLOOKUP(A2094,Revisión!$A$2:$L$703,10,FALSE)</f>
        <v>Acmella decumbens</v>
      </c>
      <c r="M2094" s="18">
        <f>VLOOKUP(A2094,Revisión!$A$2:$L$703,11,FALSE)</f>
        <v>3</v>
      </c>
      <c r="N2094" s="30" t="str">
        <f>IF(E2094="Coinciden",D2094,IF(E2094="Revisar",VLOOKUP(A2094,Revisión!$A$2:$L$703,12,FALSE),""))</f>
        <v>Acmella decumbens</v>
      </c>
    </row>
    <row r="2095" spans="1:14" x14ac:dyDescent="0.3">
      <c r="A2095" t="s">
        <v>4306</v>
      </c>
      <c r="B2095" t="s">
        <v>4307</v>
      </c>
      <c r="C2095" t="s">
        <v>4307</v>
      </c>
      <c r="D2095" t="s">
        <v>4307</v>
      </c>
      <c r="E2095" t="s">
        <v>18</v>
      </c>
      <c r="F2095" t="s">
        <v>19</v>
      </c>
      <c r="H2095" s="23" t="e">
        <f>VLOOKUP(A2095,Revisión!$A$2:$L$703,6,FALSE)</f>
        <v>#N/A</v>
      </c>
      <c r="I2095" s="4" t="e">
        <f>VLOOKUP(A2095,Revisión!$A$2:$L$703,7,FALSE)</f>
        <v>#N/A</v>
      </c>
      <c r="J2095" s="4" t="e">
        <f>VLOOKUP(A2095,Revisión!$A$2:$L$703,8,FALSE)</f>
        <v>#N/A</v>
      </c>
      <c r="K2095" s="4" t="e">
        <f>VLOOKUP(A2095,Revisión!$A$2:$L$703,9,FALSE)</f>
        <v>#N/A</v>
      </c>
      <c r="L2095" s="4" t="e">
        <f>VLOOKUP(A2095,Revisión!$A$2:$L$703,10,FALSE)</f>
        <v>#N/A</v>
      </c>
      <c r="M2095" s="18" t="e">
        <f>VLOOKUP(A2095,Revisión!$A$2:$L$703,11,FALSE)</f>
        <v>#N/A</v>
      </c>
      <c r="N2095" s="30" t="str">
        <f>IF(E2095="Coinciden",D2095,IF(E2095="Revisar",VLOOKUP(A2095,Revisión!$A$2:$L$703,12,FALSE),""))</f>
        <v>Spiraea alba</v>
      </c>
    </row>
    <row r="2096" spans="1:14" x14ac:dyDescent="0.3">
      <c r="A2096" t="s">
        <v>4308</v>
      </c>
      <c r="C2096" t="s">
        <v>4309</v>
      </c>
      <c r="D2096" t="s">
        <v>4309</v>
      </c>
      <c r="E2096" t="s">
        <v>8</v>
      </c>
      <c r="F2096" t="s">
        <v>49</v>
      </c>
      <c r="H2096" s="23" t="str">
        <f>VLOOKUP(A2096,Revisión!$A$2:$L$703,6,FALSE)</f>
        <v>Spiraea nipponica var. tosaensis</v>
      </c>
      <c r="I2096" s="4" t="str">
        <f>VLOOKUP(A2096,Revisión!$A$2:$L$703,7,FALSE)</f>
        <v>-</v>
      </c>
      <c r="J2096" s="4" t="str">
        <f>VLOOKUP(A2096,Revisión!$A$2:$L$703,8,FALSE)</f>
        <v>Spiraea nipponica var. tosaensis</v>
      </c>
      <c r="K2096" s="4" t="str">
        <f>VLOOKUP(A2096,Revisión!$A$2:$L$703,9,FALSE)</f>
        <v>Spiraea nipponica var. tosaensis</v>
      </c>
      <c r="L2096" s="4" t="str">
        <f>VLOOKUP(A2096,Revisión!$A$2:$L$703,10,FALSE)</f>
        <v>Spiraea nipponica var. tosaensis</v>
      </c>
      <c r="M2096" s="18">
        <f>VLOOKUP(A2096,Revisión!$A$2:$L$703,11,FALSE)</f>
        <v>4</v>
      </c>
      <c r="N2096" s="30" t="str">
        <f>IF(E2096="Coinciden",D2096,IF(E2096="Revisar",VLOOKUP(A2096,Revisión!$A$2:$L$703,12,FALSE),""))</f>
        <v>Spiraea nipponica var. tosaensis</v>
      </c>
    </row>
    <row r="2097" spans="1:14" x14ac:dyDescent="0.3">
      <c r="A2097" t="s">
        <v>4310</v>
      </c>
      <c r="B2097" t="s">
        <v>4311</v>
      </c>
      <c r="C2097" t="s">
        <v>4311</v>
      </c>
      <c r="D2097" t="s">
        <v>4311</v>
      </c>
      <c r="E2097" t="s">
        <v>18</v>
      </c>
      <c r="F2097" t="s">
        <v>19</v>
      </c>
      <c r="H2097" s="23" t="e">
        <f>VLOOKUP(A2097,Revisión!$A$2:$L$703,6,FALSE)</f>
        <v>#N/A</v>
      </c>
      <c r="I2097" s="4" t="e">
        <f>VLOOKUP(A2097,Revisión!$A$2:$L$703,7,FALSE)</f>
        <v>#N/A</v>
      </c>
      <c r="J2097" s="4" t="e">
        <f>VLOOKUP(A2097,Revisión!$A$2:$L$703,8,FALSE)</f>
        <v>#N/A</v>
      </c>
      <c r="K2097" s="4" t="e">
        <f>VLOOKUP(A2097,Revisión!$A$2:$L$703,9,FALSE)</f>
        <v>#N/A</v>
      </c>
      <c r="L2097" s="4" t="e">
        <f>VLOOKUP(A2097,Revisión!$A$2:$L$703,10,FALSE)</f>
        <v>#N/A</v>
      </c>
      <c r="M2097" s="18" t="e">
        <f>VLOOKUP(A2097,Revisión!$A$2:$L$703,11,FALSE)</f>
        <v>#N/A</v>
      </c>
      <c r="N2097" s="30" t="str">
        <f>IF(E2097="Coinciden",D2097,IF(E2097="Revisar",VLOOKUP(A2097,Revisión!$A$2:$L$703,12,FALSE),""))</f>
        <v>Spiraea cantoniensis</v>
      </c>
    </row>
    <row r="2098" spans="1:14" x14ac:dyDescent="0.3">
      <c r="A2098" t="s">
        <v>4312</v>
      </c>
      <c r="B2098" t="s">
        <v>4313</v>
      </c>
      <c r="C2098" t="s">
        <v>4313</v>
      </c>
      <c r="D2098" t="s">
        <v>4313</v>
      </c>
      <c r="E2098" t="s">
        <v>18</v>
      </c>
      <c r="F2098" t="s">
        <v>19</v>
      </c>
      <c r="H2098" s="23" t="e">
        <f>VLOOKUP(A2098,Revisión!$A$2:$L$703,6,FALSE)</f>
        <v>#N/A</v>
      </c>
      <c r="I2098" s="4" t="e">
        <f>VLOOKUP(A2098,Revisión!$A$2:$L$703,7,FALSE)</f>
        <v>#N/A</v>
      </c>
      <c r="J2098" s="4" t="e">
        <f>VLOOKUP(A2098,Revisión!$A$2:$L$703,8,FALSE)</f>
        <v>#N/A</v>
      </c>
      <c r="K2098" s="4" t="e">
        <f>VLOOKUP(A2098,Revisión!$A$2:$L$703,9,FALSE)</f>
        <v>#N/A</v>
      </c>
      <c r="L2098" s="4" t="e">
        <f>VLOOKUP(A2098,Revisión!$A$2:$L$703,10,FALSE)</f>
        <v>#N/A</v>
      </c>
      <c r="M2098" s="18" t="e">
        <f>VLOOKUP(A2098,Revisión!$A$2:$L$703,11,FALSE)</f>
        <v>#N/A</v>
      </c>
      <c r="N2098" s="30" t="str">
        <f>IF(E2098="Coinciden",D2098,IF(E2098="Revisar",VLOOKUP(A2098,Revisión!$A$2:$L$703,12,FALSE),""))</f>
        <v>Spiraea blumei</v>
      </c>
    </row>
    <row r="2099" spans="1:14" x14ac:dyDescent="0.3">
      <c r="A2099" t="s">
        <v>4314</v>
      </c>
      <c r="B2099" t="s">
        <v>4315</v>
      </c>
      <c r="D2099" t="s">
        <v>4315</v>
      </c>
      <c r="E2099" t="s">
        <v>8</v>
      </c>
      <c r="F2099" t="s">
        <v>34</v>
      </c>
      <c r="H2099" s="23" t="str">
        <f>VLOOKUP(A2099,Revisión!$A$2:$L$703,6,FALSE)</f>
        <v>Spiraea japonica</v>
      </c>
      <c r="I2099" s="4" t="str">
        <f>VLOOKUP(A2099,Revisión!$A$2:$L$703,7,FALSE)</f>
        <v>-</v>
      </c>
      <c r="J2099" s="4" t="str">
        <f>VLOOKUP(A2099,Revisión!$A$2:$L$703,8,FALSE)</f>
        <v>Spiraea nipponica var. tosaensis</v>
      </c>
      <c r="K2099" s="4" t="str">
        <f>VLOOKUP(A2099,Revisión!$A$2:$L$703,9,FALSE)</f>
        <v>Spiraea japonica</v>
      </c>
      <c r="L2099" s="4" t="str">
        <f>VLOOKUP(A2099,Revisión!$A$2:$L$703,10,FALSE)</f>
        <v>Spiraea nipponica var. tosaensis</v>
      </c>
      <c r="M2099" s="18">
        <f>VLOOKUP(A2099,Revisión!$A$2:$L$703,11,FALSE)</f>
        <v>3</v>
      </c>
      <c r="N2099" s="30" t="str">
        <f>IF(E2099="Coinciden",D2099,IF(E2099="Revisar",VLOOKUP(A2099,Revisión!$A$2:$L$703,12,FALSE),""))</f>
        <v>Spiraea japonica</v>
      </c>
    </row>
    <row r="2100" spans="1:14" x14ac:dyDescent="0.3">
      <c r="A2100" t="s">
        <v>4316</v>
      </c>
      <c r="B2100" t="s">
        <v>4317</v>
      </c>
      <c r="C2100" t="s">
        <v>4317</v>
      </c>
      <c r="D2100" t="s">
        <v>4317</v>
      </c>
      <c r="E2100" t="s">
        <v>18</v>
      </c>
      <c r="F2100" t="s">
        <v>19</v>
      </c>
      <c r="H2100" s="23" t="e">
        <f>VLOOKUP(A2100,Revisión!$A$2:$L$703,6,FALSE)</f>
        <v>#N/A</v>
      </c>
      <c r="I2100" s="4" t="e">
        <f>VLOOKUP(A2100,Revisión!$A$2:$L$703,7,FALSE)</f>
        <v>#N/A</v>
      </c>
      <c r="J2100" s="4" t="e">
        <f>VLOOKUP(A2100,Revisión!$A$2:$L$703,8,FALSE)</f>
        <v>#N/A</v>
      </c>
      <c r="K2100" s="4" t="e">
        <f>VLOOKUP(A2100,Revisión!$A$2:$L$703,9,FALSE)</f>
        <v>#N/A</v>
      </c>
      <c r="L2100" s="4" t="e">
        <f>VLOOKUP(A2100,Revisión!$A$2:$L$703,10,FALSE)</f>
        <v>#N/A</v>
      </c>
      <c r="M2100" s="18" t="e">
        <f>VLOOKUP(A2100,Revisión!$A$2:$L$703,11,FALSE)</f>
        <v>#N/A</v>
      </c>
      <c r="N2100" s="30" t="str">
        <f>IF(E2100="Coinciden",D2100,IF(E2100="Revisar",VLOOKUP(A2100,Revisión!$A$2:$L$703,12,FALSE),""))</f>
        <v>Spiraea thunbergii</v>
      </c>
    </row>
    <row r="2101" spans="1:14" x14ac:dyDescent="0.3">
      <c r="A2101" t="s">
        <v>4318</v>
      </c>
      <c r="C2101" t="s">
        <v>4319</v>
      </c>
      <c r="E2101" t="s">
        <v>8</v>
      </c>
      <c r="F2101" t="s">
        <v>9</v>
      </c>
      <c r="H2101" s="23" t="str">
        <f>VLOOKUP(A2101,Revisión!$A$2:$L$703,6,FALSE)</f>
        <v>Spiranthes lacera var. gracilis</v>
      </c>
      <c r="I2101" s="4" t="str">
        <f>VLOOKUP(A2101,Revisión!$A$2:$L$703,7,FALSE)</f>
        <v>-</v>
      </c>
      <c r="J2101" s="4" t="str">
        <f>VLOOKUP(A2101,Revisión!$A$2:$L$703,8,FALSE)</f>
        <v>Spiranthes lacera var. gracilis</v>
      </c>
      <c r="K2101" s="4" t="str">
        <f>VLOOKUP(A2101,Revisión!$A$2:$L$703,9,FALSE)</f>
        <v>Spiranthes lacera var. gracilis</v>
      </c>
      <c r="L2101" s="4" t="str">
        <f>VLOOKUP(A2101,Revisión!$A$2:$L$703,10,FALSE)</f>
        <v>Spiranthes lacera var. gracilis</v>
      </c>
      <c r="M2101" s="18">
        <f>VLOOKUP(A2101,Revisión!$A$2:$L$703,11,FALSE)</f>
        <v>4</v>
      </c>
      <c r="N2101" s="30" t="str">
        <f>IF(E2101="Coinciden",D2101,IF(E2101="Revisar",VLOOKUP(A2101,Revisión!$A$2:$L$703,12,FALSE),""))</f>
        <v>Spiranthes lacera var. gracilis</v>
      </c>
    </row>
    <row r="2102" spans="1:14" x14ac:dyDescent="0.3">
      <c r="A2102" t="s">
        <v>4320</v>
      </c>
      <c r="B2102" t="s">
        <v>4321</v>
      </c>
      <c r="C2102" t="s">
        <v>4321</v>
      </c>
      <c r="D2102" t="s">
        <v>4321</v>
      </c>
      <c r="E2102" t="s">
        <v>18</v>
      </c>
      <c r="F2102" t="s">
        <v>19</v>
      </c>
      <c r="H2102" s="23" t="e">
        <f>VLOOKUP(A2102,Revisión!$A$2:$L$703,6,FALSE)</f>
        <v>#N/A</v>
      </c>
      <c r="I2102" s="4" t="e">
        <f>VLOOKUP(A2102,Revisión!$A$2:$L$703,7,FALSE)</f>
        <v>#N/A</v>
      </c>
      <c r="J2102" s="4" t="e">
        <f>VLOOKUP(A2102,Revisión!$A$2:$L$703,8,FALSE)</f>
        <v>#N/A</v>
      </c>
      <c r="K2102" s="4" t="e">
        <f>VLOOKUP(A2102,Revisión!$A$2:$L$703,9,FALSE)</f>
        <v>#N/A</v>
      </c>
      <c r="L2102" s="4" t="e">
        <f>VLOOKUP(A2102,Revisión!$A$2:$L$703,10,FALSE)</f>
        <v>#N/A</v>
      </c>
      <c r="M2102" s="18" t="e">
        <f>VLOOKUP(A2102,Revisión!$A$2:$L$703,11,FALSE)</f>
        <v>#N/A</v>
      </c>
      <c r="N2102" s="30" t="str">
        <f>IF(E2102="Coinciden",D2102,IF(E2102="Revisar",VLOOKUP(A2102,Revisión!$A$2:$L$703,12,FALSE),""))</f>
        <v>Spiranthes sinensis</v>
      </c>
    </row>
    <row r="2103" spans="1:14" x14ac:dyDescent="0.3">
      <c r="A2103" t="s">
        <v>4322</v>
      </c>
      <c r="B2103" t="s">
        <v>4323</v>
      </c>
      <c r="C2103" t="s">
        <v>4323</v>
      </c>
      <c r="D2103" t="s">
        <v>4323</v>
      </c>
      <c r="E2103" t="s">
        <v>18</v>
      </c>
      <c r="F2103" t="s">
        <v>19</v>
      </c>
      <c r="H2103" s="23" t="e">
        <f>VLOOKUP(A2103,Revisión!$A$2:$L$703,6,FALSE)</f>
        <v>#N/A</v>
      </c>
      <c r="I2103" s="4" t="e">
        <f>VLOOKUP(A2103,Revisión!$A$2:$L$703,7,FALSE)</f>
        <v>#N/A</v>
      </c>
      <c r="J2103" s="4" t="e">
        <f>VLOOKUP(A2103,Revisión!$A$2:$L$703,8,FALSE)</f>
        <v>#N/A</v>
      </c>
      <c r="K2103" s="4" t="e">
        <f>VLOOKUP(A2103,Revisión!$A$2:$L$703,9,FALSE)</f>
        <v>#N/A</v>
      </c>
      <c r="L2103" s="4" t="e">
        <f>VLOOKUP(A2103,Revisión!$A$2:$L$703,10,FALSE)</f>
        <v>#N/A</v>
      </c>
      <c r="M2103" s="18" t="e">
        <f>VLOOKUP(A2103,Revisión!$A$2:$L$703,11,FALSE)</f>
        <v>#N/A</v>
      </c>
      <c r="N2103" s="30" t="str">
        <f>IF(E2103="Coinciden",D2103,IF(E2103="Revisar",VLOOKUP(A2103,Revisión!$A$2:$L$703,12,FALSE),""))</f>
        <v>Spuriopimpinella brachycarpa</v>
      </c>
    </row>
    <row r="2104" spans="1:14" x14ac:dyDescent="0.3">
      <c r="A2104" t="s">
        <v>4324</v>
      </c>
      <c r="C2104" t="s">
        <v>4325</v>
      </c>
      <c r="D2104" t="s">
        <v>4325</v>
      </c>
      <c r="E2104" t="s">
        <v>8</v>
      </c>
      <c r="F2104" t="s">
        <v>49</v>
      </c>
      <c r="H2104" s="23" t="str">
        <f>VLOOKUP(A2104,Revisión!$A$2:$L$703,6,FALSE)</f>
        <v>Stachytarpheta cayennensis</v>
      </c>
      <c r="I2104" s="4" t="str">
        <f>VLOOKUP(A2104,Revisión!$A$2:$L$703,7,FALSE)</f>
        <v>-</v>
      </c>
      <c r="J2104" s="4" t="str">
        <f>VLOOKUP(A2104,Revisión!$A$2:$L$703,8,FALSE)</f>
        <v>Stachytarpheta cayennensis</v>
      </c>
      <c r="K2104" s="4" t="str">
        <f>VLOOKUP(A2104,Revisión!$A$2:$L$703,9,FALSE)</f>
        <v>Stachytarpheta cayennensis</v>
      </c>
      <c r="L2104" s="4" t="str">
        <f>VLOOKUP(A2104,Revisión!$A$2:$L$703,10,FALSE)</f>
        <v>Stachytarpheta cayennensis</v>
      </c>
      <c r="M2104" s="18">
        <f>VLOOKUP(A2104,Revisión!$A$2:$L$703,11,FALSE)</f>
        <v>5</v>
      </c>
      <c r="N2104" s="30" t="str">
        <f>IF(E2104="Coinciden",D2104,IF(E2104="Revisar",VLOOKUP(A2104,Revisión!$A$2:$L$703,12,FALSE),""))</f>
        <v>Stachytarpheta cayennensis</v>
      </c>
    </row>
    <row r="2105" spans="1:14" x14ac:dyDescent="0.3">
      <c r="A2105" t="s">
        <v>4326</v>
      </c>
      <c r="B2105" t="s">
        <v>4327</v>
      </c>
      <c r="C2105" t="s">
        <v>4327</v>
      </c>
      <c r="D2105" t="s">
        <v>4327</v>
      </c>
      <c r="E2105" t="s">
        <v>18</v>
      </c>
      <c r="F2105" t="s">
        <v>19</v>
      </c>
      <c r="H2105" s="23" t="e">
        <f>VLOOKUP(A2105,Revisión!$A$2:$L$703,6,FALSE)</f>
        <v>#N/A</v>
      </c>
      <c r="I2105" s="4" t="e">
        <f>VLOOKUP(A2105,Revisión!$A$2:$L$703,7,FALSE)</f>
        <v>#N/A</v>
      </c>
      <c r="J2105" s="4" t="e">
        <f>VLOOKUP(A2105,Revisión!$A$2:$L$703,8,FALSE)</f>
        <v>#N/A</v>
      </c>
      <c r="K2105" s="4" t="e">
        <f>VLOOKUP(A2105,Revisión!$A$2:$L$703,9,FALSE)</f>
        <v>#N/A</v>
      </c>
      <c r="L2105" s="4" t="e">
        <f>VLOOKUP(A2105,Revisión!$A$2:$L$703,10,FALSE)</f>
        <v>#N/A</v>
      </c>
      <c r="M2105" s="18" t="e">
        <f>VLOOKUP(A2105,Revisión!$A$2:$L$703,11,FALSE)</f>
        <v>#N/A</v>
      </c>
      <c r="N2105" s="30" t="str">
        <f>IF(E2105="Coinciden",D2105,IF(E2105="Revisar",VLOOKUP(A2105,Revisión!$A$2:$L$703,12,FALSE),""))</f>
        <v>Stachys cretica</v>
      </c>
    </row>
    <row r="2106" spans="1:14" x14ac:dyDescent="0.3">
      <c r="A2106" t="s">
        <v>4328</v>
      </c>
      <c r="B2106" t="s">
        <v>4329</v>
      </c>
      <c r="C2106" t="s">
        <v>4329</v>
      </c>
      <c r="D2106" t="s">
        <v>4329</v>
      </c>
      <c r="E2106" t="s">
        <v>18</v>
      </c>
      <c r="F2106" t="s">
        <v>19</v>
      </c>
      <c r="H2106" s="23" t="e">
        <f>VLOOKUP(A2106,Revisión!$A$2:$L$703,6,FALSE)</f>
        <v>#N/A</v>
      </c>
      <c r="I2106" s="4" t="e">
        <f>VLOOKUP(A2106,Revisión!$A$2:$L$703,7,FALSE)</f>
        <v>#N/A</v>
      </c>
      <c r="J2106" s="4" t="e">
        <f>VLOOKUP(A2106,Revisión!$A$2:$L$703,8,FALSE)</f>
        <v>#N/A</v>
      </c>
      <c r="K2106" s="4" t="e">
        <f>VLOOKUP(A2106,Revisión!$A$2:$L$703,9,FALSE)</f>
        <v>#N/A</v>
      </c>
      <c r="L2106" s="4" t="e">
        <f>VLOOKUP(A2106,Revisión!$A$2:$L$703,10,FALSE)</f>
        <v>#N/A</v>
      </c>
      <c r="M2106" s="18" t="e">
        <f>VLOOKUP(A2106,Revisión!$A$2:$L$703,11,FALSE)</f>
        <v>#N/A</v>
      </c>
      <c r="N2106" s="30" t="str">
        <f>IF(E2106="Coinciden",D2106,IF(E2106="Revisar",VLOOKUP(A2106,Revisión!$A$2:$L$703,12,FALSE),""))</f>
        <v>Stachys sylvatica</v>
      </c>
    </row>
    <row r="2107" spans="1:14" x14ac:dyDescent="0.3">
      <c r="A2107" t="s">
        <v>4330</v>
      </c>
      <c r="B2107" t="s">
        <v>4331</v>
      </c>
      <c r="D2107" t="s">
        <v>4331</v>
      </c>
      <c r="E2107" t="s">
        <v>8</v>
      </c>
      <c r="F2107" t="s">
        <v>34</v>
      </c>
      <c r="H2107" s="23" t="str">
        <f>VLOOKUP(A2107,Revisión!$A$2:$L$703,6,FALSE)</f>
        <v>Stachys albicaulis</v>
      </c>
      <c r="I2107" s="4" t="str">
        <f>VLOOKUP(A2107,Revisión!$A$2:$L$703,7,FALSE)</f>
        <v>-</v>
      </c>
      <c r="J2107" s="4" t="str">
        <f>VLOOKUP(A2107,Revisión!$A$2:$L$703,8,FALSE)</f>
        <v>Stachys albicaulis</v>
      </c>
      <c r="K2107" s="4" t="str">
        <f>VLOOKUP(A2107,Revisión!$A$2:$L$703,9,FALSE)</f>
        <v>Stachys albicaulis</v>
      </c>
      <c r="L2107" s="4" t="str">
        <f>VLOOKUP(A2107,Revisión!$A$2:$L$703,10,FALSE)</f>
        <v>Stachys albicaulis</v>
      </c>
      <c r="M2107" s="18">
        <f>VLOOKUP(A2107,Revisión!$A$2:$L$703,11,FALSE)</f>
        <v>4</v>
      </c>
      <c r="N2107" s="30" t="str">
        <f>IF(E2107="Coinciden",D2107,IF(E2107="Revisar",VLOOKUP(A2107,Revisión!$A$2:$L$703,12,FALSE),""))</f>
        <v>Stachys albicaulis</v>
      </c>
    </row>
    <row r="2108" spans="1:14" x14ac:dyDescent="0.3">
      <c r="A2108" t="s">
        <v>4332</v>
      </c>
      <c r="B2108" t="s">
        <v>4333</v>
      </c>
      <c r="C2108" t="s">
        <v>4333</v>
      </c>
      <c r="D2108" t="s">
        <v>4333</v>
      </c>
      <c r="E2108" t="s">
        <v>18</v>
      </c>
      <c r="F2108" t="s">
        <v>19</v>
      </c>
      <c r="H2108" s="23" t="e">
        <f>VLOOKUP(A2108,Revisión!$A$2:$L$703,6,FALSE)</f>
        <v>#N/A</v>
      </c>
      <c r="I2108" s="4" t="e">
        <f>VLOOKUP(A2108,Revisión!$A$2:$L$703,7,FALSE)</f>
        <v>#N/A</v>
      </c>
      <c r="J2108" s="4" t="e">
        <f>VLOOKUP(A2108,Revisión!$A$2:$L$703,8,FALSE)</f>
        <v>#N/A</v>
      </c>
      <c r="K2108" s="4" t="e">
        <f>VLOOKUP(A2108,Revisión!$A$2:$L$703,9,FALSE)</f>
        <v>#N/A</v>
      </c>
      <c r="L2108" s="4" t="e">
        <f>VLOOKUP(A2108,Revisión!$A$2:$L$703,10,FALSE)</f>
        <v>#N/A</v>
      </c>
      <c r="M2108" s="18" t="e">
        <f>VLOOKUP(A2108,Revisión!$A$2:$L$703,11,FALSE)</f>
        <v>#N/A</v>
      </c>
      <c r="N2108" s="30" t="str">
        <f>IF(E2108="Coinciden",D2108,IF(E2108="Revisar",VLOOKUP(A2108,Revisión!$A$2:$L$703,12,FALSE),""))</f>
        <v>Stachys palustris</v>
      </c>
    </row>
    <row r="2109" spans="1:14" x14ac:dyDescent="0.3">
      <c r="A2109" t="s">
        <v>4334</v>
      </c>
      <c r="B2109" t="s">
        <v>4335</v>
      </c>
      <c r="C2109" t="s">
        <v>4335</v>
      </c>
      <c r="D2109" t="s">
        <v>4335</v>
      </c>
      <c r="E2109" t="s">
        <v>18</v>
      </c>
      <c r="F2109" t="s">
        <v>19</v>
      </c>
      <c r="H2109" s="23" t="e">
        <f>VLOOKUP(A2109,Revisión!$A$2:$L$703,6,FALSE)</f>
        <v>#N/A</v>
      </c>
      <c r="I2109" s="4" t="e">
        <f>VLOOKUP(A2109,Revisión!$A$2:$L$703,7,FALSE)</f>
        <v>#N/A</v>
      </c>
      <c r="J2109" s="4" t="e">
        <f>VLOOKUP(A2109,Revisión!$A$2:$L$703,8,FALSE)</f>
        <v>#N/A</v>
      </c>
      <c r="K2109" s="4" t="e">
        <f>VLOOKUP(A2109,Revisión!$A$2:$L$703,9,FALSE)</f>
        <v>#N/A</v>
      </c>
      <c r="L2109" s="4" t="e">
        <f>VLOOKUP(A2109,Revisión!$A$2:$L$703,10,FALSE)</f>
        <v>#N/A</v>
      </c>
      <c r="M2109" s="18" t="e">
        <f>VLOOKUP(A2109,Revisión!$A$2:$L$703,11,FALSE)</f>
        <v>#N/A</v>
      </c>
      <c r="N2109" s="30" t="str">
        <f>IF(E2109="Coinciden",D2109,IF(E2109="Revisar",VLOOKUP(A2109,Revisión!$A$2:$L$703,12,FALSE),""))</f>
        <v>Stachytarpheta jamaicensis</v>
      </c>
    </row>
    <row r="2110" spans="1:14" x14ac:dyDescent="0.3">
      <c r="A2110" t="s">
        <v>4336</v>
      </c>
      <c r="B2110" t="s">
        <v>4337</v>
      </c>
      <c r="C2110" t="s">
        <v>4337</v>
      </c>
      <c r="D2110" t="s">
        <v>4337</v>
      </c>
      <c r="E2110" t="s">
        <v>18</v>
      </c>
      <c r="F2110" t="s">
        <v>19</v>
      </c>
      <c r="H2110" s="23" t="e">
        <f>VLOOKUP(A2110,Revisión!$A$2:$L$703,6,FALSE)</f>
        <v>#N/A</v>
      </c>
      <c r="I2110" s="4" t="e">
        <f>VLOOKUP(A2110,Revisión!$A$2:$L$703,7,FALSE)</f>
        <v>#N/A</v>
      </c>
      <c r="J2110" s="4" t="e">
        <f>VLOOKUP(A2110,Revisión!$A$2:$L$703,8,FALSE)</f>
        <v>#N/A</v>
      </c>
      <c r="K2110" s="4" t="e">
        <f>VLOOKUP(A2110,Revisión!$A$2:$L$703,9,FALSE)</f>
        <v>#N/A</v>
      </c>
      <c r="L2110" s="4" t="e">
        <f>VLOOKUP(A2110,Revisión!$A$2:$L$703,10,FALSE)</f>
        <v>#N/A</v>
      </c>
      <c r="M2110" s="18" t="e">
        <f>VLOOKUP(A2110,Revisión!$A$2:$L$703,11,FALSE)</f>
        <v>#N/A</v>
      </c>
      <c r="N2110" s="30" t="str">
        <f>IF(E2110="Coinciden",D2110,IF(E2110="Revisar",VLOOKUP(A2110,Revisión!$A$2:$L$703,12,FALSE),""))</f>
        <v>Stachyurus praecox</v>
      </c>
    </row>
    <row r="2111" spans="1:14" x14ac:dyDescent="0.3">
      <c r="A2111" t="s">
        <v>4338</v>
      </c>
      <c r="B2111" t="s">
        <v>4339</v>
      </c>
      <c r="C2111" t="s">
        <v>4339</v>
      </c>
      <c r="D2111" t="s">
        <v>4339</v>
      </c>
      <c r="E2111" t="s">
        <v>18</v>
      </c>
      <c r="F2111" t="s">
        <v>19</v>
      </c>
      <c r="H2111" s="23" t="e">
        <f>VLOOKUP(A2111,Revisión!$A$2:$L$703,6,FALSE)</f>
        <v>#N/A</v>
      </c>
      <c r="I2111" s="4" t="e">
        <f>VLOOKUP(A2111,Revisión!$A$2:$L$703,7,FALSE)</f>
        <v>#N/A</v>
      </c>
      <c r="J2111" s="4" t="e">
        <f>VLOOKUP(A2111,Revisión!$A$2:$L$703,8,FALSE)</f>
        <v>#N/A</v>
      </c>
      <c r="K2111" s="4" t="e">
        <f>VLOOKUP(A2111,Revisión!$A$2:$L$703,9,FALSE)</f>
        <v>#N/A</v>
      </c>
      <c r="L2111" s="4" t="e">
        <f>VLOOKUP(A2111,Revisión!$A$2:$L$703,10,FALSE)</f>
        <v>#N/A</v>
      </c>
      <c r="M2111" s="18" t="e">
        <f>VLOOKUP(A2111,Revisión!$A$2:$L$703,11,FALSE)</f>
        <v>#N/A</v>
      </c>
      <c r="N2111" s="30" t="str">
        <f>IF(E2111="Coinciden",D2111,IF(E2111="Revisar",VLOOKUP(A2111,Revisión!$A$2:$L$703,12,FALSE),""))</f>
        <v>Stackhousia pulvinaris</v>
      </c>
    </row>
    <row r="2112" spans="1:14" x14ac:dyDescent="0.3">
      <c r="A2112" t="s">
        <v>4340</v>
      </c>
      <c r="B2112" t="s">
        <v>4341</v>
      </c>
      <c r="C2112" t="s">
        <v>4341</v>
      </c>
      <c r="D2112" t="s">
        <v>4341</v>
      </c>
      <c r="E2112" t="s">
        <v>18</v>
      </c>
      <c r="F2112" t="s">
        <v>19</v>
      </c>
      <c r="H2112" s="23" t="e">
        <f>VLOOKUP(A2112,Revisión!$A$2:$L$703,6,FALSE)</f>
        <v>#N/A</v>
      </c>
      <c r="I2112" s="4" t="e">
        <f>VLOOKUP(A2112,Revisión!$A$2:$L$703,7,FALSE)</f>
        <v>#N/A</v>
      </c>
      <c r="J2112" s="4" t="e">
        <f>VLOOKUP(A2112,Revisión!$A$2:$L$703,8,FALSE)</f>
        <v>#N/A</v>
      </c>
      <c r="K2112" s="4" t="e">
        <f>VLOOKUP(A2112,Revisión!$A$2:$L$703,9,FALSE)</f>
        <v>#N/A</v>
      </c>
      <c r="L2112" s="4" t="e">
        <f>VLOOKUP(A2112,Revisión!$A$2:$L$703,10,FALSE)</f>
        <v>#N/A</v>
      </c>
      <c r="M2112" s="18" t="e">
        <f>VLOOKUP(A2112,Revisión!$A$2:$L$703,11,FALSE)</f>
        <v>#N/A</v>
      </c>
      <c r="N2112" s="30" t="str">
        <f>IF(E2112="Coinciden",D2112,IF(E2112="Revisar",VLOOKUP(A2112,Revisión!$A$2:$L$703,12,FALSE),""))</f>
        <v>Stanleya pinnata var. pinnata</v>
      </c>
    </row>
    <row r="2113" spans="1:14" x14ac:dyDescent="0.3">
      <c r="A2113" t="s">
        <v>4342</v>
      </c>
      <c r="B2113" t="s">
        <v>4343</v>
      </c>
      <c r="C2113" t="s">
        <v>4343</v>
      </c>
      <c r="D2113" t="s">
        <v>4343</v>
      </c>
      <c r="E2113" t="s">
        <v>18</v>
      </c>
      <c r="F2113" t="s">
        <v>19</v>
      </c>
      <c r="H2113" s="23" t="e">
        <f>VLOOKUP(A2113,Revisión!$A$2:$L$703,6,FALSE)</f>
        <v>#N/A</v>
      </c>
      <c r="I2113" s="4" t="e">
        <f>VLOOKUP(A2113,Revisión!$A$2:$L$703,7,FALSE)</f>
        <v>#N/A</v>
      </c>
      <c r="J2113" s="4" t="e">
        <f>VLOOKUP(A2113,Revisión!$A$2:$L$703,8,FALSE)</f>
        <v>#N/A</v>
      </c>
      <c r="K2113" s="4" t="e">
        <f>VLOOKUP(A2113,Revisión!$A$2:$L$703,9,FALSE)</f>
        <v>#N/A</v>
      </c>
      <c r="L2113" s="4" t="e">
        <f>VLOOKUP(A2113,Revisión!$A$2:$L$703,10,FALSE)</f>
        <v>#N/A</v>
      </c>
      <c r="M2113" s="18" t="e">
        <f>VLOOKUP(A2113,Revisión!$A$2:$L$703,11,FALSE)</f>
        <v>#N/A</v>
      </c>
      <c r="N2113" s="30" t="str">
        <f>IF(E2113="Coinciden",D2113,IF(E2113="Revisar",VLOOKUP(A2113,Revisión!$A$2:$L$703,12,FALSE),""))</f>
        <v>Staphylea trifolia</v>
      </c>
    </row>
    <row r="2114" spans="1:14" x14ac:dyDescent="0.3">
      <c r="A2114" t="s">
        <v>4344</v>
      </c>
      <c r="B2114" t="s">
        <v>4345</v>
      </c>
      <c r="C2114" t="s">
        <v>4345</v>
      </c>
      <c r="D2114" t="s">
        <v>4345</v>
      </c>
      <c r="E2114" t="s">
        <v>18</v>
      </c>
      <c r="F2114" t="s">
        <v>19</v>
      </c>
      <c r="H2114" s="23" t="e">
        <f>VLOOKUP(A2114,Revisión!$A$2:$L$703,6,FALSE)</f>
        <v>#N/A</v>
      </c>
      <c r="I2114" s="4" t="e">
        <f>VLOOKUP(A2114,Revisión!$A$2:$L$703,7,FALSE)</f>
        <v>#N/A</v>
      </c>
      <c r="J2114" s="4" t="e">
        <f>VLOOKUP(A2114,Revisión!$A$2:$L$703,8,FALSE)</f>
        <v>#N/A</v>
      </c>
      <c r="K2114" s="4" t="e">
        <f>VLOOKUP(A2114,Revisión!$A$2:$L$703,9,FALSE)</f>
        <v>#N/A</v>
      </c>
      <c r="L2114" s="4" t="e">
        <f>VLOOKUP(A2114,Revisión!$A$2:$L$703,10,FALSE)</f>
        <v>#N/A</v>
      </c>
      <c r="M2114" s="18" t="e">
        <f>VLOOKUP(A2114,Revisión!$A$2:$L$703,11,FALSE)</f>
        <v>#N/A</v>
      </c>
      <c r="N2114" s="30" t="str">
        <f>IF(E2114="Coinciden",D2114,IF(E2114="Revisar",VLOOKUP(A2114,Revisión!$A$2:$L$703,12,FALSE),""))</f>
        <v>Staphylea bumalda</v>
      </c>
    </row>
    <row r="2115" spans="1:14" x14ac:dyDescent="0.3">
      <c r="A2115" t="s">
        <v>4346</v>
      </c>
      <c r="C2115" t="s">
        <v>4347</v>
      </c>
      <c r="D2115" t="s">
        <v>4347</v>
      </c>
      <c r="E2115" t="s">
        <v>8</v>
      </c>
      <c r="F2115" t="s">
        <v>49</v>
      </c>
      <c r="H2115" s="23" t="str">
        <f>VLOOKUP(A2115,Revisión!$A$2:$L$703,6,FALSE)</f>
        <v>Stauntonia hexaphylla</v>
      </c>
      <c r="I2115" s="4" t="str">
        <f>VLOOKUP(A2115,Revisión!$A$2:$L$703,7,FALSE)</f>
        <v>-</v>
      </c>
      <c r="J2115" s="4" t="str">
        <f>VLOOKUP(A2115,Revisión!$A$2:$L$703,8,FALSE)</f>
        <v>Stauntonia hexaphylla</v>
      </c>
      <c r="K2115" s="4" t="str">
        <f>VLOOKUP(A2115,Revisión!$A$2:$L$703,9,FALSE)</f>
        <v>Stauntonia hexaphylla</v>
      </c>
      <c r="L2115" s="4" t="str">
        <f>VLOOKUP(A2115,Revisión!$A$2:$L$703,10,FALSE)</f>
        <v>Stauntonia hexaphylla</v>
      </c>
      <c r="M2115" s="18">
        <f>VLOOKUP(A2115,Revisión!$A$2:$L$703,11,FALSE)</f>
        <v>5</v>
      </c>
      <c r="N2115" s="30" t="str">
        <f>IF(E2115="Coinciden",D2115,IF(E2115="Revisar",VLOOKUP(A2115,Revisión!$A$2:$L$703,12,FALSE),""))</f>
        <v>Stauntonia hexaphylla</v>
      </c>
    </row>
    <row r="2116" spans="1:14" x14ac:dyDescent="0.3">
      <c r="A2116" t="s">
        <v>4348</v>
      </c>
      <c r="B2116" t="s">
        <v>4349</v>
      </c>
      <c r="C2116" t="s">
        <v>4349</v>
      </c>
      <c r="D2116" t="s">
        <v>4349</v>
      </c>
      <c r="E2116" t="s">
        <v>18</v>
      </c>
      <c r="F2116" t="s">
        <v>19</v>
      </c>
      <c r="H2116" s="23" t="e">
        <f>VLOOKUP(A2116,Revisión!$A$2:$L$703,6,FALSE)</f>
        <v>#N/A</v>
      </c>
      <c r="I2116" s="4" t="e">
        <f>VLOOKUP(A2116,Revisión!$A$2:$L$703,7,FALSE)</f>
        <v>#N/A</v>
      </c>
      <c r="J2116" s="4" t="e">
        <f>VLOOKUP(A2116,Revisión!$A$2:$L$703,8,FALSE)</f>
        <v>#N/A</v>
      </c>
      <c r="K2116" s="4" t="e">
        <f>VLOOKUP(A2116,Revisión!$A$2:$L$703,9,FALSE)</f>
        <v>#N/A</v>
      </c>
      <c r="L2116" s="4" t="e">
        <f>VLOOKUP(A2116,Revisión!$A$2:$L$703,10,FALSE)</f>
        <v>#N/A</v>
      </c>
      <c r="M2116" s="18" t="e">
        <f>VLOOKUP(A2116,Revisión!$A$2:$L$703,11,FALSE)</f>
        <v>#N/A</v>
      </c>
      <c r="N2116" s="30" t="str">
        <f>IF(E2116="Coinciden",D2116,IF(E2116="Revisar",VLOOKUP(A2116,Revisión!$A$2:$L$703,12,FALSE),""))</f>
        <v>Stauracanthus genistoides</v>
      </c>
    </row>
    <row r="2117" spans="1:14" x14ac:dyDescent="0.3">
      <c r="A2117" t="s">
        <v>4350</v>
      </c>
      <c r="C2117" t="s">
        <v>4351</v>
      </c>
      <c r="D2117" t="s">
        <v>4351</v>
      </c>
      <c r="E2117" t="s">
        <v>8</v>
      </c>
      <c r="F2117" t="s">
        <v>49</v>
      </c>
      <c r="H2117" s="23" t="str">
        <f>VLOOKUP(A2117,Revisión!$A$2:$L$703,6,FALSE)</f>
        <v>Stegolepis angustata</v>
      </c>
      <c r="I2117" s="4" t="str">
        <f>VLOOKUP(A2117,Revisión!$A$2:$L$703,7,FALSE)</f>
        <v>-</v>
      </c>
      <c r="J2117" s="4" t="str">
        <f>VLOOKUP(A2117,Revisión!$A$2:$L$703,8,FALSE)</f>
        <v>Stegolepis angustata</v>
      </c>
      <c r="K2117" s="4" t="str">
        <f>VLOOKUP(A2117,Revisión!$A$2:$L$703,9,FALSE)</f>
        <v>Stegolepis angustata</v>
      </c>
      <c r="L2117" s="4" t="str">
        <f>VLOOKUP(A2117,Revisión!$A$2:$L$703,10,FALSE)</f>
        <v>Stegolepis angustata</v>
      </c>
      <c r="M2117" s="18">
        <f>VLOOKUP(A2117,Revisión!$A$2:$L$703,11,FALSE)</f>
        <v>4</v>
      </c>
      <c r="N2117" s="30" t="str">
        <f>IF(E2117="Coinciden",D2117,IF(E2117="Revisar",VLOOKUP(A2117,Revisión!$A$2:$L$703,12,FALSE),""))</f>
        <v>Stegolepis angustata</v>
      </c>
    </row>
    <row r="2118" spans="1:14" x14ac:dyDescent="0.3">
      <c r="A2118" t="s">
        <v>4352</v>
      </c>
      <c r="B2118" t="s">
        <v>4353</v>
      </c>
      <c r="C2118" t="s">
        <v>4353</v>
      </c>
      <c r="D2118" t="s">
        <v>4353</v>
      </c>
      <c r="E2118" t="s">
        <v>18</v>
      </c>
      <c r="F2118" t="s">
        <v>19</v>
      </c>
      <c r="H2118" s="23" t="e">
        <f>VLOOKUP(A2118,Revisión!$A$2:$L$703,6,FALSE)</f>
        <v>#N/A</v>
      </c>
      <c r="I2118" s="4" t="e">
        <f>VLOOKUP(A2118,Revisión!$A$2:$L$703,7,FALSE)</f>
        <v>#N/A</v>
      </c>
      <c r="J2118" s="4" t="e">
        <f>VLOOKUP(A2118,Revisión!$A$2:$L$703,8,FALSE)</f>
        <v>#N/A</v>
      </c>
      <c r="K2118" s="4" t="e">
        <f>VLOOKUP(A2118,Revisión!$A$2:$L$703,9,FALSE)</f>
        <v>#N/A</v>
      </c>
      <c r="L2118" s="4" t="e">
        <f>VLOOKUP(A2118,Revisión!$A$2:$L$703,10,FALSE)</f>
        <v>#N/A</v>
      </c>
      <c r="M2118" s="18" t="e">
        <f>VLOOKUP(A2118,Revisión!$A$2:$L$703,11,FALSE)</f>
        <v>#N/A</v>
      </c>
      <c r="N2118" s="30" t="str">
        <f>IF(E2118="Coinciden",D2118,IF(E2118="Revisar",VLOOKUP(A2118,Revisión!$A$2:$L$703,12,FALSE),""))</f>
        <v>Lysimachia quadriflora</v>
      </c>
    </row>
    <row r="2119" spans="1:14" x14ac:dyDescent="0.3">
      <c r="A2119" t="s">
        <v>4354</v>
      </c>
      <c r="B2119" t="s">
        <v>4355</v>
      </c>
      <c r="C2119" t="s">
        <v>4355</v>
      </c>
      <c r="D2119" t="s">
        <v>4355</v>
      </c>
      <c r="E2119" t="s">
        <v>18</v>
      </c>
      <c r="F2119" t="s">
        <v>19</v>
      </c>
      <c r="H2119" s="23" t="e">
        <f>VLOOKUP(A2119,Revisión!$A$2:$L$703,6,FALSE)</f>
        <v>#N/A</v>
      </c>
      <c r="I2119" s="4" t="e">
        <f>VLOOKUP(A2119,Revisión!$A$2:$L$703,7,FALSE)</f>
        <v>#N/A</v>
      </c>
      <c r="J2119" s="4" t="e">
        <f>VLOOKUP(A2119,Revisión!$A$2:$L$703,8,FALSE)</f>
        <v>#N/A</v>
      </c>
      <c r="K2119" s="4" t="e">
        <f>VLOOKUP(A2119,Revisión!$A$2:$L$703,9,FALSE)</f>
        <v>#N/A</v>
      </c>
      <c r="L2119" s="4" t="e">
        <f>VLOOKUP(A2119,Revisión!$A$2:$L$703,10,FALSE)</f>
        <v>#N/A</v>
      </c>
      <c r="M2119" s="18" t="e">
        <f>VLOOKUP(A2119,Revisión!$A$2:$L$703,11,FALSE)</f>
        <v>#N/A</v>
      </c>
      <c r="N2119" s="30" t="str">
        <f>IF(E2119="Coinciden",D2119,IF(E2119="Revisar",VLOOKUP(A2119,Revisión!$A$2:$L$703,12,FALSE),""))</f>
        <v>Lysimachia lanceolata</v>
      </c>
    </row>
    <row r="2120" spans="1:14" x14ac:dyDescent="0.3">
      <c r="A2120" t="s">
        <v>4356</v>
      </c>
      <c r="B2120" t="s">
        <v>4357</v>
      </c>
      <c r="C2120" t="s">
        <v>4357</v>
      </c>
      <c r="D2120" t="s">
        <v>4357</v>
      </c>
      <c r="E2120" t="s">
        <v>18</v>
      </c>
      <c r="F2120" t="s">
        <v>19</v>
      </c>
      <c r="H2120" s="23" t="e">
        <f>VLOOKUP(A2120,Revisión!$A$2:$L$703,6,FALSE)</f>
        <v>#N/A</v>
      </c>
      <c r="I2120" s="4" t="e">
        <f>VLOOKUP(A2120,Revisión!$A$2:$L$703,7,FALSE)</f>
        <v>#N/A</v>
      </c>
      <c r="J2120" s="4" t="e">
        <f>VLOOKUP(A2120,Revisión!$A$2:$L$703,8,FALSE)</f>
        <v>#N/A</v>
      </c>
      <c r="K2120" s="4" t="e">
        <f>VLOOKUP(A2120,Revisión!$A$2:$L$703,9,FALSE)</f>
        <v>#N/A</v>
      </c>
      <c r="L2120" s="4" t="e">
        <f>VLOOKUP(A2120,Revisión!$A$2:$L$703,10,FALSE)</f>
        <v>#N/A</v>
      </c>
      <c r="M2120" s="18" t="e">
        <f>VLOOKUP(A2120,Revisión!$A$2:$L$703,11,FALSE)</f>
        <v>#N/A</v>
      </c>
      <c r="N2120" s="30" t="str">
        <f>IF(E2120="Coinciden",D2120,IF(E2120="Revisar",VLOOKUP(A2120,Revisión!$A$2:$L$703,12,FALSE),""))</f>
        <v>Lysimachia ciliata</v>
      </c>
    </row>
    <row r="2121" spans="1:14" x14ac:dyDescent="0.3">
      <c r="A2121" t="s">
        <v>4358</v>
      </c>
      <c r="B2121" t="s">
        <v>4359</v>
      </c>
      <c r="C2121" t="s">
        <v>4359</v>
      </c>
      <c r="D2121" t="s">
        <v>4359</v>
      </c>
      <c r="E2121" t="s">
        <v>18</v>
      </c>
      <c r="F2121" t="s">
        <v>19</v>
      </c>
      <c r="H2121" s="23" t="e">
        <f>VLOOKUP(A2121,Revisión!$A$2:$L$703,6,FALSE)</f>
        <v>#N/A</v>
      </c>
      <c r="I2121" s="4" t="e">
        <f>VLOOKUP(A2121,Revisión!$A$2:$L$703,7,FALSE)</f>
        <v>#N/A</v>
      </c>
      <c r="J2121" s="4" t="e">
        <f>VLOOKUP(A2121,Revisión!$A$2:$L$703,8,FALSE)</f>
        <v>#N/A</v>
      </c>
      <c r="K2121" s="4" t="e">
        <f>VLOOKUP(A2121,Revisión!$A$2:$L$703,9,FALSE)</f>
        <v>#N/A</v>
      </c>
      <c r="L2121" s="4" t="e">
        <f>VLOOKUP(A2121,Revisión!$A$2:$L$703,10,FALSE)</f>
        <v>#N/A</v>
      </c>
      <c r="M2121" s="18" t="e">
        <f>VLOOKUP(A2121,Revisión!$A$2:$L$703,11,FALSE)</f>
        <v>#N/A</v>
      </c>
      <c r="N2121" s="30" t="str">
        <f>IF(E2121="Coinciden",D2121,IF(E2121="Revisar",VLOOKUP(A2121,Revisión!$A$2:$L$703,12,FALSE),""))</f>
        <v>Stellaria longipes</v>
      </c>
    </row>
    <row r="2122" spans="1:14" x14ac:dyDescent="0.3">
      <c r="A2122" t="s">
        <v>4360</v>
      </c>
      <c r="E2122" t="s">
        <v>8</v>
      </c>
      <c r="F2122" t="s">
        <v>11</v>
      </c>
      <c r="H2122" s="23" t="e">
        <f>VLOOKUP(A2122,Revisión!$A$2:$L$703,6,FALSE)</f>
        <v>#N/A</v>
      </c>
      <c r="I2122" s="4" t="e">
        <f>VLOOKUP(A2122,Revisión!$A$2:$L$703,7,FALSE)</f>
        <v>#N/A</v>
      </c>
      <c r="J2122" s="4" t="e">
        <f>VLOOKUP(A2122,Revisión!$A$2:$L$703,8,FALSE)</f>
        <v>#N/A</v>
      </c>
      <c r="K2122" s="4" t="e">
        <f>VLOOKUP(A2122,Revisión!$A$2:$L$703,9,FALSE)</f>
        <v>#N/A</v>
      </c>
      <c r="L2122" s="4" t="e">
        <f>VLOOKUP(A2122,Revisión!$A$2:$L$703,10,FALSE)</f>
        <v>#N/A</v>
      </c>
      <c r="M2122" s="18" t="e">
        <f>VLOOKUP(A2122,Revisión!$A$2:$L$703,11,FALSE)</f>
        <v>#N/A</v>
      </c>
      <c r="N2122" s="30" t="e">
        <f>IF(E2122="Coinciden",D2122,IF(E2122="Revisar",VLOOKUP(A2122,Revisión!$A$2:$L$703,12,FALSE),""))</f>
        <v>#N/A</v>
      </c>
    </row>
    <row r="2123" spans="1:14" x14ac:dyDescent="0.3">
      <c r="A2123" t="s">
        <v>4361</v>
      </c>
      <c r="B2123" t="s">
        <v>4362</v>
      </c>
      <c r="C2123" t="s">
        <v>4362</v>
      </c>
      <c r="D2123" t="s">
        <v>4362</v>
      </c>
      <c r="E2123" t="s">
        <v>18</v>
      </c>
      <c r="F2123" t="s">
        <v>19</v>
      </c>
      <c r="H2123" s="23" t="e">
        <f>VLOOKUP(A2123,Revisión!$A$2:$L$703,6,FALSE)</f>
        <v>#N/A</v>
      </c>
      <c r="I2123" s="4" t="e">
        <f>VLOOKUP(A2123,Revisión!$A$2:$L$703,7,FALSE)</f>
        <v>#N/A</v>
      </c>
      <c r="J2123" s="4" t="e">
        <f>VLOOKUP(A2123,Revisión!$A$2:$L$703,8,FALSE)</f>
        <v>#N/A</v>
      </c>
      <c r="K2123" s="4" t="e">
        <f>VLOOKUP(A2123,Revisión!$A$2:$L$703,9,FALSE)</f>
        <v>#N/A</v>
      </c>
      <c r="L2123" s="4" t="e">
        <f>VLOOKUP(A2123,Revisión!$A$2:$L$703,10,FALSE)</f>
        <v>#N/A</v>
      </c>
      <c r="M2123" s="18" t="e">
        <f>VLOOKUP(A2123,Revisión!$A$2:$L$703,11,FALSE)</f>
        <v>#N/A</v>
      </c>
      <c r="N2123" s="30" t="str">
        <f>IF(E2123="Coinciden",D2123,IF(E2123="Revisar",VLOOKUP(A2123,Revisión!$A$2:$L$703,12,FALSE),""))</f>
        <v>Stellaria pubera</v>
      </c>
    </row>
    <row r="2124" spans="1:14" x14ac:dyDescent="0.3">
      <c r="A2124" t="s">
        <v>4363</v>
      </c>
      <c r="B2124" t="s">
        <v>4364</v>
      </c>
      <c r="D2124" t="s">
        <v>4364</v>
      </c>
      <c r="E2124" t="s">
        <v>8</v>
      </c>
      <c r="F2124" t="s">
        <v>34</v>
      </c>
      <c r="H2124" s="23" t="str">
        <f>VLOOKUP(A2124,Revisión!$A$2:$L$703,6,FALSE)</f>
        <v>Stellaria media</v>
      </c>
      <c r="I2124" s="4" t="str">
        <f>VLOOKUP(A2124,Revisión!$A$2:$L$703,7,FALSE)</f>
        <v>-</v>
      </c>
      <c r="J2124" s="4" t="str">
        <f>VLOOKUP(A2124,Revisión!$A$2:$L$703,8,FALSE)</f>
        <v>Stellaria media</v>
      </c>
      <c r="K2124" s="4" t="str">
        <f>VLOOKUP(A2124,Revisión!$A$2:$L$703,9,FALSE)</f>
        <v>Stellaria media</v>
      </c>
      <c r="L2124" s="4" t="str">
        <f>VLOOKUP(A2124,Revisión!$A$2:$L$703,10,FALSE)</f>
        <v>Stellaria media</v>
      </c>
      <c r="M2124" s="18">
        <f>VLOOKUP(A2124,Revisión!$A$2:$L$703,11,FALSE)</f>
        <v>5</v>
      </c>
      <c r="N2124" s="30" t="str">
        <f>IF(E2124="Coinciden",D2124,IF(E2124="Revisar",VLOOKUP(A2124,Revisión!$A$2:$L$703,12,FALSE),""))</f>
        <v>Stellaria media</v>
      </c>
    </row>
    <row r="2125" spans="1:14" x14ac:dyDescent="0.3">
      <c r="A2125" t="s">
        <v>4363</v>
      </c>
      <c r="B2125" t="s">
        <v>4364</v>
      </c>
      <c r="D2125" t="s">
        <v>4364</v>
      </c>
      <c r="E2125" t="s">
        <v>8</v>
      </c>
      <c r="F2125" t="s">
        <v>34</v>
      </c>
      <c r="H2125" s="23" t="str">
        <f>VLOOKUP(A2125,Revisión!$A$2:$L$703,6,FALSE)</f>
        <v>Stellaria media</v>
      </c>
      <c r="I2125" s="4" t="str">
        <f>VLOOKUP(A2125,Revisión!$A$2:$L$703,7,FALSE)</f>
        <v>-</v>
      </c>
      <c r="J2125" s="4" t="str">
        <f>VLOOKUP(A2125,Revisión!$A$2:$L$703,8,FALSE)</f>
        <v>Stellaria media</v>
      </c>
      <c r="K2125" s="4" t="str">
        <f>VLOOKUP(A2125,Revisión!$A$2:$L$703,9,FALSE)</f>
        <v>Stellaria media</v>
      </c>
      <c r="L2125" s="4" t="str">
        <f>VLOOKUP(A2125,Revisión!$A$2:$L$703,10,FALSE)</f>
        <v>Stellaria media</v>
      </c>
      <c r="M2125" s="18">
        <f>VLOOKUP(A2125,Revisión!$A$2:$L$703,11,FALSE)</f>
        <v>5</v>
      </c>
      <c r="N2125" s="30" t="str">
        <f>IF(E2125="Coinciden",D2125,IF(E2125="Revisar",VLOOKUP(A2125,Revisión!$A$2:$L$703,12,FALSE),""))</f>
        <v>Stellaria media</v>
      </c>
    </row>
    <row r="2126" spans="1:14" x14ac:dyDescent="0.3">
      <c r="A2126" t="s">
        <v>4365</v>
      </c>
      <c r="B2126" t="s">
        <v>4366</v>
      </c>
      <c r="D2126" t="s">
        <v>4366</v>
      </c>
      <c r="E2126" t="s">
        <v>8</v>
      </c>
      <c r="F2126" t="s">
        <v>34</v>
      </c>
      <c r="H2126" s="23" t="str">
        <f>VLOOKUP(A2126,Revisión!$A$2:$L$703,6,FALSE)</f>
        <v>Stellaria palustris</v>
      </c>
      <c r="I2126" s="4" t="str">
        <f>VLOOKUP(A2126,Revisión!$A$2:$L$703,7,FALSE)</f>
        <v>-</v>
      </c>
      <c r="J2126" s="4" t="str">
        <f>VLOOKUP(A2126,Revisión!$A$2:$L$703,8,FALSE)</f>
        <v>Stellaria palustris</v>
      </c>
      <c r="K2126" s="4" t="str">
        <f>VLOOKUP(A2126,Revisión!$A$2:$L$703,9,FALSE)</f>
        <v>Stellaria palustris</v>
      </c>
      <c r="L2126" s="4" t="str">
        <f>VLOOKUP(A2126,Revisión!$A$2:$L$703,10,FALSE)</f>
        <v>Stellaria palustris</v>
      </c>
      <c r="M2126" s="18">
        <f>VLOOKUP(A2126,Revisión!$A$2:$L$703,11,FALSE)</f>
        <v>5</v>
      </c>
      <c r="N2126" s="30" t="str">
        <f>IF(E2126="Coinciden",D2126,IF(E2126="Revisar",VLOOKUP(A2126,Revisión!$A$2:$L$703,12,FALSE),""))</f>
        <v>Stellaria palustris</v>
      </c>
    </row>
    <row r="2127" spans="1:14" x14ac:dyDescent="0.3">
      <c r="A2127" t="s">
        <v>4365</v>
      </c>
      <c r="B2127" t="s">
        <v>4366</v>
      </c>
      <c r="D2127" t="s">
        <v>4366</v>
      </c>
      <c r="E2127" t="s">
        <v>8</v>
      </c>
      <c r="F2127" t="s">
        <v>34</v>
      </c>
      <c r="H2127" s="23" t="str">
        <f>VLOOKUP(A2127,Revisión!$A$2:$L$703,6,FALSE)</f>
        <v>Stellaria palustris</v>
      </c>
      <c r="I2127" s="4" t="str">
        <f>VLOOKUP(A2127,Revisión!$A$2:$L$703,7,FALSE)</f>
        <v>-</v>
      </c>
      <c r="J2127" s="4" t="str">
        <f>VLOOKUP(A2127,Revisión!$A$2:$L$703,8,FALSE)</f>
        <v>Stellaria palustris</v>
      </c>
      <c r="K2127" s="4" t="str">
        <f>VLOOKUP(A2127,Revisión!$A$2:$L$703,9,FALSE)</f>
        <v>Stellaria palustris</v>
      </c>
      <c r="L2127" s="4" t="str">
        <f>VLOOKUP(A2127,Revisión!$A$2:$L$703,10,FALSE)</f>
        <v>Stellaria palustris</v>
      </c>
      <c r="M2127" s="18">
        <f>VLOOKUP(A2127,Revisión!$A$2:$L$703,11,FALSE)</f>
        <v>5</v>
      </c>
      <c r="N2127" s="30" t="str">
        <f>IF(E2127="Coinciden",D2127,IF(E2127="Revisar",VLOOKUP(A2127,Revisión!$A$2:$L$703,12,FALSE),""))</f>
        <v>Stellaria palustris</v>
      </c>
    </row>
    <row r="2128" spans="1:14" x14ac:dyDescent="0.3">
      <c r="A2128" t="s">
        <v>4367</v>
      </c>
      <c r="B2128" t="s">
        <v>4368</v>
      </c>
      <c r="D2128" t="s">
        <v>4368</v>
      </c>
      <c r="E2128" t="s">
        <v>8</v>
      </c>
      <c r="F2128" t="s">
        <v>34</v>
      </c>
      <c r="H2128" s="23" t="str">
        <f>VLOOKUP(A2128,Revisión!$A$2:$L$703,6,FALSE)</f>
        <v>Stellaria graminea</v>
      </c>
      <c r="I2128" s="4" t="str">
        <f>VLOOKUP(A2128,Revisión!$A$2:$L$703,7,FALSE)</f>
        <v>-</v>
      </c>
      <c r="J2128" s="4" t="str">
        <f>VLOOKUP(A2128,Revisión!$A$2:$L$703,8,FALSE)</f>
        <v>Stellaria graminea</v>
      </c>
      <c r="K2128" s="4" t="str">
        <f>VLOOKUP(A2128,Revisión!$A$2:$L$703,9,FALSE)</f>
        <v>Stellaria graminea</v>
      </c>
      <c r="L2128" s="4" t="str">
        <f>VLOOKUP(A2128,Revisión!$A$2:$L$703,10,FALSE)</f>
        <v>Stellaria graminea</v>
      </c>
      <c r="M2128" s="18">
        <f>VLOOKUP(A2128,Revisión!$A$2:$L$703,11,FALSE)</f>
        <v>5</v>
      </c>
      <c r="N2128" s="30" t="str">
        <f>IF(E2128="Coinciden",D2128,IF(E2128="Revisar",VLOOKUP(A2128,Revisión!$A$2:$L$703,12,FALSE),""))</f>
        <v>Stellaria graminea</v>
      </c>
    </row>
    <row r="2129" spans="1:14" x14ac:dyDescent="0.3">
      <c r="A2129" t="s">
        <v>4367</v>
      </c>
      <c r="B2129" t="s">
        <v>4368</v>
      </c>
      <c r="D2129" t="s">
        <v>4368</v>
      </c>
      <c r="E2129" t="s">
        <v>8</v>
      </c>
      <c r="F2129" t="s">
        <v>34</v>
      </c>
      <c r="H2129" s="23" t="str">
        <f>VLOOKUP(A2129,Revisión!$A$2:$L$703,6,FALSE)</f>
        <v>Stellaria graminea</v>
      </c>
      <c r="I2129" s="4" t="str">
        <f>VLOOKUP(A2129,Revisión!$A$2:$L$703,7,FALSE)</f>
        <v>-</v>
      </c>
      <c r="J2129" s="4" t="str">
        <f>VLOOKUP(A2129,Revisión!$A$2:$L$703,8,FALSE)</f>
        <v>Stellaria graminea</v>
      </c>
      <c r="K2129" s="4" t="str">
        <f>VLOOKUP(A2129,Revisión!$A$2:$L$703,9,FALSE)</f>
        <v>Stellaria graminea</v>
      </c>
      <c r="L2129" s="4" t="str">
        <f>VLOOKUP(A2129,Revisión!$A$2:$L$703,10,FALSE)</f>
        <v>Stellaria graminea</v>
      </c>
      <c r="M2129" s="18">
        <f>VLOOKUP(A2129,Revisión!$A$2:$L$703,11,FALSE)</f>
        <v>5</v>
      </c>
      <c r="N2129" s="30" t="str">
        <f>IF(E2129="Coinciden",D2129,IF(E2129="Revisar",VLOOKUP(A2129,Revisión!$A$2:$L$703,12,FALSE),""))</f>
        <v>Stellaria graminea</v>
      </c>
    </row>
    <row r="2130" spans="1:14" x14ac:dyDescent="0.3">
      <c r="A2130" t="s">
        <v>4369</v>
      </c>
      <c r="B2130" t="s">
        <v>4370</v>
      </c>
      <c r="C2130" t="s">
        <v>4370</v>
      </c>
      <c r="E2130" t="s">
        <v>8</v>
      </c>
      <c r="F2130" t="s">
        <v>323</v>
      </c>
      <c r="H2130" s="23" t="str">
        <f>VLOOKUP(A2130,Revisión!$A$2:$L$703,6,FALSE)</f>
        <v>Stellaria uchiyamana</v>
      </c>
      <c r="I2130" s="4" t="str">
        <f>VLOOKUP(A2130,Revisión!$A$2:$L$703,7,FALSE)</f>
        <v>-</v>
      </c>
      <c r="J2130" s="4" t="str">
        <f>VLOOKUP(A2130,Revisión!$A$2:$L$703,8,FALSE)</f>
        <v>Stellaria uchiyamana</v>
      </c>
      <c r="K2130" s="4" t="str">
        <f>VLOOKUP(A2130,Revisión!$A$2:$L$703,9,FALSE)</f>
        <v>Stellaria uchiyamana</v>
      </c>
      <c r="L2130" s="4" t="str">
        <f>VLOOKUP(A2130,Revisión!$A$2:$L$703,10,FALSE)</f>
        <v>Stellaria uchiyamana</v>
      </c>
      <c r="M2130" s="18">
        <f>VLOOKUP(A2130,Revisión!$A$2:$L$703,11,FALSE)</f>
        <v>4</v>
      </c>
      <c r="N2130" s="30" t="str">
        <f>IF(E2130="Coinciden",D2130,IF(E2130="Revisar",VLOOKUP(A2130,Revisión!$A$2:$L$703,12,FALSE),""))</f>
        <v>Stellaria uchiyamana</v>
      </c>
    </row>
    <row r="2131" spans="1:14" x14ac:dyDescent="0.3">
      <c r="A2131" t="s">
        <v>4371</v>
      </c>
      <c r="B2131" t="s">
        <v>4372</v>
      </c>
      <c r="D2131" t="s">
        <v>4373</v>
      </c>
      <c r="E2131" t="s">
        <v>8</v>
      </c>
      <c r="F2131" t="s">
        <v>9</v>
      </c>
      <c r="H2131" s="23" t="str">
        <f>VLOOKUP(A2131,Revisión!$A$2:$L$703,6,FALSE)</f>
        <v>Stellaria alsine</v>
      </c>
      <c r="I2131" s="4" t="str">
        <f>VLOOKUP(A2131,Revisión!$A$2:$L$703,7,FALSE)</f>
        <v>-</v>
      </c>
      <c r="J2131" s="4" t="str">
        <f>VLOOKUP(A2131,Revisión!$A$2:$L$703,8,FALSE)</f>
        <v>Stellaria alsine</v>
      </c>
      <c r="K2131" s="4" t="str">
        <f>VLOOKUP(A2131,Revisión!$A$2:$L$703,9,FALSE)</f>
        <v>Stellaria alsine</v>
      </c>
      <c r="L2131" s="4" t="str">
        <f>VLOOKUP(A2131,Revisión!$A$2:$L$703,10,FALSE)</f>
        <v>Stellaria alsine</v>
      </c>
      <c r="M2131" s="18">
        <f>VLOOKUP(A2131,Revisión!$A$2:$L$703,11,FALSE)</f>
        <v>4</v>
      </c>
      <c r="N2131" s="30" t="str">
        <f>IF(E2131="Coinciden",D2131,IF(E2131="Revisar",VLOOKUP(A2131,Revisión!$A$2:$L$703,12,FALSE),""))</f>
        <v>Stellaria alsine</v>
      </c>
    </row>
    <row r="2132" spans="1:14" x14ac:dyDescent="0.3">
      <c r="A2132" t="s">
        <v>4374</v>
      </c>
      <c r="B2132" t="s">
        <v>4375</v>
      </c>
      <c r="D2132" t="s">
        <v>4375</v>
      </c>
      <c r="E2132" t="s">
        <v>8</v>
      </c>
      <c r="F2132" t="s">
        <v>34</v>
      </c>
      <c r="H2132" s="23" t="str">
        <f>VLOOKUP(A2132,Revisión!$A$2:$L$703,6,FALSE)</f>
        <v>Stellaria longifolia</v>
      </c>
      <c r="I2132" s="4" t="str">
        <f>VLOOKUP(A2132,Revisión!$A$2:$L$703,7,FALSE)</f>
        <v>-</v>
      </c>
      <c r="J2132" s="4" t="str">
        <f>VLOOKUP(A2132,Revisión!$A$2:$L$703,8,FALSE)</f>
        <v>Stellaria longifolia</v>
      </c>
      <c r="K2132" s="4" t="str">
        <f>VLOOKUP(A2132,Revisión!$A$2:$L$703,9,FALSE)</f>
        <v>Stellaria longifolia</v>
      </c>
      <c r="L2132" s="4" t="str">
        <f>VLOOKUP(A2132,Revisión!$A$2:$L$703,10,FALSE)</f>
        <v>Stellaria longifolia</v>
      </c>
      <c r="M2132" s="18">
        <f>VLOOKUP(A2132,Revisión!$A$2:$L$703,11,FALSE)</f>
        <v>4</v>
      </c>
      <c r="N2132" s="30" t="str">
        <f>IF(E2132="Coinciden",D2132,IF(E2132="Revisar",VLOOKUP(A2132,Revisión!$A$2:$L$703,12,FALSE),""))</f>
        <v>Stellaria longifolia</v>
      </c>
    </row>
    <row r="2133" spans="1:14" x14ac:dyDescent="0.3">
      <c r="A2133" t="s">
        <v>4376</v>
      </c>
      <c r="B2133" t="s">
        <v>1664</v>
      </c>
      <c r="C2133" t="s">
        <v>1664</v>
      </c>
      <c r="D2133" t="s">
        <v>1664</v>
      </c>
      <c r="E2133" t="s">
        <v>18</v>
      </c>
      <c r="F2133" t="s">
        <v>19</v>
      </c>
      <c r="H2133" s="23" t="e">
        <f>VLOOKUP(A2133,Revisión!$A$2:$L$703,6,FALSE)</f>
        <v>#N/A</v>
      </c>
      <c r="I2133" s="4" t="e">
        <f>VLOOKUP(A2133,Revisión!$A$2:$L$703,7,FALSE)</f>
        <v>#N/A</v>
      </c>
      <c r="J2133" s="4" t="e">
        <f>VLOOKUP(A2133,Revisión!$A$2:$L$703,8,FALSE)</f>
        <v>#N/A</v>
      </c>
      <c r="K2133" s="4" t="e">
        <f>VLOOKUP(A2133,Revisión!$A$2:$L$703,9,FALSE)</f>
        <v>#N/A</v>
      </c>
      <c r="L2133" s="4" t="e">
        <f>VLOOKUP(A2133,Revisión!$A$2:$L$703,10,FALSE)</f>
        <v>#N/A</v>
      </c>
      <c r="M2133" s="18" t="e">
        <f>VLOOKUP(A2133,Revisión!$A$2:$L$703,11,FALSE)</f>
        <v>#N/A</v>
      </c>
      <c r="N2133" s="30" t="str">
        <f>IF(E2133="Coinciden",D2133,IF(E2133="Revisar",VLOOKUP(A2133,Revisión!$A$2:$L$703,12,FALSE),""))</f>
        <v>Erigeron annuus</v>
      </c>
    </row>
    <row r="2134" spans="1:14" x14ac:dyDescent="0.3">
      <c r="A2134" t="s">
        <v>4377</v>
      </c>
      <c r="B2134" t="s">
        <v>4378</v>
      </c>
      <c r="C2134" t="s">
        <v>4378</v>
      </c>
      <c r="D2134" t="s">
        <v>4378</v>
      </c>
      <c r="E2134" t="s">
        <v>18</v>
      </c>
      <c r="F2134" t="s">
        <v>19</v>
      </c>
      <c r="H2134" s="23" t="e">
        <f>VLOOKUP(A2134,Revisión!$A$2:$L$703,6,FALSE)</f>
        <v>#N/A</v>
      </c>
      <c r="I2134" s="4" t="e">
        <f>VLOOKUP(A2134,Revisión!$A$2:$L$703,7,FALSE)</f>
        <v>#N/A</v>
      </c>
      <c r="J2134" s="4" t="e">
        <f>VLOOKUP(A2134,Revisión!$A$2:$L$703,8,FALSE)</f>
        <v>#N/A</v>
      </c>
      <c r="K2134" s="4" t="e">
        <f>VLOOKUP(A2134,Revisión!$A$2:$L$703,9,FALSE)</f>
        <v>#N/A</v>
      </c>
      <c r="L2134" s="4" t="e">
        <f>VLOOKUP(A2134,Revisión!$A$2:$L$703,10,FALSE)</f>
        <v>#N/A</v>
      </c>
      <c r="M2134" s="18" t="e">
        <f>VLOOKUP(A2134,Revisión!$A$2:$L$703,11,FALSE)</f>
        <v>#N/A</v>
      </c>
      <c r="N2134" s="30" t="str">
        <f>IF(E2134="Coinciden",D2134,IF(E2134="Revisar",VLOOKUP(A2134,Revisión!$A$2:$L$703,12,FALSE),""))</f>
        <v>Stenanthium gramineum</v>
      </c>
    </row>
    <row r="2135" spans="1:14" x14ac:dyDescent="0.3">
      <c r="A2135" t="s">
        <v>4379</v>
      </c>
      <c r="B2135" t="s">
        <v>4380</v>
      </c>
      <c r="C2135" t="s">
        <v>4380</v>
      </c>
      <c r="D2135" t="s">
        <v>4380</v>
      </c>
      <c r="E2135" t="s">
        <v>18</v>
      </c>
      <c r="F2135" t="s">
        <v>19</v>
      </c>
      <c r="H2135" s="23" t="e">
        <f>VLOOKUP(A2135,Revisión!$A$2:$L$703,6,FALSE)</f>
        <v>#N/A</v>
      </c>
      <c r="I2135" s="4" t="e">
        <f>VLOOKUP(A2135,Revisión!$A$2:$L$703,7,FALSE)</f>
        <v>#N/A</v>
      </c>
      <c r="J2135" s="4" t="e">
        <f>VLOOKUP(A2135,Revisión!$A$2:$L$703,8,FALSE)</f>
        <v>#N/A</v>
      </c>
      <c r="K2135" s="4" t="e">
        <f>VLOOKUP(A2135,Revisión!$A$2:$L$703,9,FALSE)</f>
        <v>#N/A</v>
      </c>
      <c r="L2135" s="4" t="e">
        <f>VLOOKUP(A2135,Revisión!$A$2:$L$703,10,FALSE)</f>
        <v>#N/A</v>
      </c>
      <c r="M2135" s="18" t="e">
        <f>VLOOKUP(A2135,Revisión!$A$2:$L$703,11,FALSE)</f>
        <v>#N/A</v>
      </c>
      <c r="N2135" s="30" t="str">
        <f>IF(E2135="Coinciden",D2135,IF(E2135="Revisar",VLOOKUP(A2135,Revisión!$A$2:$L$703,12,FALSE),""))</f>
        <v>Stenodraba stenophylla</v>
      </c>
    </row>
    <row r="2136" spans="1:14" x14ac:dyDescent="0.3">
      <c r="A2136" t="s">
        <v>4381</v>
      </c>
      <c r="B2136" t="s">
        <v>4382</v>
      </c>
      <c r="C2136" t="s">
        <v>4382</v>
      </c>
      <c r="D2136" t="s">
        <v>4382</v>
      </c>
      <c r="E2136" t="s">
        <v>18</v>
      </c>
      <c r="F2136" t="s">
        <v>19</v>
      </c>
      <c r="H2136" s="23" t="e">
        <f>VLOOKUP(A2136,Revisión!$A$2:$L$703,6,FALSE)</f>
        <v>#N/A</v>
      </c>
      <c r="I2136" s="4" t="e">
        <f>VLOOKUP(A2136,Revisión!$A$2:$L$703,7,FALSE)</f>
        <v>#N/A</v>
      </c>
      <c r="J2136" s="4" t="e">
        <f>VLOOKUP(A2136,Revisión!$A$2:$L$703,8,FALSE)</f>
        <v>#N/A</v>
      </c>
      <c r="K2136" s="4" t="e">
        <f>VLOOKUP(A2136,Revisión!$A$2:$L$703,9,FALSE)</f>
        <v>#N/A</v>
      </c>
      <c r="L2136" s="4" t="e">
        <f>VLOOKUP(A2136,Revisión!$A$2:$L$703,10,FALSE)</f>
        <v>#N/A</v>
      </c>
      <c r="M2136" s="18" t="e">
        <f>VLOOKUP(A2136,Revisión!$A$2:$L$703,11,FALSE)</f>
        <v>#N/A</v>
      </c>
      <c r="N2136" s="30" t="str">
        <f>IF(E2136="Coinciden",D2136,IF(E2136="Revisar",VLOOKUP(A2136,Revisión!$A$2:$L$703,12,FALSE),""))</f>
        <v>Neillia incisa</v>
      </c>
    </row>
    <row r="2137" spans="1:14" x14ac:dyDescent="0.3">
      <c r="A2137" t="s">
        <v>4383</v>
      </c>
      <c r="B2137" t="s">
        <v>4384</v>
      </c>
      <c r="C2137" t="s">
        <v>4384</v>
      </c>
      <c r="D2137" t="s">
        <v>4384</v>
      </c>
      <c r="E2137" t="s">
        <v>18</v>
      </c>
      <c r="F2137" t="s">
        <v>19</v>
      </c>
      <c r="H2137" s="23" t="e">
        <f>VLOOKUP(A2137,Revisión!$A$2:$L$703,6,FALSE)</f>
        <v>#N/A</v>
      </c>
      <c r="I2137" s="4" t="e">
        <f>VLOOKUP(A2137,Revisión!$A$2:$L$703,7,FALSE)</f>
        <v>#N/A</v>
      </c>
      <c r="J2137" s="4" t="e">
        <f>VLOOKUP(A2137,Revisión!$A$2:$L$703,8,FALSE)</f>
        <v>#N/A</v>
      </c>
      <c r="K2137" s="4" t="e">
        <f>VLOOKUP(A2137,Revisión!$A$2:$L$703,9,FALSE)</f>
        <v>#N/A</v>
      </c>
      <c r="L2137" s="4" t="e">
        <f>VLOOKUP(A2137,Revisión!$A$2:$L$703,10,FALSE)</f>
        <v>#N/A</v>
      </c>
      <c r="M2137" s="18" t="e">
        <f>VLOOKUP(A2137,Revisión!$A$2:$L$703,11,FALSE)</f>
        <v>#N/A</v>
      </c>
      <c r="N2137" s="30" t="str">
        <f>IF(E2137="Coinciden",D2137,IF(E2137="Revisar",VLOOKUP(A2137,Revisión!$A$2:$L$703,12,FALSE),""))</f>
        <v>Sternbergia lutea</v>
      </c>
    </row>
    <row r="2138" spans="1:14" x14ac:dyDescent="0.3">
      <c r="A2138" t="s">
        <v>4385</v>
      </c>
      <c r="B2138" t="s">
        <v>4386</v>
      </c>
      <c r="C2138" t="s">
        <v>4387</v>
      </c>
      <c r="E2138" t="s">
        <v>8</v>
      </c>
      <c r="F2138" t="s">
        <v>9</v>
      </c>
      <c r="H2138" s="23" t="str">
        <f>VLOOKUP(A2138,Revisión!$A$2:$L$703,6,FALSE)</f>
        <v>Stevia satureifolia</v>
      </c>
      <c r="I2138" s="4" t="str">
        <f>VLOOKUP(A2138,Revisión!$A$2:$L$703,7,FALSE)</f>
        <v>-</v>
      </c>
      <c r="J2138" s="4" t="str">
        <f>VLOOKUP(A2138,Revisión!$A$2:$L$703,8,FALSE)</f>
        <v>Stevia satureiifolium</v>
      </c>
      <c r="K2138" s="4" t="str">
        <f>VLOOKUP(A2138,Revisión!$A$2:$L$703,9,FALSE)</f>
        <v>Stevia satureifolium</v>
      </c>
      <c r="L2138" s="4" t="str">
        <f>VLOOKUP(A2138,Revisión!$A$2:$L$703,10,FALSE)</f>
        <v>Stevia satureiifolium</v>
      </c>
      <c r="M2138" s="18">
        <f>VLOOKUP(A2138,Revisión!$A$2:$L$703,11,FALSE)</f>
        <v>4</v>
      </c>
      <c r="N2138" s="30" t="str">
        <f>IF(E2138="Coinciden",D2138,IF(E2138="Revisar",VLOOKUP(A2138,Revisión!$A$2:$L$703,12,FALSE),""))</f>
        <v>Stevia satureiifolia</v>
      </c>
    </row>
    <row r="2139" spans="1:14" x14ac:dyDescent="0.3">
      <c r="A2139" t="s">
        <v>4388</v>
      </c>
      <c r="B2139" t="s">
        <v>4389</v>
      </c>
      <c r="C2139" t="s">
        <v>4389</v>
      </c>
      <c r="D2139" t="s">
        <v>4389</v>
      </c>
      <c r="E2139" t="s">
        <v>18</v>
      </c>
      <c r="F2139" t="s">
        <v>19</v>
      </c>
      <c r="H2139" s="23" t="e">
        <f>VLOOKUP(A2139,Revisión!$A$2:$L$703,6,FALSE)</f>
        <v>#N/A</v>
      </c>
      <c r="I2139" s="4" t="e">
        <f>VLOOKUP(A2139,Revisión!$A$2:$L$703,7,FALSE)</f>
        <v>#N/A</v>
      </c>
      <c r="J2139" s="4" t="e">
        <f>VLOOKUP(A2139,Revisión!$A$2:$L$703,8,FALSE)</f>
        <v>#N/A</v>
      </c>
      <c r="K2139" s="4" t="e">
        <f>VLOOKUP(A2139,Revisión!$A$2:$L$703,9,FALSE)</f>
        <v>#N/A</v>
      </c>
      <c r="L2139" s="4" t="e">
        <f>VLOOKUP(A2139,Revisión!$A$2:$L$703,10,FALSE)</f>
        <v>#N/A</v>
      </c>
      <c r="M2139" s="18" t="e">
        <f>VLOOKUP(A2139,Revisión!$A$2:$L$703,11,FALSE)</f>
        <v>#N/A</v>
      </c>
      <c r="N2139" s="30" t="str">
        <f>IF(E2139="Coinciden",D2139,IF(E2139="Revisar",VLOOKUP(A2139,Revisión!$A$2:$L$703,12,FALSE),""))</f>
        <v>Stewartia monadelpha</v>
      </c>
    </row>
    <row r="2140" spans="1:14" x14ac:dyDescent="0.3">
      <c r="A2140" t="s">
        <v>4390</v>
      </c>
      <c r="B2140" t="s">
        <v>4391</v>
      </c>
      <c r="C2140" t="s">
        <v>4391</v>
      </c>
      <c r="D2140" t="s">
        <v>4391</v>
      </c>
      <c r="E2140" t="s">
        <v>18</v>
      </c>
      <c r="F2140" t="s">
        <v>19</v>
      </c>
      <c r="H2140" s="23" t="e">
        <f>VLOOKUP(A2140,Revisión!$A$2:$L$703,6,FALSE)</f>
        <v>#N/A</v>
      </c>
      <c r="I2140" s="4" t="e">
        <f>VLOOKUP(A2140,Revisión!$A$2:$L$703,7,FALSE)</f>
        <v>#N/A</v>
      </c>
      <c r="J2140" s="4" t="e">
        <f>VLOOKUP(A2140,Revisión!$A$2:$L$703,8,FALSE)</f>
        <v>#N/A</v>
      </c>
      <c r="K2140" s="4" t="e">
        <f>VLOOKUP(A2140,Revisión!$A$2:$L$703,9,FALSE)</f>
        <v>#N/A</v>
      </c>
      <c r="L2140" s="4" t="e">
        <f>VLOOKUP(A2140,Revisión!$A$2:$L$703,10,FALSE)</f>
        <v>#N/A</v>
      </c>
      <c r="M2140" s="18" t="e">
        <f>VLOOKUP(A2140,Revisión!$A$2:$L$703,11,FALSE)</f>
        <v>#N/A</v>
      </c>
      <c r="N2140" s="30" t="str">
        <f>IF(E2140="Coinciden",D2140,IF(E2140="Revisar",VLOOKUP(A2140,Revisión!$A$2:$L$703,12,FALSE),""))</f>
        <v>Stigmaphyllon paralias</v>
      </c>
    </row>
    <row r="2141" spans="1:14" x14ac:dyDescent="0.3">
      <c r="A2141" t="s">
        <v>4392</v>
      </c>
      <c r="B2141" t="s">
        <v>4393</v>
      </c>
      <c r="C2141" t="s">
        <v>4393</v>
      </c>
      <c r="D2141" t="s">
        <v>4393</v>
      </c>
      <c r="E2141" t="s">
        <v>18</v>
      </c>
      <c r="F2141" t="s">
        <v>19</v>
      </c>
      <c r="H2141" s="23" t="e">
        <f>VLOOKUP(A2141,Revisión!$A$2:$L$703,6,FALSE)</f>
        <v>#N/A</v>
      </c>
      <c r="I2141" s="4" t="e">
        <f>VLOOKUP(A2141,Revisión!$A$2:$L$703,7,FALSE)</f>
        <v>#N/A</v>
      </c>
      <c r="J2141" s="4" t="e">
        <f>VLOOKUP(A2141,Revisión!$A$2:$L$703,8,FALSE)</f>
        <v>#N/A</v>
      </c>
      <c r="K2141" s="4" t="e">
        <f>VLOOKUP(A2141,Revisión!$A$2:$L$703,9,FALSE)</f>
        <v>#N/A</v>
      </c>
      <c r="L2141" s="4" t="e">
        <f>VLOOKUP(A2141,Revisión!$A$2:$L$703,10,FALSE)</f>
        <v>#N/A</v>
      </c>
      <c r="M2141" s="18" t="e">
        <f>VLOOKUP(A2141,Revisión!$A$2:$L$703,11,FALSE)</f>
        <v>#N/A</v>
      </c>
      <c r="N2141" s="30" t="str">
        <f>IF(E2141="Coinciden",D2141,IF(E2141="Revisar",VLOOKUP(A2141,Revisión!$A$2:$L$703,12,FALSE),""))</f>
        <v>Stigmaphyllon diversifolium</v>
      </c>
    </row>
    <row r="2142" spans="1:14" x14ac:dyDescent="0.3">
      <c r="A2142" t="s">
        <v>4394</v>
      </c>
      <c r="B2142" t="s">
        <v>4395</v>
      </c>
      <c r="C2142" t="s">
        <v>4395</v>
      </c>
      <c r="D2142" t="s">
        <v>4395</v>
      </c>
      <c r="E2142" t="s">
        <v>18</v>
      </c>
      <c r="F2142" t="s">
        <v>19</v>
      </c>
      <c r="H2142" s="23" t="e">
        <f>VLOOKUP(A2142,Revisión!$A$2:$L$703,6,FALSE)</f>
        <v>#N/A</v>
      </c>
      <c r="I2142" s="4" t="e">
        <f>VLOOKUP(A2142,Revisión!$A$2:$L$703,7,FALSE)</f>
        <v>#N/A</v>
      </c>
      <c r="J2142" s="4" t="e">
        <f>VLOOKUP(A2142,Revisión!$A$2:$L$703,8,FALSE)</f>
        <v>#N/A</v>
      </c>
      <c r="K2142" s="4" t="e">
        <f>VLOOKUP(A2142,Revisión!$A$2:$L$703,9,FALSE)</f>
        <v>#N/A</v>
      </c>
      <c r="L2142" s="4" t="e">
        <f>VLOOKUP(A2142,Revisión!$A$2:$L$703,10,FALSE)</f>
        <v>#N/A</v>
      </c>
      <c r="M2142" s="18" t="e">
        <f>VLOOKUP(A2142,Revisión!$A$2:$L$703,11,FALSE)</f>
        <v>#N/A</v>
      </c>
      <c r="N2142" s="30" t="str">
        <f>IF(E2142="Coinciden",D2142,IF(E2142="Revisar",VLOOKUP(A2142,Revisión!$A$2:$L$703,12,FALSE),""))</f>
        <v>Stigmaphyllon auriculatum</v>
      </c>
    </row>
    <row r="2143" spans="1:14" x14ac:dyDescent="0.3">
      <c r="A2143" t="s">
        <v>4396</v>
      </c>
      <c r="B2143" t="s">
        <v>4397</v>
      </c>
      <c r="C2143" t="s">
        <v>4397</v>
      </c>
      <c r="D2143" t="s">
        <v>4397</v>
      </c>
      <c r="E2143" t="s">
        <v>18</v>
      </c>
      <c r="F2143" t="s">
        <v>19</v>
      </c>
      <c r="H2143" s="23" t="e">
        <f>VLOOKUP(A2143,Revisión!$A$2:$L$703,6,FALSE)</f>
        <v>#N/A</v>
      </c>
      <c r="I2143" s="4" t="e">
        <f>VLOOKUP(A2143,Revisión!$A$2:$L$703,7,FALSE)</f>
        <v>#N/A</v>
      </c>
      <c r="J2143" s="4" t="e">
        <f>VLOOKUP(A2143,Revisión!$A$2:$L$703,8,FALSE)</f>
        <v>#N/A</v>
      </c>
      <c r="K2143" s="4" t="e">
        <f>VLOOKUP(A2143,Revisión!$A$2:$L$703,9,FALSE)</f>
        <v>#N/A</v>
      </c>
      <c r="L2143" s="4" t="e">
        <f>VLOOKUP(A2143,Revisión!$A$2:$L$703,10,FALSE)</f>
        <v>#N/A</v>
      </c>
      <c r="M2143" s="18" t="e">
        <f>VLOOKUP(A2143,Revisión!$A$2:$L$703,11,FALSE)</f>
        <v>#N/A</v>
      </c>
      <c r="N2143" s="30" t="str">
        <f>IF(E2143="Coinciden",D2143,IF(E2143="Revisar",VLOOKUP(A2143,Revisión!$A$2:$L$703,12,FALSE),""))</f>
        <v>Stigmaphyllon ciliatum</v>
      </c>
    </row>
    <row r="2144" spans="1:14" x14ac:dyDescent="0.3">
      <c r="A2144" t="s">
        <v>4398</v>
      </c>
      <c r="B2144" t="s">
        <v>4399</v>
      </c>
      <c r="C2144" t="s">
        <v>4399</v>
      </c>
      <c r="D2144" t="s">
        <v>4399</v>
      </c>
      <c r="E2144" t="s">
        <v>18</v>
      </c>
      <c r="F2144" t="s">
        <v>19</v>
      </c>
      <c r="H2144" s="23" t="e">
        <f>VLOOKUP(A2144,Revisión!$A$2:$L$703,6,FALSE)</f>
        <v>#N/A</v>
      </c>
      <c r="I2144" s="4" t="e">
        <f>VLOOKUP(A2144,Revisión!$A$2:$L$703,7,FALSE)</f>
        <v>#N/A</v>
      </c>
      <c r="J2144" s="4" t="e">
        <f>VLOOKUP(A2144,Revisión!$A$2:$L$703,8,FALSE)</f>
        <v>#N/A</v>
      </c>
      <c r="K2144" s="4" t="e">
        <f>VLOOKUP(A2144,Revisión!$A$2:$L$703,9,FALSE)</f>
        <v>#N/A</v>
      </c>
      <c r="L2144" s="4" t="e">
        <f>VLOOKUP(A2144,Revisión!$A$2:$L$703,10,FALSE)</f>
        <v>#N/A</v>
      </c>
      <c r="M2144" s="18" t="e">
        <f>VLOOKUP(A2144,Revisión!$A$2:$L$703,11,FALSE)</f>
        <v>#N/A</v>
      </c>
      <c r="N2144" s="30" t="str">
        <f>IF(E2144="Coinciden",D2144,IF(E2144="Revisar",VLOOKUP(A2144,Revisión!$A$2:$L$703,12,FALSE),""))</f>
        <v>Stillingia lineata</v>
      </c>
    </row>
    <row r="2145" spans="1:14" x14ac:dyDescent="0.3">
      <c r="A2145" t="s">
        <v>4400</v>
      </c>
      <c r="B2145" t="s">
        <v>4401</v>
      </c>
      <c r="C2145" t="s">
        <v>4401</v>
      </c>
      <c r="D2145" t="s">
        <v>4401</v>
      </c>
      <c r="E2145" t="s">
        <v>18</v>
      </c>
      <c r="F2145" t="s">
        <v>19</v>
      </c>
      <c r="H2145" s="23" t="e">
        <f>VLOOKUP(A2145,Revisión!$A$2:$L$703,6,FALSE)</f>
        <v>#N/A</v>
      </c>
      <c r="I2145" s="4" t="e">
        <f>VLOOKUP(A2145,Revisión!$A$2:$L$703,7,FALSE)</f>
        <v>#N/A</v>
      </c>
      <c r="J2145" s="4" t="e">
        <f>VLOOKUP(A2145,Revisión!$A$2:$L$703,8,FALSE)</f>
        <v>#N/A</v>
      </c>
      <c r="K2145" s="4" t="e">
        <f>VLOOKUP(A2145,Revisión!$A$2:$L$703,9,FALSE)</f>
        <v>#N/A</v>
      </c>
      <c r="L2145" s="4" t="e">
        <f>VLOOKUP(A2145,Revisión!$A$2:$L$703,10,FALSE)</f>
        <v>#N/A</v>
      </c>
      <c r="M2145" s="18" t="e">
        <f>VLOOKUP(A2145,Revisión!$A$2:$L$703,11,FALSE)</f>
        <v>#N/A</v>
      </c>
      <c r="N2145" s="30" t="str">
        <f>IF(E2145="Coinciden",D2145,IF(E2145="Revisar",VLOOKUP(A2145,Revisión!$A$2:$L$703,12,FALSE),""))</f>
        <v>Stillingia lineata subsp. lineata</v>
      </c>
    </row>
    <row r="2146" spans="1:14" x14ac:dyDescent="0.3">
      <c r="A2146" t="s">
        <v>4402</v>
      </c>
      <c r="B2146" t="s">
        <v>4403</v>
      </c>
      <c r="C2146" t="s">
        <v>4403</v>
      </c>
      <c r="D2146" t="s">
        <v>4404</v>
      </c>
      <c r="E2146" t="s">
        <v>8</v>
      </c>
      <c r="F2146" t="s">
        <v>15</v>
      </c>
      <c r="H2146" s="23" t="str">
        <f>VLOOKUP(A2146,Revisión!$A$2:$L$703,6,FALSE)</f>
        <v>Strophostyles helvola</v>
      </c>
      <c r="I2146" s="4" t="str">
        <f>VLOOKUP(A2146,Revisión!$A$2:$L$703,7,FALSE)</f>
        <v>-</v>
      </c>
      <c r="J2146" s="4" t="str">
        <f>VLOOKUP(A2146,Revisión!$A$2:$L$703,8,FALSE)</f>
        <v>Strophostyles helvola</v>
      </c>
      <c r="K2146" s="4" t="str">
        <f>VLOOKUP(A2146,Revisión!$A$2:$L$703,9,FALSE)</f>
        <v>Strophostyles helvola</v>
      </c>
      <c r="L2146" s="4" t="str">
        <f>VLOOKUP(A2146,Revisión!$A$2:$L$703,10,FALSE)</f>
        <v>Strophostyles helvola</v>
      </c>
      <c r="M2146" s="18">
        <f>VLOOKUP(A2146,Revisión!$A$2:$L$703,11,FALSE)</f>
        <v>5</v>
      </c>
      <c r="N2146" s="30" t="str">
        <f>IF(E2146="Coinciden",D2146,IF(E2146="Revisar",VLOOKUP(A2146,Revisión!$A$2:$L$703,12,FALSE),""))</f>
        <v>Strophostyles helvola</v>
      </c>
    </row>
    <row r="2147" spans="1:14" x14ac:dyDescent="0.3">
      <c r="A2147" t="s">
        <v>4405</v>
      </c>
      <c r="B2147" t="s">
        <v>4406</v>
      </c>
      <c r="C2147" t="s">
        <v>4406</v>
      </c>
      <c r="E2147" t="s">
        <v>8</v>
      </c>
      <c r="F2147" t="s">
        <v>323</v>
      </c>
      <c r="H2147" s="23" t="str">
        <f>VLOOKUP(A2147,Revisión!$A$2:$L$703,6,FALSE)</f>
        <v>Strophostyles leiosperma</v>
      </c>
      <c r="I2147" s="4" t="str">
        <f>VLOOKUP(A2147,Revisión!$A$2:$L$703,7,FALSE)</f>
        <v>-</v>
      </c>
      <c r="J2147" s="4" t="str">
        <f>VLOOKUP(A2147,Revisión!$A$2:$L$703,8,FALSE)</f>
        <v>Strophostyles leiosperma</v>
      </c>
      <c r="K2147" s="4" t="str">
        <f>VLOOKUP(A2147,Revisión!$A$2:$L$703,9,FALSE)</f>
        <v>Strophostyles leiosperma</v>
      </c>
      <c r="L2147" s="4" t="str">
        <f>VLOOKUP(A2147,Revisión!$A$2:$L$703,10,FALSE)</f>
        <v>Strophostyles leiosperma</v>
      </c>
      <c r="M2147" s="18">
        <f>VLOOKUP(A2147,Revisión!$A$2:$L$703,11,FALSE)</f>
        <v>4</v>
      </c>
      <c r="N2147" s="30" t="str">
        <f>IF(E2147="Coinciden",D2147,IF(E2147="Revisar",VLOOKUP(A2147,Revisión!$A$2:$L$703,12,FALSE),""))</f>
        <v>Strophostyles leiosperma</v>
      </c>
    </row>
    <row r="2148" spans="1:14" x14ac:dyDescent="0.3">
      <c r="A2148" t="s">
        <v>4407</v>
      </c>
      <c r="B2148" t="s">
        <v>4408</v>
      </c>
      <c r="C2148" t="s">
        <v>4408</v>
      </c>
      <c r="D2148" t="s">
        <v>4408</v>
      </c>
      <c r="E2148" t="s">
        <v>18</v>
      </c>
      <c r="F2148" t="s">
        <v>19</v>
      </c>
      <c r="H2148" s="23" t="e">
        <f>VLOOKUP(A2148,Revisión!$A$2:$L$703,6,FALSE)</f>
        <v>#N/A</v>
      </c>
      <c r="I2148" s="4" t="e">
        <f>VLOOKUP(A2148,Revisión!$A$2:$L$703,7,FALSE)</f>
        <v>#N/A</v>
      </c>
      <c r="J2148" s="4" t="e">
        <f>VLOOKUP(A2148,Revisión!$A$2:$L$703,8,FALSE)</f>
        <v>#N/A</v>
      </c>
      <c r="K2148" s="4" t="e">
        <f>VLOOKUP(A2148,Revisión!$A$2:$L$703,9,FALSE)</f>
        <v>#N/A</v>
      </c>
      <c r="L2148" s="4" t="e">
        <f>VLOOKUP(A2148,Revisión!$A$2:$L$703,10,FALSE)</f>
        <v>#N/A</v>
      </c>
      <c r="M2148" s="18" t="e">
        <f>VLOOKUP(A2148,Revisión!$A$2:$L$703,11,FALSE)</f>
        <v>#N/A</v>
      </c>
      <c r="N2148" s="30" t="str">
        <f>IF(E2148="Coinciden",D2148,IF(E2148="Revisar",VLOOKUP(A2148,Revisión!$A$2:$L$703,12,FALSE),""))</f>
        <v>Stylidium graminifolium</v>
      </c>
    </row>
    <row r="2149" spans="1:14" x14ac:dyDescent="0.3">
      <c r="A2149" t="s">
        <v>4409</v>
      </c>
      <c r="B2149" t="s">
        <v>4410</v>
      </c>
      <c r="C2149" t="s">
        <v>4410</v>
      </c>
      <c r="D2149" t="s">
        <v>4410</v>
      </c>
      <c r="E2149" t="s">
        <v>18</v>
      </c>
      <c r="F2149" t="s">
        <v>19</v>
      </c>
      <c r="H2149" s="23" t="e">
        <f>VLOOKUP(A2149,Revisión!$A$2:$L$703,6,FALSE)</f>
        <v>#N/A</v>
      </c>
      <c r="I2149" s="4" t="e">
        <f>VLOOKUP(A2149,Revisión!$A$2:$L$703,7,FALSE)</f>
        <v>#N/A</v>
      </c>
      <c r="J2149" s="4" t="e">
        <f>VLOOKUP(A2149,Revisión!$A$2:$L$703,8,FALSE)</f>
        <v>#N/A</v>
      </c>
      <c r="K2149" s="4" t="e">
        <f>VLOOKUP(A2149,Revisión!$A$2:$L$703,9,FALSE)</f>
        <v>#N/A</v>
      </c>
      <c r="L2149" s="4" t="e">
        <f>VLOOKUP(A2149,Revisión!$A$2:$L$703,10,FALSE)</f>
        <v>#N/A</v>
      </c>
      <c r="M2149" s="18" t="e">
        <f>VLOOKUP(A2149,Revisión!$A$2:$L$703,11,FALSE)</f>
        <v>#N/A</v>
      </c>
      <c r="N2149" s="30" t="str">
        <f>IF(E2149="Coinciden",D2149,IF(E2149="Revisar",VLOOKUP(A2149,Revisión!$A$2:$L$703,12,FALSE),""))</f>
        <v>Stylosanthes hamata</v>
      </c>
    </row>
    <row r="2150" spans="1:14" x14ac:dyDescent="0.3">
      <c r="A2150" t="s">
        <v>4411</v>
      </c>
      <c r="B2150" t="s">
        <v>4412</v>
      </c>
      <c r="C2150" t="s">
        <v>4412</v>
      </c>
      <c r="D2150" t="s">
        <v>4412</v>
      </c>
      <c r="E2150" t="s">
        <v>18</v>
      </c>
      <c r="F2150" t="s">
        <v>19</v>
      </c>
      <c r="H2150" s="23" t="e">
        <f>VLOOKUP(A2150,Revisión!$A$2:$L$703,6,FALSE)</f>
        <v>#N/A</v>
      </c>
      <c r="I2150" s="4" t="e">
        <f>VLOOKUP(A2150,Revisión!$A$2:$L$703,7,FALSE)</f>
        <v>#N/A</v>
      </c>
      <c r="J2150" s="4" t="e">
        <f>VLOOKUP(A2150,Revisión!$A$2:$L$703,8,FALSE)</f>
        <v>#N/A</v>
      </c>
      <c r="K2150" s="4" t="e">
        <f>VLOOKUP(A2150,Revisión!$A$2:$L$703,9,FALSE)</f>
        <v>#N/A</v>
      </c>
      <c r="L2150" s="4" t="e">
        <f>VLOOKUP(A2150,Revisión!$A$2:$L$703,10,FALSE)</f>
        <v>#N/A</v>
      </c>
      <c r="M2150" s="18" t="e">
        <f>VLOOKUP(A2150,Revisión!$A$2:$L$703,11,FALSE)</f>
        <v>#N/A</v>
      </c>
      <c r="N2150" s="30" t="str">
        <f>IF(E2150="Coinciden",D2150,IF(E2150="Revisar",VLOOKUP(A2150,Revisión!$A$2:$L$703,12,FALSE),""))</f>
        <v>Stylosanthes biflora</v>
      </c>
    </row>
    <row r="2151" spans="1:14" x14ac:dyDescent="0.3">
      <c r="A2151" t="s">
        <v>4413</v>
      </c>
      <c r="B2151" t="s">
        <v>4414</v>
      </c>
      <c r="C2151" t="s">
        <v>4414</v>
      </c>
      <c r="D2151" t="s">
        <v>4414</v>
      </c>
      <c r="E2151" t="s">
        <v>18</v>
      </c>
      <c r="F2151" t="s">
        <v>19</v>
      </c>
      <c r="H2151" s="23" t="e">
        <f>VLOOKUP(A2151,Revisión!$A$2:$L$703,6,FALSE)</f>
        <v>#N/A</v>
      </c>
      <c r="I2151" s="4" t="e">
        <f>VLOOKUP(A2151,Revisión!$A$2:$L$703,7,FALSE)</f>
        <v>#N/A</v>
      </c>
      <c r="J2151" s="4" t="e">
        <f>VLOOKUP(A2151,Revisión!$A$2:$L$703,8,FALSE)</f>
        <v>#N/A</v>
      </c>
      <c r="K2151" s="4" t="e">
        <f>VLOOKUP(A2151,Revisión!$A$2:$L$703,9,FALSE)</f>
        <v>#N/A</v>
      </c>
      <c r="L2151" s="4" t="e">
        <f>VLOOKUP(A2151,Revisión!$A$2:$L$703,10,FALSE)</f>
        <v>#N/A</v>
      </c>
      <c r="M2151" s="18" t="e">
        <f>VLOOKUP(A2151,Revisión!$A$2:$L$703,11,FALSE)</f>
        <v>#N/A</v>
      </c>
      <c r="N2151" s="30" t="str">
        <f>IF(E2151="Coinciden",D2151,IF(E2151="Revisar",VLOOKUP(A2151,Revisión!$A$2:$L$703,12,FALSE),""))</f>
        <v>Styrax japonicus</v>
      </c>
    </row>
    <row r="2152" spans="1:14" x14ac:dyDescent="0.3">
      <c r="A2152" t="s">
        <v>4415</v>
      </c>
      <c r="B2152" t="s">
        <v>4416</v>
      </c>
      <c r="C2152" t="s">
        <v>4416</v>
      </c>
      <c r="D2152" t="s">
        <v>4416</v>
      </c>
      <c r="E2152" t="s">
        <v>18</v>
      </c>
      <c r="F2152" t="s">
        <v>19</v>
      </c>
      <c r="H2152" s="23" t="e">
        <f>VLOOKUP(A2152,Revisión!$A$2:$L$703,6,FALSE)</f>
        <v>#N/A</v>
      </c>
      <c r="I2152" s="4" t="e">
        <f>VLOOKUP(A2152,Revisión!$A$2:$L$703,7,FALSE)</f>
        <v>#N/A</v>
      </c>
      <c r="J2152" s="4" t="e">
        <f>VLOOKUP(A2152,Revisión!$A$2:$L$703,8,FALSE)</f>
        <v>#N/A</v>
      </c>
      <c r="K2152" s="4" t="e">
        <f>VLOOKUP(A2152,Revisión!$A$2:$L$703,9,FALSE)</f>
        <v>#N/A</v>
      </c>
      <c r="L2152" s="4" t="e">
        <f>VLOOKUP(A2152,Revisión!$A$2:$L$703,10,FALSE)</f>
        <v>#N/A</v>
      </c>
      <c r="M2152" s="18" t="e">
        <f>VLOOKUP(A2152,Revisión!$A$2:$L$703,11,FALSE)</f>
        <v>#N/A</v>
      </c>
      <c r="N2152" s="30" t="str">
        <f>IF(E2152="Coinciden",D2152,IF(E2152="Revisar",VLOOKUP(A2152,Revisión!$A$2:$L$703,12,FALSE),""))</f>
        <v>Suriana maritima</v>
      </c>
    </row>
    <row r="2153" spans="1:14" x14ac:dyDescent="0.3">
      <c r="A2153" t="s">
        <v>4417</v>
      </c>
      <c r="B2153" t="s">
        <v>4418</v>
      </c>
      <c r="C2153" t="s">
        <v>4418</v>
      </c>
      <c r="D2153" t="s">
        <v>4418</v>
      </c>
      <c r="E2153" t="s">
        <v>18</v>
      </c>
      <c r="F2153" t="s">
        <v>19</v>
      </c>
      <c r="H2153" s="23" t="e">
        <f>VLOOKUP(A2153,Revisión!$A$2:$L$703,6,FALSE)</f>
        <v>#N/A</v>
      </c>
      <c r="I2153" s="4" t="e">
        <f>VLOOKUP(A2153,Revisión!$A$2:$L$703,7,FALSE)</f>
        <v>#N/A</v>
      </c>
      <c r="J2153" s="4" t="e">
        <f>VLOOKUP(A2153,Revisión!$A$2:$L$703,8,FALSE)</f>
        <v>#N/A</v>
      </c>
      <c r="K2153" s="4" t="e">
        <f>VLOOKUP(A2153,Revisión!$A$2:$L$703,9,FALSE)</f>
        <v>#N/A</v>
      </c>
      <c r="L2153" s="4" t="e">
        <f>VLOOKUP(A2153,Revisión!$A$2:$L$703,10,FALSE)</f>
        <v>#N/A</v>
      </c>
      <c r="M2153" s="18" t="e">
        <f>VLOOKUP(A2153,Revisión!$A$2:$L$703,11,FALSE)</f>
        <v>#N/A</v>
      </c>
      <c r="N2153" s="30" t="str">
        <f>IF(E2153="Coinciden",D2153,IF(E2153="Revisar",VLOOKUP(A2153,Revisión!$A$2:$L$703,12,FALSE),""))</f>
        <v>Swertia bimaculata</v>
      </c>
    </row>
    <row r="2154" spans="1:14" x14ac:dyDescent="0.3">
      <c r="A2154" t="s">
        <v>4419</v>
      </c>
      <c r="B2154" t="s">
        <v>4420</v>
      </c>
      <c r="C2154" t="s">
        <v>4420</v>
      </c>
      <c r="D2154" t="s">
        <v>4420</v>
      </c>
      <c r="E2154" t="s">
        <v>18</v>
      </c>
      <c r="F2154" t="s">
        <v>19</v>
      </c>
      <c r="H2154" s="23" t="e">
        <f>VLOOKUP(A2154,Revisión!$A$2:$L$703,6,FALSE)</f>
        <v>#N/A</v>
      </c>
      <c r="I2154" s="4" t="e">
        <f>VLOOKUP(A2154,Revisión!$A$2:$L$703,7,FALSE)</f>
        <v>#N/A</v>
      </c>
      <c r="J2154" s="4" t="e">
        <f>VLOOKUP(A2154,Revisión!$A$2:$L$703,8,FALSE)</f>
        <v>#N/A</v>
      </c>
      <c r="K2154" s="4" t="e">
        <f>VLOOKUP(A2154,Revisión!$A$2:$L$703,9,FALSE)</f>
        <v>#N/A</v>
      </c>
      <c r="L2154" s="4" t="e">
        <f>VLOOKUP(A2154,Revisión!$A$2:$L$703,10,FALSE)</f>
        <v>#N/A</v>
      </c>
      <c r="M2154" s="18" t="e">
        <f>VLOOKUP(A2154,Revisión!$A$2:$L$703,11,FALSE)</f>
        <v>#N/A</v>
      </c>
      <c r="N2154" s="30" t="str">
        <f>IF(E2154="Coinciden",D2154,IF(E2154="Revisar",VLOOKUP(A2154,Revisión!$A$2:$L$703,12,FALSE),""))</f>
        <v>Swertia japonica</v>
      </c>
    </row>
    <row r="2155" spans="1:14" x14ac:dyDescent="0.3">
      <c r="A2155" t="s">
        <v>4421</v>
      </c>
      <c r="B2155" t="s">
        <v>4422</v>
      </c>
      <c r="C2155" t="s">
        <v>4422</v>
      </c>
      <c r="D2155" t="s">
        <v>4422</v>
      </c>
      <c r="E2155" t="s">
        <v>18</v>
      </c>
      <c r="F2155" t="s">
        <v>19</v>
      </c>
      <c r="H2155" s="23" t="e">
        <f>VLOOKUP(A2155,Revisión!$A$2:$L$703,6,FALSE)</f>
        <v>#N/A</v>
      </c>
      <c r="I2155" s="4" t="e">
        <f>VLOOKUP(A2155,Revisión!$A$2:$L$703,7,FALSE)</f>
        <v>#N/A</v>
      </c>
      <c r="J2155" s="4" t="e">
        <f>VLOOKUP(A2155,Revisión!$A$2:$L$703,8,FALSE)</f>
        <v>#N/A</v>
      </c>
      <c r="K2155" s="4" t="e">
        <f>VLOOKUP(A2155,Revisión!$A$2:$L$703,9,FALSE)</f>
        <v>#N/A</v>
      </c>
      <c r="L2155" s="4" t="e">
        <f>VLOOKUP(A2155,Revisión!$A$2:$L$703,10,FALSE)</f>
        <v>#N/A</v>
      </c>
      <c r="M2155" s="18" t="e">
        <f>VLOOKUP(A2155,Revisión!$A$2:$L$703,11,FALSE)</f>
        <v>#N/A</v>
      </c>
      <c r="N2155" s="30" t="str">
        <f>IF(E2155="Coinciden",D2155,IF(E2155="Revisar",VLOOKUP(A2155,Revisión!$A$2:$L$703,12,FALSE),""))</f>
        <v>Cornus controversa</v>
      </c>
    </row>
    <row r="2156" spans="1:14" x14ac:dyDescent="0.3">
      <c r="A2156" t="s">
        <v>4423</v>
      </c>
      <c r="B2156" t="s">
        <v>4424</v>
      </c>
      <c r="C2156" t="s">
        <v>4424</v>
      </c>
      <c r="D2156" t="s">
        <v>4424</v>
      </c>
      <c r="E2156" t="s">
        <v>18</v>
      </c>
      <c r="F2156" t="s">
        <v>19</v>
      </c>
      <c r="H2156" s="23" t="e">
        <f>VLOOKUP(A2156,Revisión!$A$2:$L$703,6,FALSE)</f>
        <v>#N/A</v>
      </c>
      <c r="I2156" s="4" t="e">
        <f>VLOOKUP(A2156,Revisión!$A$2:$L$703,7,FALSE)</f>
        <v>#N/A</v>
      </c>
      <c r="J2156" s="4" t="e">
        <f>VLOOKUP(A2156,Revisión!$A$2:$L$703,8,FALSE)</f>
        <v>#N/A</v>
      </c>
      <c r="K2156" s="4" t="e">
        <f>VLOOKUP(A2156,Revisión!$A$2:$L$703,9,FALSE)</f>
        <v>#N/A</v>
      </c>
      <c r="L2156" s="4" t="e">
        <f>VLOOKUP(A2156,Revisión!$A$2:$L$703,10,FALSE)</f>
        <v>#N/A</v>
      </c>
      <c r="M2156" s="18" t="e">
        <f>VLOOKUP(A2156,Revisión!$A$2:$L$703,11,FALSE)</f>
        <v>#N/A</v>
      </c>
      <c r="N2156" s="30" t="str">
        <f>IF(E2156="Coinciden",D2156,IF(E2156="Revisar",VLOOKUP(A2156,Revisión!$A$2:$L$703,12,FALSE),""))</f>
        <v>Cornus macrophylla</v>
      </c>
    </row>
    <row r="2157" spans="1:14" x14ac:dyDescent="0.3">
      <c r="A2157" t="s">
        <v>4425</v>
      </c>
      <c r="C2157" t="s">
        <v>4426</v>
      </c>
      <c r="D2157" t="s">
        <v>4426</v>
      </c>
      <c r="E2157" t="s">
        <v>8</v>
      </c>
      <c r="F2157" t="s">
        <v>49</v>
      </c>
      <c r="H2157" s="23" t="str">
        <f>VLOOKUP(A2157,Revisión!$A$2:$L$703,6,FALSE)</f>
        <v>Cornus sericea</v>
      </c>
      <c r="I2157" s="4" t="str">
        <f>VLOOKUP(A2157,Revisión!$A$2:$L$703,7,FALSE)</f>
        <v>-</v>
      </c>
      <c r="J2157" s="4" t="str">
        <f>VLOOKUP(A2157,Revisión!$A$2:$L$703,8,FALSE)</f>
        <v>Cornus sericea</v>
      </c>
      <c r="K2157" s="4" t="str">
        <f>VLOOKUP(A2157,Revisión!$A$2:$L$703,9,FALSE)</f>
        <v>Cornus sericea</v>
      </c>
      <c r="L2157" s="4" t="str">
        <f>VLOOKUP(A2157,Revisión!$A$2:$L$703,10,FALSE)</f>
        <v>Cornus sericea</v>
      </c>
      <c r="M2157" s="18">
        <f>VLOOKUP(A2157,Revisión!$A$2:$L$703,11,FALSE)</f>
        <v>5</v>
      </c>
      <c r="N2157" s="30" t="str">
        <f>IF(E2157="Coinciden",D2157,IF(E2157="Revisar",VLOOKUP(A2157,Revisión!$A$2:$L$703,12,FALSE),""))</f>
        <v>Cornus sericea</v>
      </c>
    </row>
    <row r="2158" spans="1:14" x14ac:dyDescent="0.3">
      <c r="A2158" t="s">
        <v>4427</v>
      </c>
      <c r="C2158" t="s">
        <v>4428</v>
      </c>
      <c r="D2158" t="s">
        <v>4428</v>
      </c>
      <c r="E2158" t="s">
        <v>8</v>
      </c>
      <c r="F2158" t="s">
        <v>49</v>
      </c>
      <c r="H2158" s="23" t="str">
        <f>VLOOKUP(A2158,Revisión!$A$2:$L$703,6,FALSE)</f>
        <v>Symphyotrichum lanceolatum</v>
      </c>
      <c r="I2158" s="4" t="str">
        <f>VLOOKUP(A2158,Revisión!$A$2:$L$703,7,FALSE)</f>
        <v>-</v>
      </c>
      <c r="J2158" s="4" t="str">
        <f>VLOOKUP(A2158,Revisión!$A$2:$L$703,8,FALSE)</f>
        <v>Symphyotrichum lanceolatum</v>
      </c>
      <c r="K2158" s="4" t="str">
        <f>VLOOKUP(A2158,Revisión!$A$2:$L$703,9,FALSE)</f>
        <v>-</v>
      </c>
      <c r="L2158" s="4" t="str">
        <f>VLOOKUP(A2158,Revisión!$A$2:$L$703,10,FALSE)</f>
        <v>Symphyotrichum lanceolatum</v>
      </c>
      <c r="M2158" s="18">
        <f>VLOOKUP(A2158,Revisión!$A$2:$L$703,11,FALSE)</f>
        <v>4</v>
      </c>
      <c r="N2158" s="30" t="str">
        <f>IF(E2158="Coinciden",D2158,IF(E2158="Revisar",VLOOKUP(A2158,Revisión!$A$2:$L$703,12,FALSE),""))</f>
        <v>Symphyotrichum lanceolatum</v>
      </c>
    </row>
    <row r="2159" spans="1:14" x14ac:dyDescent="0.3">
      <c r="A2159" t="s">
        <v>4429</v>
      </c>
      <c r="B2159" t="s">
        <v>4430</v>
      </c>
      <c r="C2159" t="s">
        <v>4431</v>
      </c>
      <c r="D2159" t="s">
        <v>4431</v>
      </c>
      <c r="E2159" t="s">
        <v>8</v>
      </c>
      <c r="F2159" t="s">
        <v>23</v>
      </c>
      <c r="H2159" s="23" t="str">
        <f>VLOOKUP(A2159,Revisión!$A$2:$L$703,6,FALSE)</f>
        <v>Symphoricarpos orbicularis</v>
      </c>
      <c r="I2159" s="4" t="str">
        <f>VLOOKUP(A2159,Revisión!$A$2:$L$703,7,FALSE)</f>
        <v>-</v>
      </c>
      <c r="J2159" s="4" t="str">
        <f>VLOOKUP(A2159,Revisión!$A$2:$L$703,8,FALSE)</f>
        <v>Symphoricarpos orbiculatus</v>
      </c>
      <c r="K2159" s="4" t="str">
        <f>VLOOKUP(A2159,Revisión!$A$2:$L$703,9,FALSE)</f>
        <v>Symphoricarpos orbiculatus</v>
      </c>
      <c r="L2159" s="4" t="str">
        <f>VLOOKUP(A2159,Revisión!$A$2:$L$703,10,FALSE)</f>
        <v>Symphoricarpos orbiculatus</v>
      </c>
      <c r="M2159" s="18">
        <f>VLOOKUP(A2159,Revisión!$A$2:$L$703,11,FALSE)</f>
        <v>5</v>
      </c>
      <c r="N2159" s="30" t="str">
        <f>IF(E2159="Coinciden",D2159,IF(E2159="Revisar",VLOOKUP(A2159,Revisión!$A$2:$L$703,12,FALSE),""))</f>
        <v>Symphoricarpos orbiculatus</v>
      </c>
    </row>
    <row r="2160" spans="1:14" x14ac:dyDescent="0.3">
      <c r="A2160" t="s">
        <v>4432</v>
      </c>
      <c r="B2160" t="s">
        <v>4433</v>
      </c>
      <c r="C2160" t="s">
        <v>4433</v>
      </c>
      <c r="D2160" t="s">
        <v>4433</v>
      </c>
      <c r="E2160" t="s">
        <v>18</v>
      </c>
      <c r="F2160" t="s">
        <v>19</v>
      </c>
      <c r="H2160" s="23" t="e">
        <f>VLOOKUP(A2160,Revisión!$A$2:$L$703,6,FALSE)</f>
        <v>#N/A</v>
      </c>
      <c r="I2160" s="4" t="e">
        <f>VLOOKUP(A2160,Revisión!$A$2:$L$703,7,FALSE)</f>
        <v>#N/A</v>
      </c>
      <c r="J2160" s="4" t="e">
        <f>VLOOKUP(A2160,Revisión!$A$2:$L$703,8,FALSE)</f>
        <v>#N/A</v>
      </c>
      <c r="K2160" s="4" t="e">
        <f>VLOOKUP(A2160,Revisión!$A$2:$L$703,9,FALSE)</f>
        <v>#N/A</v>
      </c>
      <c r="L2160" s="4" t="e">
        <f>VLOOKUP(A2160,Revisión!$A$2:$L$703,10,FALSE)</f>
        <v>#N/A</v>
      </c>
      <c r="M2160" s="18" t="e">
        <f>VLOOKUP(A2160,Revisión!$A$2:$L$703,11,FALSE)</f>
        <v>#N/A</v>
      </c>
      <c r="N2160" s="30" t="str">
        <f>IF(E2160="Coinciden",D2160,IF(E2160="Revisar",VLOOKUP(A2160,Revisión!$A$2:$L$703,12,FALSE),""))</f>
        <v>Symplocos paniculata</v>
      </c>
    </row>
    <row r="2161" spans="1:14" x14ac:dyDescent="0.3">
      <c r="A2161" t="s">
        <v>4434</v>
      </c>
      <c r="B2161" t="s">
        <v>4435</v>
      </c>
      <c r="C2161" t="s">
        <v>4435</v>
      </c>
      <c r="D2161" t="s">
        <v>4435</v>
      </c>
      <c r="E2161" t="s">
        <v>18</v>
      </c>
      <c r="F2161" t="s">
        <v>19</v>
      </c>
      <c r="H2161" s="23" t="e">
        <f>VLOOKUP(A2161,Revisión!$A$2:$L$703,6,FALSE)</f>
        <v>#N/A</v>
      </c>
      <c r="I2161" s="4" t="e">
        <f>VLOOKUP(A2161,Revisión!$A$2:$L$703,7,FALSE)</f>
        <v>#N/A</v>
      </c>
      <c r="J2161" s="4" t="e">
        <f>VLOOKUP(A2161,Revisión!$A$2:$L$703,8,FALSE)</f>
        <v>#N/A</v>
      </c>
      <c r="K2161" s="4" t="e">
        <f>VLOOKUP(A2161,Revisión!$A$2:$L$703,9,FALSE)</f>
        <v>#N/A</v>
      </c>
      <c r="L2161" s="4" t="e">
        <f>VLOOKUP(A2161,Revisión!$A$2:$L$703,10,FALSE)</f>
        <v>#N/A</v>
      </c>
      <c r="M2161" s="18" t="e">
        <f>VLOOKUP(A2161,Revisión!$A$2:$L$703,11,FALSE)</f>
        <v>#N/A</v>
      </c>
      <c r="N2161" s="30" t="str">
        <f>IF(E2161="Coinciden",D2161,IF(E2161="Revisar",VLOOKUP(A2161,Revisión!$A$2:$L$703,12,FALSE),""))</f>
        <v>Symplocos microcalyx</v>
      </c>
    </row>
    <row r="2162" spans="1:14" x14ac:dyDescent="0.3">
      <c r="A2162" t="s">
        <v>4436</v>
      </c>
      <c r="C2162" t="s">
        <v>4437</v>
      </c>
      <c r="D2162" t="s">
        <v>4437</v>
      </c>
      <c r="E2162" t="s">
        <v>8</v>
      </c>
      <c r="F2162" t="s">
        <v>49</v>
      </c>
      <c r="H2162" s="23" t="str">
        <f>VLOOKUP(A2162,Revisión!$A$2:$L$703,6,FALSE)</f>
        <v>Syngonanthus caulescens</v>
      </c>
      <c r="I2162" s="4" t="str">
        <f>VLOOKUP(A2162,Revisión!$A$2:$L$703,7,FALSE)</f>
        <v>-</v>
      </c>
      <c r="J2162" s="4" t="str">
        <f>VLOOKUP(A2162,Revisión!$A$2:$L$703,8,FALSE)</f>
        <v>Syngonanthus caulescens</v>
      </c>
      <c r="K2162" s="4" t="str">
        <f>VLOOKUP(A2162,Revisión!$A$2:$L$703,9,FALSE)</f>
        <v>Syngonanthus caulescens</v>
      </c>
      <c r="L2162" s="4" t="str">
        <f>VLOOKUP(A2162,Revisión!$A$2:$L$703,10,FALSE)</f>
        <v>Syngonanthus caulescens</v>
      </c>
      <c r="M2162" s="18">
        <f>VLOOKUP(A2162,Revisión!$A$2:$L$703,11,FALSE)</f>
        <v>4</v>
      </c>
      <c r="N2162" s="30" t="str">
        <f>IF(E2162="Coinciden",D2162,IF(E2162="Revisar",VLOOKUP(A2162,Revisión!$A$2:$L$703,12,FALSE),""))</f>
        <v>Syngonanthus caulescens</v>
      </c>
    </row>
    <row r="2163" spans="1:14" x14ac:dyDescent="0.3">
      <c r="A2163" t="s">
        <v>4438</v>
      </c>
      <c r="B2163" t="s">
        <v>4439</v>
      </c>
      <c r="C2163" t="s">
        <v>4439</v>
      </c>
      <c r="D2163" t="s">
        <v>4439</v>
      </c>
      <c r="E2163" t="s">
        <v>18</v>
      </c>
      <c r="F2163" t="s">
        <v>19</v>
      </c>
      <c r="H2163" s="23" t="e">
        <f>VLOOKUP(A2163,Revisión!$A$2:$L$703,6,FALSE)</f>
        <v>#N/A</v>
      </c>
      <c r="I2163" s="4" t="e">
        <f>VLOOKUP(A2163,Revisión!$A$2:$L$703,7,FALSE)</f>
        <v>#N/A</v>
      </c>
      <c r="J2163" s="4" t="e">
        <f>VLOOKUP(A2163,Revisión!$A$2:$L$703,8,FALSE)</f>
        <v>#N/A</v>
      </c>
      <c r="K2163" s="4" t="e">
        <f>VLOOKUP(A2163,Revisión!$A$2:$L$703,9,FALSE)</f>
        <v>#N/A</v>
      </c>
      <c r="L2163" s="4" t="e">
        <f>VLOOKUP(A2163,Revisión!$A$2:$L$703,10,FALSE)</f>
        <v>#N/A</v>
      </c>
      <c r="M2163" s="18" t="e">
        <f>VLOOKUP(A2163,Revisión!$A$2:$L$703,11,FALSE)</f>
        <v>#N/A</v>
      </c>
      <c r="N2163" s="30" t="str">
        <f>IF(E2163="Coinciden",D2163,IF(E2163="Revisar",VLOOKUP(A2163,Revisión!$A$2:$L$703,12,FALSE),""))</f>
        <v>Synurus excelsus</v>
      </c>
    </row>
    <row r="2164" spans="1:14" x14ac:dyDescent="0.3">
      <c r="A2164" t="s">
        <v>4440</v>
      </c>
      <c r="B2164" t="s">
        <v>4441</v>
      </c>
      <c r="C2164" t="s">
        <v>4441</v>
      </c>
      <c r="D2164" t="s">
        <v>4441</v>
      </c>
      <c r="E2164" t="s">
        <v>18</v>
      </c>
      <c r="F2164" t="s">
        <v>19</v>
      </c>
      <c r="H2164" s="23" t="e">
        <f>VLOOKUP(A2164,Revisión!$A$2:$L$703,6,FALSE)</f>
        <v>#N/A</v>
      </c>
      <c r="I2164" s="4" t="e">
        <f>VLOOKUP(A2164,Revisión!$A$2:$L$703,7,FALSE)</f>
        <v>#N/A</v>
      </c>
      <c r="J2164" s="4" t="e">
        <f>VLOOKUP(A2164,Revisión!$A$2:$L$703,8,FALSE)</f>
        <v>#N/A</v>
      </c>
      <c r="K2164" s="4" t="e">
        <f>VLOOKUP(A2164,Revisión!$A$2:$L$703,9,FALSE)</f>
        <v>#N/A</v>
      </c>
      <c r="L2164" s="4" t="e">
        <f>VLOOKUP(A2164,Revisión!$A$2:$L$703,10,FALSE)</f>
        <v>#N/A</v>
      </c>
      <c r="M2164" s="18" t="e">
        <f>VLOOKUP(A2164,Revisión!$A$2:$L$703,11,FALSE)</f>
        <v>#N/A</v>
      </c>
      <c r="N2164" s="30" t="str">
        <f>IF(E2164="Coinciden",D2164,IF(E2164="Revisar",VLOOKUP(A2164,Revisión!$A$2:$L$703,12,FALSE),""))</f>
        <v>Synurus pungens</v>
      </c>
    </row>
    <row r="2165" spans="1:14" x14ac:dyDescent="0.3">
      <c r="A2165" t="s">
        <v>4442</v>
      </c>
      <c r="B2165" t="s">
        <v>4443</v>
      </c>
      <c r="C2165" t="s">
        <v>4443</v>
      </c>
      <c r="D2165" t="s">
        <v>4443</v>
      </c>
      <c r="E2165" t="s">
        <v>18</v>
      </c>
      <c r="F2165" t="s">
        <v>19</v>
      </c>
      <c r="H2165" s="23" t="e">
        <f>VLOOKUP(A2165,Revisión!$A$2:$L$703,6,FALSE)</f>
        <v>#N/A</v>
      </c>
      <c r="I2165" s="4" t="e">
        <f>VLOOKUP(A2165,Revisión!$A$2:$L$703,7,FALSE)</f>
        <v>#N/A</v>
      </c>
      <c r="J2165" s="4" t="e">
        <f>VLOOKUP(A2165,Revisión!$A$2:$L$703,8,FALSE)</f>
        <v>#N/A</v>
      </c>
      <c r="K2165" s="4" t="e">
        <f>VLOOKUP(A2165,Revisión!$A$2:$L$703,9,FALSE)</f>
        <v>#N/A</v>
      </c>
      <c r="L2165" s="4" t="e">
        <f>VLOOKUP(A2165,Revisión!$A$2:$L$703,10,FALSE)</f>
        <v>#N/A</v>
      </c>
      <c r="M2165" s="18" t="e">
        <f>VLOOKUP(A2165,Revisión!$A$2:$L$703,11,FALSE)</f>
        <v>#N/A</v>
      </c>
      <c r="N2165" s="30" t="str">
        <f>IF(E2165="Coinciden",D2165,IF(E2165="Revisar",VLOOKUP(A2165,Revisión!$A$2:$L$703,12,FALSE),""))</f>
        <v>Syringa vulgaris</v>
      </c>
    </row>
    <row r="2166" spans="1:14" x14ac:dyDescent="0.3">
      <c r="A2166" t="s">
        <v>4444</v>
      </c>
      <c r="B2166" t="s">
        <v>4445</v>
      </c>
      <c r="D2166" t="s">
        <v>4445</v>
      </c>
      <c r="E2166" t="s">
        <v>8</v>
      </c>
      <c r="F2166" t="s">
        <v>34</v>
      </c>
      <c r="H2166" s="23" t="str">
        <f>VLOOKUP(A2166,Revisión!$A$2:$L$703,6,FALSE)</f>
        <v>Syzygium venosum</v>
      </c>
      <c r="I2166" s="4" t="str">
        <f>VLOOKUP(A2166,Revisión!$A$2:$L$703,7,FALSE)</f>
        <v>-</v>
      </c>
      <c r="J2166" s="4" t="str">
        <f>VLOOKUP(A2166,Revisión!$A$2:$L$703,8,FALSE)</f>
        <v>Syzygium venosum</v>
      </c>
      <c r="K2166" s="4" t="str">
        <f>VLOOKUP(A2166,Revisión!$A$2:$L$703,9,FALSE)</f>
        <v>Syzygium venosum</v>
      </c>
      <c r="L2166" s="4" t="str">
        <f>VLOOKUP(A2166,Revisión!$A$2:$L$703,10,FALSE)</f>
        <v>Syzygium venosum</v>
      </c>
      <c r="M2166" s="18">
        <f>VLOOKUP(A2166,Revisión!$A$2:$L$703,11,FALSE)</f>
        <v>5</v>
      </c>
      <c r="N2166" s="30" t="str">
        <f>IF(E2166="Coinciden",D2166,IF(E2166="Revisar",VLOOKUP(A2166,Revisión!$A$2:$L$703,12,FALSE),""))</f>
        <v>Syzygium venosum</v>
      </c>
    </row>
    <row r="2167" spans="1:14" x14ac:dyDescent="0.3">
      <c r="A2167" t="s">
        <v>4446</v>
      </c>
      <c r="C2167" t="s">
        <v>4447</v>
      </c>
      <c r="D2167" t="s">
        <v>4447</v>
      </c>
      <c r="E2167" t="s">
        <v>8</v>
      </c>
      <c r="F2167" t="s">
        <v>49</v>
      </c>
      <c r="H2167" s="23" t="str">
        <f>VLOOKUP(A2167,Revisión!$A$2:$L$703,6,FALSE)</f>
        <v>Syzygium petrinense</v>
      </c>
      <c r="I2167" s="4" t="str">
        <f>VLOOKUP(A2167,Revisión!$A$2:$L$703,7,FALSE)</f>
        <v>-</v>
      </c>
      <c r="J2167" s="4" t="str">
        <f>VLOOKUP(A2167,Revisión!$A$2:$L$703,8,FALSE)</f>
        <v>Syzygium petrinense</v>
      </c>
      <c r="K2167" s="4" t="str">
        <f>VLOOKUP(A2167,Revisión!$A$2:$L$703,9,FALSE)</f>
        <v>Syzygium petrinense</v>
      </c>
      <c r="L2167" s="4" t="str">
        <f>VLOOKUP(A2167,Revisión!$A$2:$L$703,10,FALSE)</f>
        <v>Syzygium petrinense</v>
      </c>
      <c r="M2167" s="18">
        <f>VLOOKUP(A2167,Revisión!$A$2:$L$703,11,FALSE)</f>
        <v>4</v>
      </c>
      <c r="N2167" s="30" t="str">
        <f>IF(E2167="Coinciden",D2167,IF(E2167="Revisar",VLOOKUP(A2167,Revisión!$A$2:$L$703,12,FALSE),""))</f>
        <v>Syzygium petrinense</v>
      </c>
    </row>
    <row r="2168" spans="1:14" x14ac:dyDescent="0.3">
      <c r="A2168" t="s">
        <v>4448</v>
      </c>
      <c r="B2168" t="s">
        <v>4449</v>
      </c>
      <c r="C2168" t="s">
        <v>4449</v>
      </c>
      <c r="D2168" t="s">
        <v>4449</v>
      </c>
      <c r="E2168" t="s">
        <v>18</v>
      </c>
      <c r="F2168" t="s">
        <v>19</v>
      </c>
      <c r="H2168" s="23" t="e">
        <f>VLOOKUP(A2168,Revisión!$A$2:$L$703,6,FALSE)</f>
        <v>#N/A</v>
      </c>
      <c r="I2168" s="4" t="e">
        <f>VLOOKUP(A2168,Revisión!$A$2:$L$703,7,FALSE)</f>
        <v>#N/A</v>
      </c>
      <c r="J2168" s="4" t="e">
        <f>VLOOKUP(A2168,Revisión!$A$2:$L$703,8,FALSE)</f>
        <v>#N/A</v>
      </c>
      <c r="K2168" s="4" t="e">
        <f>VLOOKUP(A2168,Revisión!$A$2:$L$703,9,FALSE)</f>
        <v>#N/A</v>
      </c>
      <c r="L2168" s="4" t="e">
        <f>VLOOKUP(A2168,Revisión!$A$2:$L$703,10,FALSE)</f>
        <v>#N/A</v>
      </c>
      <c r="M2168" s="18" t="e">
        <f>VLOOKUP(A2168,Revisión!$A$2:$L$703,11,FALSE)</f>
        <v>#N/A</v>
      </c>
      <c r="N2168" s="30" t="str">
        <f>IF(E2168="Coinciden",D2168,IF(E2168="Revisar",VLOOKUP(A2168,Revisión!$A$2:$L$703,12,FALSE),""))</f>
        <v>Syzygium coriaceum</v>
      </c>
    </row>
    <row r="2169" spans="1:14" x14ac:dyDescent="0.3">
      <c r="A2169" t="s">
        <v>4450</v>
      </c>
      <c r="B2169" t="s">
        <v>4451</v>
      </c>
      <c r="C2169" t="s">
        <v>4451</v>
      </c>
      <c r="D2169" t="s">
        <v>4451</v>
      </c>
      <c r="E2169" t="s">
        <v>18</v>
      </c>
      <c r="F2169" t="s">
        <v>19</v>
      </c>
      <c r="H2169" s="23" t="e">
        <f>VLOOKUP(A2169,Revisión!$A$2:$L$703,6,FALSE)</f>
        <v>#N/A</v>
      </c>
      <c r="I2169" s="4" t="e">
        <f>VLOOKUP(A2169,Revisión!$A$2:$L$703,7,FALSE)</f>
        <v>#N/A</v>
      </c>
      <c r="J2169" s="4" t="e">
        <f>VLOOKUP(A2169,Revisión!$A$2:$L$703,8,FALSE)</f>
        <v>#N/A</v>
      </c>
      <c r="K2169" s="4" t="e">
        <f>VLOOKUP(A2169,Revisión!$A$2:$L$703,9,FALSE)</f>
        <v>#N/A</v>
      </c>
      <c r="L2169" s="4" t="e">
        <f>VLOOKUP(A2169,Revisión!$A$2:$L$703,10,FALSE)</f>
        <v>#N/A</v>
      </c>
      <c r="M2169" s="18" t="e">
        <f>VLOOKUP(A2169,Revisión!$A$2:$L$703,11,FALSE)</f>
        <v>#N/A</v>
      </c>
      <c r="N2169" s="30" t="str">
        <f>IF(E2169="Coinciden",D2169,IF(E2169="Revisar",VLOOKUP(A2169,Revisión!$A$2:$L$703,12,FALSE),""))</f>
        <v>Syzygium glomeratum</v>
      </c>
    </row>
    <row r="2170" spans="1:14" x14ac:dyDescent="0.3">
      <c r="A2170" t="s">
        <v>4452</v>
      </c>
      <c r="B2170" t="s">
        <v>4453</v>
      </c>
      <c r="C2170" t="s">
        <v>4453</v>
      </c>
      <c r="D2170" t="s">
        <v>4453</v>
      </c>
      <c r="E2170" t="s">
        <v>18</v>
      </c>
      <c r="F2170" t="s">
        <v>19</v>
      </c>
      <c r="H2170" s="23" t="e">
        <f>VLOOKUP(A2170,Revisión!$A$2:$L$703,6,FALSE)</f>
        <v>#N/A</v>
      </c>
      <c r="I2170" s="4" t="e">
        <f>VLOOKUP(A2170,Revisión!$A$2:$L$703,7,FALSE)</f>
        <v>#N/A</v>
      </c>
      <c r="J2170" s="4" t="e">
        <f>VLOOKUP(A2170,Revisión!$A$2:$L$703,8,FALSE)</f>
        <v>#N/A</v>
      </c>
      <c r="K2170" s="4" t="e">
        <f>VLOOKUP(A2170,Revisión!$A$2:$L$703,9,FALSE)</f>
        <v>#N/A</v>
      </c>
      <c r="L2170" s="4" t="e">
        <f>VLOOKUP(A2170,Revisión!$A$2:$L$703,10,FALSE)</f>
        <v>#N/A</v>
      </c>
      <c r="M2170" s="18" t="e">
        <f>VLOOKUP(A2170,Revisión!$A$2:$L$703,11,FALSE)</f>
        <v>#N/A</v>
      </c>
      <c r="N2170" s="30" t="str">
        <f>IF(E2170="Coinciden",D2170,IF(E2170="Revisar",VLOOKUP(A2170,Revisión!$A$2:$L$703,12,FALSE),""))</f>
        <v>Syzygium commersonii</v>
      </c>
    </row>
    <row r="2171" spans="1:14" x14ac:dyDescent="0.3">
      <c r="A2171" t="s">
        <v>4454</v>
      </c>
      <c r="B2171" t="s">
        <v>4455</v>
      </c>
      <c r="C2171" t="s">
        <v>4455</v>
      </c>
      <c r="D2171" t="s">
        <v>4455</v>
      </c>
      <c r="E2171" t="s">
        <v>18</v>
      </c>
      <c r="F2171" t="s">
        <v>19</v>
      </c>
      <c r="H2171" s="23" t="e">
        <f>VLOOKUP(A2171,Revisión!$A$2:$L$703,6,FALSE)</f>
        <v>#N/A</v>
      </c>
      <c r="I2171" s="4" t="e">
        <f>VLOOKUP(A2171,Revisión!$A$2:$L$703,7,FALSE)</f>
        <v>#N/A</v>
      </c>
      <c r="J2171" s="4" t="e">
        <f>VLOOKUP(A2171,Revisión!$A$2:$L$703,8,FALSE)</f>
        <v>#N/A</v>
      </c>
      <c r="K2171" s="4" t="e">
        <f>VLOOKUP(A2171,Revisión!$A$2:$L$703,9,FALSE)</f>
        <v>#N/A</v>
      </c>
      <c r="L2171" s="4" t="e">
        <f>VLOOKUP(A2171,Revisión!$A$2:$L$703,10,FALSE)</f>
        <v>#N/A</v>
      </c>
      <c r="M2171" s="18" t="e">
        <f>VLOOKUP(A2171,Revisión!$A$2:$L$703,11,FALSE)</f>
        <v>#N/A</v>
      </c>
      <c r="N2171" s="30" t="str">
        <f>IF(E2171="Coinciden",D2171,IF(E2171="Revisar",VLOOKUP(A2171,Revisión!$A$2:$L$703,12,FALSE),""))</f>
        <v>Syzygium wrightii</v>
      </c>
    </row>
    <row r="2172" spans="1:14" x14ac:dyDescent="0.3">
      <c r="A2172" t="s">
        <v>4456</v>
      </c>
      <c r="B2172" t="s">
        <v>4457</v>
      </c>
      <c r="C2172" t="s">
        <v>4457</v>
      </c>
      <c r="D2172" t="s">
        <v>4457</v>
      </c>
      <c r="E2172" t="s">
        <v>18</v>
      </c>
      <c r="F2172" t="s">
        <v>19</v>
      </c>
      <c r="H2172" s="23" t="e">
        <f>VLOOKUP(A2172,Revisión!$A$2:$L$703,6,FALSE)</f>
        <v>#N/A</v>
      </c>
      <c r="I2172" s="4" t="e">
        <f>VLOOKUP(A2172,Revisión!$A$2:$L$703,7,FALSE)</f>
        <v>#N/A</v>
      </c>
      <c r="J2172" s="4" t="e">
        <f>VLOOKUP(A2172,Revisión!$A$2:$L$703,8,FALSE)</f>
        <v>#N/A</v>
      </c>
      <c r="K2172" s="4" t="e">
        <f>VLOOKUP(A2172,Revisión!$A$2:$L$703,9,FALSE)</f>
        <v>#N/A</v>
      </c>
      <c r="L2172" s="4" t="e">
        <f>VLOOKUP(A2172,Revisión!$A$2:$L$703,10,FALSE)</f>
        <v>#N/A</v>
      </c>
      <c r="M2172" s="18" t="e">
        <f>VLOOKUP(A2172,Revisión!$A$2:$L$703,11,FALSE)</f>
        <v>#N/A</v>
      </c>
      <c r="N2172" s="30" t="str">
        <f>IF(E2172="Coinciden",D2172,IF(E2172="Revisar",VLOOKUP(A2172,Revisión!$A$2:$L$703,12,FALSE),""))</f>
        <v>Syzygium mauritianum</v>
      </c>
    </row>
    <row r="2173" spans="1:14" x14ac:dyDescent="0.3">
      <c r="A2173" t="s">
        <v>4458</v>
      </c>
      <c r="B2173" t="s">
        <v>4459</v>
      </c>
      <c r="C2173" t="s">
        <v>4459</v>
      </c>
      <c r="D2173" t="s">
        <v>4459</v>
      </c>
      <c r="E2173" t="s">
        <v>18</v>
      </c>
      <c r="F2173" t="s">
        <v>19</v>
      </c>
      <c r="H2173" s="23" t="e">
        <f>VLOOKUP(A2173,Revisión!$A$2:$L$703,6,FALSE)</f>
        <v>#N/A</v>
      </c>
      <c r="I2173" s="4" t="e">
        <f>VLOOKUP(A2173,Revisión!$A$2:$L$703,7,FALSE)</f>
        <v>#N/A</v>
      </c>
      <c r="J2173" s="4" t="e">
        <f>VLOOKUP(A2173,Revisión!$A$2:$L$703,8,FALSE)</f>
        <v>#N/A</v>
      </c>
      <c r="K2173" s="4" t="e">
        <f>VLOOKUP(A2173,Revisión!$A$2:$L$703,9,FALSE)</f>
        <v>#N/A</v>
      </c>
      <c r="L2173" s="4" t="e">
        <f>VLOOKUP(A2173,Revisión!$A$2:$L$703,10,FALSE)</f>
        <v>#N/A</v>
      </c>
      <c r="M2173" s="18" t="e">
        <f>VLOOKUP(A2173,Revisión!$A$2:$L$703,11,FALSE)</f>
        <v>#N/A</v>
      </c>
      <c r="N2173" s="30" t="str">
        <f>IF(E2173="Coinciden",D2173,IF(E2173="Revisar",VLOOKUP(A2173,Revisión!$A$2:$L$703,12,FALSE),""))</f>
        <v>Tabernaemontana persicariifolia</v>
      </c>
    </row>
    <row r="2174" spans="1:14" x14ac:dyDescent="0.3">
      <c r="A2174" t="s">
        <v>4460</v>
      </c>
      <c r="B2174" t="s">
        <v>4461</v>
      </c>
      <c r="C2174" t="s">
        <v>4461</v>
      </c>
      <c r="D2174" t="s">
        <v>4461</v>
      </c>
      <c r="E2174" t="s">
        <v>18</v>
      </c>
      <c r="F2174" t="s">
        <v>19</v>
      </c>
      <c r="H2174" s="23" t="e">
        <f>VLOOKUP(A2174,Revisión!$A$2:$L$703,6,FALSE)</f>
        <v>#N/A</v>
      </c>
      <c r="I2174" s="4" t="e">
        <f>VLOOKUP(A2174,Revisión!$A$2:$L$703,7,FALSE)</f>
        <v>#N/A</v>
      </c>
      <c r="J2174" s="4" t="e">
        <f>VLOOKUP(A2174,Revisión!$A$2:$L$703,8,FALSE)</f>
        <v>#N/A</v>
      </c>
      <c r="K2174" s="4" t="e">
        <f>VLOOKUP(A2174,Revisión!$A$2:$L$703,9,FALSE)</f>
        <v>#N/A</v>
      </c>
      <c r="L2174" s="4" t="e">
        <f>VLOOKUP(A2174,Revisión!$A$2:$L$703,10,FALSE)</f>
        <v>#N/A</v>
      </c>
      <c r="M2174" s="18" t="e">
        <f>VLOOKUP(A2174,Revisión!$A$2:$L$703,11,FALSE)</f>
        <v>#N/A</v>
      </c>
      <c r="N2174" s="30" t="str">
        <f>IF(E2174="Coinciden",D2174,IF(E2174="Revisar",VLOOKUP(A2174,Revisión!$A$2:$L$703,12,FALSE),""))</f>
        <v>Taenidia integerrima</v>
      </c>
    </row>
    <row r="2175" spans="1:14" x14ac:dyDescent="0.3">
      <c r="A2175" t="s">
        <v>4462</v>
      </c>
      <c r="B2175" t="s">
        <v>4463</v>
      </c>
      <c r="C2175" t="s">
        <v>4463</v>
      </c>
      <c r="D2175" t="s">
        <v>4463</v>
      </c>
      <c r="E2175" t="s">
        <v>18</v>
      </c>
      <c r="F2175" t="s">
        <v>19</v>
      </c>
      <c r="H2175" s="23" t="e">
        <f>VLOOKUP(A2175,Revisión!$A$2:$L$703,6,FALSE)</f>
        <v>#N/A</v>
      </c>
      <c r="I2175" s="4" t="e">
        <f>VLOOKUP(A2175,Revisión!$A$2:$L$703,7,FALSE)</f>
        <v>#N/A</v>
      </c>
      <c r="J2175" s="4" t="e">
        <f>VLOOKUP(A2175,Revisión!$A$2:$L$703,8,FALSE)</f>
        <v>#N/A</v>
      </c>
      <c r="K2175" s="4" t="e">
        <f>VLOOKUP(A2175,Revisión!$A$2:$L$703,9,FALSE)</f>
        <v>#N/A</v>
      </c>
      <c r="L2175" s="4" t="e">
        <f>VLOOKUP(A2175,Revisión!$A$2:$L$703,10,FALSE)</f>
        <v>#N/A</v>
      </c>
      <c r="M2175" s="18" t="e">
        <f>VLOOKUP(A2175,Revisión!$A$2:$L$703,11,FALSE)</f>
        <v>#N/A</v>
      </c>
      <c r="N2175" s="30" t="str">
        <f>IF(E2175="Coinciden",D2175,IF(E2175="Revisar",VLOOKUP(A2175,Revisión!$A$2:$L$703,12,FALSE),""))</f>
        <v>Tanacetum vulgare</v>
      </c>
    </row>
    <row r="2176" spans="1:14" x14ac:dyDescent="0.3">
      <c r="A2176" t="s">
        <v>4464</v>
      </c>
      <c r="B2176" t="s">
        <v>4465</v>
      </c>
      <c r="C2176" t="s">
        <v>4465</v>
      </c>
      <c r="D2176" t="s">
        <v>4465</v>
      </c>
      <c r="E2176" t="s">
        <v>18</v>
      </c>
      <c r="F2176" t="s">
        <v>19</v>
      </c>
      <c r="H2176" s="23" t="e">
        <f>VLOOKUP(A2176,Revisión!$A$2:$L$703,6,FALSE)</f>
        <v>#N/A</v>
      </c>
      <c r="I2176" s="4" t="e">
        <f>VLOOKUP(A2176,Revisión!$A$2:$L$703,7,FALSE)</f>
        <v>#N/A</v>
      </c>
      <c r="J2176" s="4" t="e">
        <f>VLOOKUP(A2176,Revisión!$A$2:$L$703,8,FALSE)</f>
        <v>#N/A</v>
      </c>
      <c r="K2176" s="4" t="e">
        <f>VLOOKUP(A2176,Revisión!$A$2:$L$703,9,FALSE)</f>
        <v>#N/A</v>
      </c>
      <c r="L2176" s="4" t="e">
        <f>VLOOKUP(A2176,Revisión!$A$2:$L$703,10,FALSE)</f>
        <v>#N/A</v>
      </c>
      <c r="M2176" s="18" t="e">
        <f>VLOOKUP(A2176,Revisión!$A$2:$L$703,11,FALSE)</f>
        <v>#N/A</v>
      </c>
      <c r="N2176" s="30" t="str">
        <f>IF(E2176="Coinciden",D2176,IF(E2176="Revisar",VLOOKUP(A2176,Revisión!$A$2:$L$703,12,FALSE),""))</f>
        <v>Tarasa humilis</v>
      </c>
    </row>
    <row r="2177" spans="1:14" x14ac:dyDescent="0.3">
      <c r="A2177" t="s">
        <v>4466</v>
      </c>
      <c r="B2177" t="s">
        <v>4467</v>
      </c>
      <c r="C2177" t="s">
        <v>4467</v>
      </c>
      <c r="D2177" t="s">
        <v>4467</v>
      </c>
      <c r="E2177" t="s">
        <v>18</v>
      </c>
      <c r="F2177" t="s">
        <v>19</v>
      </c>
      <c r="H2177" s="23" t="e">
        <f>VLOOKUP(A2177,Revisión!$A$2:$L$703,6,FALSE)</f>
        <v>#N/A</v>
      </c>
      <c r="I2177" s="4" t="e">
        <f>VLOOKUP(A2177,Revisión!$A$2:$L$703,7,FALSE)</f>
        <v>#N/A</v>
      </c>
      <c r="J2177" s="4" t="e">
        <f>VLOOKUP(A2177,Revisión!$A$2:$L$703,8,FALSE)</f>
        <v>#N/A</v>
      </c>
      <c r="K2177" s="4" t="e">
        <f>VLOOKUP(A2177,Revisión!$A$2:$L$703,9,FALSE)</f>
        <v>#N/A</v>
      </c>
      <c r="L2177" s="4" t="e">
        <f>VLOOKUP(A2177,Revisión!$A$2:$L$703,10,FALSE)</f>
        <v>#N/A</v>
      </c>
      <c r="M2177" s="18" t="e">
        <f>VLOOKUP(A2177,Revisión!$A$2:$L$703,11,FALSE)</f>
        <v>#N/A</v>
      </c>
      <c r="N2177" s="30" t="str">
        <f>IF(E2177="Coinciden",D2177,IF(E2177="Revisar",VLOOKUP(A2177,Revisión!$A$2:$L$703,12,FALSE),""))</f>
        <v>Taraxacum japonicum</v>
      </c>
    </row>
    <row r="2178" spans="1:14" x14ac:dyDescent="0.3">
      <c r="A2178" t="s">
        <v>4468</v>
      </c>
      <c r="E2178" t="s">
        <v>8</v>
      </c>
      <c r="F2178" t="s">
        <v>11</v>
      </c>
      <c r="H2178" s="23" t="e">
        <f>VLOOKUP(A2178,Revisión!$A$2:$L$703,6,FALSE)</f>
        <v>#N/A</v>
      </c>
      <c r="I2178" s="4" t="e">
        <f>VLOOKUP(A2178,Revisión!$A$2:$L$703,7,FALSE)</f>
        <v>#N/A</v>
      </c>
      <c r="J2178" s="4" t="e">
        <f>VLOOKUP(A2178,Revisión!$A$2:$L$703,8,FALSE)</f>
        <v>#N/A</v>
      </c>
      <c r="K2178" s="4" t="e">
        <f>VLOOKUP(A2178,Revisión!$A$2:$L$703,9,FALSE)</f>
        <v>#N/A</v>
      </c>
      <c r="L2178" s="4" t="e">
        <f>VLOOKUP(A2178,Revisión!$A$2:$L$703,10,FALSE)</f>
        <v>#N/A</v>
      </c>
      <c r="M2178" s="18" t="e">
        <f>VLOOKUP(A2178,Revisión!$A$2:$L$703,11,FALSE)</f>
        <v>#N/A</v>
      </c>
      <c r="N2178" s="30" t="e">
        <f>IF(E2178="Coinciden",D2178,IF(E2178="Revisar",VLOOKUP(A2178,Revisión!$A$2:$L$703,12,FALSE),""))</f>
        <v>#N/A</v>
      </c>
    </row>
    <row r="2179" spans="1:14" x14ac:dyDescent="0.3">
      <c r="A2179" t="s">
        <v>4469</v>
      </c>
      <c r="E2179" t="s">
        <v>8</v>
      </c>
      <c r="F2179" t="s">
        <v>11</v>
      </c>
      <c r="H2179" s="23" t="e">
        <f>VLOOKUP(A2179,Revisión!$A$2:$L$703,6,FALSE)</f>
        <v>#N/A</v>
      </c>
      <c r="I2179" s="4" t="e">
        <f>VLOOKUP(A2179,Revisión!$A$2:$L$703,7,FALSE)</f>
        <v>#N/A</v>
      </c>
      <c r="J2179" s="4" t="e">
        <f>VLOOKUP(A2179,Revisión!$A$2:$L$703,8,FALSE)</f>
        <v>#N/A</v>
      </c>
      <c r="K2179" s="4" t="e">
        <f>VLOOKUP(A2179,Revisión!$A$2:$L$703,9,FALSE)</f>
        <v>#N/A</v>
      </c>
      <c r="L2179" s="4" t="e">
        <f>VLOOKUP(A2179,Revisión!$A$2:$L$703,10,FALSE)</f>
        <v>#N/A</v>
      </c>
      <c r="M2179" s="18" t="e">
        <f>VLOOKUP(A2179,Revisión!$A$2:$L$703,11,FALSE)</f>
        <v>#N/A</v>
      </c>
      <c r="N2179" s="30" t="e">
        <f>IF(E2179="Coinciden",D2179,IF(E2179="Revisar",VLOOKUP(A2179,Revisión!$A$2:$L$703,12,FALSE),""))</f>
        <v>#N/A</v>
      </c>
    </row>
    <row r="2180" spans="1:14" x14ac:dyDescent="0.3">
      <c r="A2180" t="s">
        <v>4470</v>
      </c>
      <c r="B2180" t="s">
        <v>4471</v>
      </c>
      <c r="C2180" t="s">
        <v>4471</v>
      </c>
      <c r="D2180" t="s">
        <v>4471</v>
      </c>
      <c r="E2180" t="s">
        <v>18</v>
      </c>
      <c r="F2180" t="s">
        <v>19</v>
      </c>
      <c r="H2180" s="23" t="e">
        <f>VLOOKUP(A2180,Revisión!$A$2:$L$703,6,FALSE)</f>
        <v>#N/A</v>
      </c>
      <c r="I2180" s="4" t="e">
        <f>VLOOKUP(A2180,Revisión!$A$2:$L$703,7,FALSE)</f>
        <v>#N/A</v>
      </c>
      <c r="J2180" s="4" t="e">
        <f>VLOOKUP(A2180,Revisión!$A$2:$L$703,8,FALSE)</f>
        <v>#N/A</v>
      </c>
      <c r="K2180" s="4" t="e">
        <f>VLOOKUP(A2180,Revisión!$A$2:$L$703,9,FALSE)</f>
        <v>#N/A</v>
      </c>
      <c r="L2180" s="4" t="e">
        <f>VLOOKUP(A2180,Revisión!$A$2:$L$703,10,FALSE)</f>
        <v>#N/A</v>
      </c>
      <c r="M2180" s="18" t="e">
        <f>VLOOKUP(A2180,Revisión!$A$2:$L$703,11,FALSE)</f>
        <v>#N/A</v>
      </c>
      <c r="N2180" s="30" t="str">
        <f>IF(E2180="Coinciden",D2180,IF(E2180="Revisar",VLOOKUP(A2180,Revisión!$A$2:$L$703,12,FALSE),""))</f>
        <v>Taraxacum phymatocarpum</v>
      </c>
    </row>
    <row r="2181" spans="1:14" x14ac:dyDescent="0.3">
      <c r="A2181" t="s">
        <v>4472</v>
      </c>
      <c r="B2181" t="s">
        <v>4473</v>
      </c>
      <c r="C2181" t="s">
        <v>4473</v>
      </c>
      <c r="E2181" t="s">
        <v>8</v>
      </c>
      <c r="F2181" t="s">
        <v>323</v>
      </c>
      <c r="H2181" s="23" t="str">
        <f>VLOOKUP(A2181,Revisión!$A$2:$L$703,6,FALSE)</f>
        <v>Taraxacum platycarpum subsp. hondoense</v>
      </c>
      <c r="I2181" s="4" t="str">
        <f>VLOOKUP(A2181,Revisión!$A$2:$L$703,7,FALSE)</f>
        <v>-</v>
      </c>
      <c r="J2181" s="4" t="str">
        <f>VLOOKUP(A2181,Revisión!$A$2:$L$703,8,FALSE)</f>
        <v>Taraxacum platycarpum subsp. hondoense</v>
      </c>
      <c r="K2181" s="4" t="str">
        <f>VLOOKUP(A2181,Revisión!$A$2:$L$703,9,FALSE)</f>
        <v>Taraxacum platycarpum subsp. hondoense</v>
      </c>
      <c r="L2181" s="4" t="str">
        <f>VLOOKUP(A2181,Revisión!$A$2:$L$703,10,FALSE)</f>
        <v>Taraxacum platycarpum subsp. hondoense</v>
      </c>
      <c r="M2181" s="18">
        <f>VLOOKUP(A2181,Revisión!$A$2:$L$703,11,FALSE)</f>
        <v>4</v>
      </c>
      <c r="N2181" s="30" t="str">
        <f>IF(E2181="Coinciden",D2181,IF(E2181="Revisar",VLOOKUP(A2181,Revisión!$A$2:$L$703,12,FALSE),""))</f>
        <v>Taraxacum platycarpum subsp. hondoense</v>
      </c>
    </row>
    <row r="2182" spans="1:14" x14ac:dyDescent="0.3">
      <c r="A2182" t="s">
        <v>4474</v>
      </c>
      <c r="B2182" t="s">
        <v>4475</v>
      </c>
      <c r="C2182" t="s">
        <v>4476</v>
      </c>
      <c r="E2182" t="s">
        <v>8</v>
      </c>
      <c r="F2182" t="s">
        <v>9</v>
      </c>
      <c r="H2182" s="23" t="str">
        <f>VLOOKUP(A2182,Revisión!$A$2:$L$703,6,FALSE)</f>
        <v>Taraxacum officinale</v>
      </c>
      <c r="I2182" s="4" t="str">
        <f>VLOOKUP(A2182,Revisión!$A$2:$L$703,7,FALSE)</f>
        <v>-</v>
      </c>
      <c r="J2182" s="4" t="str">
        <f>VLOOKUP(A2182,Revisión!$A$2:$L$703,8,FALSE)</f>
        <v>Taraxacum sect. Taraxacum</v>
      </c>
      <c r="K2182" s="4" t="str">
        <f>VLOOKUP(A2182,Revisión!$A$2:$L$703,9,FALSE)</f>
        <v>Taraxacum officinale</v>
      </c>
      <c r="L2182" s="4" t="str">
        <f>VLOOKUP(A2182,Revisión!$A$2:$L$703,10,FALSE)</f>
        <v>Taraxacum officinale</v>
      </c>
      <c r="M2182" s="18">
        <f>VLOOKUP(A2182,Revisión!$A$2:$L$703,11,FALSE)</f>
        <v>4</v>
      </c>
      <c r="N2182" s="30" t="str">
        <f>IF(E2182="Coinciden",D2182,IF(E2182="Revisar",VLOOKUP(A2182,Revisión!$A$2:$L$703,12,FALSE),""))</f>
        <v>Taraxacum officinale</v>
      </c>
    </row>
    <row r="2183" spans="1:14" x14ac:dyDescent="0.3">
      <c r="A2183" t="s">
        <v>4477</v>
      </c>
      <c r="B2183" t="s">
        <v>4478</v>
      </c>
      <c r="C2183" t="s">
        <v>4478</v>
      </c>
      <c r="D2183" t="s">
        <v>4479</v>
      </c>
      <c r="E2183" t="s">
        <v>8</v>
      </c>
      <c r="F2183" t="s">
        <v>15</v>
      </c>
      <c r="H2183" s="23" t="str">
        <f>VLOOKUP(A2183,Revisión!$A$2:$L$703,6,FALSE)</f>
        <v>Taraxacum arctogenum </v>
      </c>
      <c r="I2183" s="4" t="str">
        <f>VLOOKUP(A2183,Revisión!$A$2:$L$703,7,FALSE)</f>
        <v>-</v>
      </c>
      <c r="J2183" s="4" t="str">
        <f>VLOOKUP(A2183,Revisión!$A$2:$L$703,8,FALSE)</f>
        <v>Taraxacum lacerum</v>
      </c>
      <c r="K2183" s="4" t="str">
        <f>VLOOKUP(A2183,Revisión!$A$2:$L$703,9,FALSE)</f>
        <v>Taraxacum arctogenum</v>
      </c>
      <c r="L2183" s="4" t="str">
        <f>VLOOKUP(A2183,Revisión!$A$2:$L$703,10,FALSE)</f>
        <v>-</v>
      </c>
      <c r="M2183" s="18">
        <f>VLOOKUP(A2183,Revisión!$A$2:$L$703,11,FALSE)</f>
        <v>3</v>
      </c>
      <c r="N2183" s="30" t="str">
        <f>IF(E2183="Coinciden",D2183,IF(E2183="Revisar",VLOOKUP(A2183,Revisión!$A$2:$L$703,12,FALSE),""))</f>
        <v>Taraxacum arctogenum</v>
      </c>
    </row>
    <row r="2184" spans="1:14" x14ac:dyDescent="0.3">
      <c r="A2184" t="s">
        <v>4480</v>
      </c>
      <c r="B2184" t="s">
        <v>819</v>
      </c>
      <c r="C2184" t="s">
        <v>819</v>
      </c>
      <c r="D2184" t="s">
        <v>819</v>
      </c>
      <c r="E2184" t="s">
        <v>18</v>
      </c>
      <c r="F2184" t="s">
        <v>19</v>
      </c>
      <c r="H2184" s="23" t="e">
        <f>VLOOKUP(A2184,Revisión!$A$2:$L$703,6,FALSE)</f>
        <v>#N/A</v>
      </c>
      <c r="I2184" s="4" t="e">
        <f>VLOOKUP(A2184,Revisión!$A$2:$L$703,7,FALSE)</f>
        <v>#N/A</v>
      </c>
      <c r="J2184" s="4" t="e">
        <f>VLOOKUP(A2184,Revisión!$A$2:$L$703,8,FALSE)</f>
        <v>#N/A</v>
      </c>
      <c r="K2184" s="4" t="e">
        <f>VLOOKUP(A2184,Revisión!$A$2:$L$703,9,FALSE)</f>
        <v>#N/A</v>
      </c>
      <c r="L2184" s="4" t="e">
        <f>VLOOKUP(A2184,Revisión!$A$2:$L$703,10,FALSE)</f>
        <v>#N/A</v>
      </c>
      <c r="M2184" s="18" t="e">
        <f>VLOOKUP(A2184,Revisión!$A$2:$L$703,11,FALSE)</f>
        <v>#N/A</v>
      </c>
      <c r="N2184" s="30" t="str">
        <f>IF(E2184="Coinciden",D2184,IF(E2184="Revisar",VLOOKUP(A2184,Revisión!$A$2:$L$703,12,FALSE),""))</f>
        <v>Campsis radicans</v>
      </c>
    </row>
    <row r="2185" spans="1:14" x14ac:dyDescent="0.3">
      <c r="A2185" t="s">
        <v>4481</v>
      </c>
      <c r="B2185" t="s">
        <v>4482</v>
      </c>
      <c r="C2185" t="s">
        <v>4482</v>
      </c>
      <c r="D2185" t="s">
        <v>4482</v>
      </c>
      <c r="E2185" t="s">
        <v>18</v>
      </c>
      <c r="F2185" t="s">
        <v>19</v>
      </c>
      <c r="H2185" s="23" t="e">
        <f>VLOOKUP(A2185,Revisión!$A$2:$L$703,6,FALSE)</f>
        <v>#N/A</v>
      </c>
      <c r="I2185" s="4" t="e">
        <f>VLOOKUP(A2185,Revisión!$A$2:$L$703,7,FALSE)</f>
        <v>#N/A</v>
      </c>
      <c r="J2185" s="4" t="e">
        <f>VLOOKUP(A2185,Revisión!$A$2:$L$703,8,FALSE)</f>
        <v>#N/A</v>
      </c>
      <c r="K2185" s="4" t="e">
        <f>VLOOKUP(A2185,Revisión!$A$2:$L$703,9,FALSE)</f>
        <v>#N/A</v>
      </c>
      <c r="L2185" s="4" t="e">
        <f>VLOOKUP(A2185,Revisión!$A$2:$L$703,10,FALSE)</f>
        <v>#N/A</v>
      </c>
      <c r="M2185" s="18" t="e">
        <f>VLOOKUP(A2185,Revisión!$A$2:$L$703,11,FALSE)</f>
        <v>#N/A</v>
      </c>
      <c r="N2185" s="30" t="str">
        <f>IF(E2185="Coinciden",D2185,IF(E2185="Revisar",VLOOKUP(A2185,Revisión!$A$2:$L$703,12,FALSE),""))</f>
        <v>Tephrosia virginiana</v>
      </c>
    </row>
    <row r="2186" spans="1:14" x14ac:dyDescent="0.3">
      <c r="A2186" t="s">
        <v>4483</v>
      </c>
      <c r="B2186" t="s">
        <v>4484</v>
      </c>
      <c r="C2186" t="s">
        <v>4485</v>
      </c>
      <c r="D2186" t="s">
        <v>4485</v>
      </c>
      <c r="E2186" t="s">
        <v>8</v>
      </c>
      <c r="F2186" t="s">
        <v>23</v>
      </c>
      <c r="H2186" s="23" t="str">
        <f>VLOOKUP(A2186,Revisión!$A$2:$L$703,6,FALSE)</f>
        <v>Tepualia stipularis</v>
      </c>
      <c r="I2186" s="4" t="str">
        <f>VLOOKUP(A2186,Revisión!$A$2:$L$703,7,FALSE)</f>
        <v>-</v>
      </c>
      <c r="J2186" s="4" t="str">
        <f>VLOOKUP(A2186,Revisión!$A$2:$L$703,8,FALSE)</f>
        <v>Metrosideros stipularis</v>
      </c>
      <c r="K2186" s="4" t="str">
        <f>VLOOKUP(A2186,Revisión!$A$2:$L$703,9,FALSE)</f>
        <v>Tepualia stipularis</v>
      </c>
      <c r="L2186" s="4" t="str">
        <f>VLOOKUP(A2186,Revisión!$A$2:$L$703,10,FALSE)</f>
        <v>Tepualia stipularis</v>
      </c>
      <c r="M2186" s="18">
        <f>VLOOKUP(A2186,Revisión!$A$2:$L$703,11,FALSE)</f>
        <v>3</v>
      </c>
      <c r="N2186" s="30" t="str">
        <f>IF(E2186="Coinciden",D2186,IF(E2186="Revisar",VLOOKUP(A2186,Revisión!$A$2:$L$703,12,FALSE),""))</f>
        <v>Tepualia stipularis</v>
      </c>
    </row>
    <row r="2187" spans="1:14" x14ac:dyDescent="0.3">
      <c r="A2187" t="s">
        <v>4486</v>
      </c>
      <c r="B2187" t="s">
        <v>4487</v>
      </c>
      <c r="C2187" t="s">
        <v>4487</v>
      </c>
      <c r="D2187" t="s">
        <v>4487</v>
      </c>
      <c r="E2187" t="s">
        <v>18</v>
      </c>
      <c r="F2187" t="s">
        <v>19</v>
      </c>
      <c r="H2187" s="23" t="e">
        <f>VLOOKUP(A2187,Revisión!$A$2:$L$703,6,FALSE)</f>
        <v>#N/A</v>
      </c>
      <c r="I2187" s="4" t="e">
        <f>VLOOKUP(A2187,Revisión!$A$2:$L$703,7,FALSE)</f>
        <v>#N/A</v>
      </c>
      <c r="J2187" s="4" t="e">
        <f>VLOOKUP(A2187,Revisión!$A$2:$L$703,8,FALSE)</f>
        <v>#N/A</v>
      </c>
      <c r="K2187" s="4" t="e">
        <f>VLOOKUP(A2187,Revisión!$A$2:$L$703,9,FALSE)</f>
        <v>#N/A</v>
      </c>
      <c r="L2187" s="4" t="e">
        <f>VLOOKUP(A2187,Revisión!$A$2:$L$703,10,FALSE)</f>
        <v>#N/A</v>
      </c>
      <c r="M2187" s="18" t="e">
        <f>VLOOKUP(A2187,Revisión!$A$2:$L$703,11,FALSE)</f>
        <v>#N/A</v>
      </c>
      <c r="N2187" s="30" t="str">
        <f>IF(E2187="Coinciden",D2187,IF(E2187="Revisar",VLOOKUP(A2187,Revisión!$A$2:$L$703,12,FALSE),""))</f>
        <v>Ternstroemia crassifolia</v>
      </c>
    </row>
    <row r="2188" spans="1:14" x14ac:dyDescent="0.3">
      <c r="A2188" t="s">
        <v>4488</v>
      </c>
      <c r="B2188" t="s">
        <v>4489</v>
      </c>
      <c r="C2188" t="s">
        <v>4490</v>
      </c>
      <c r="E2188" t="s">
        <v>8</v>
      </c>
      <c r="F2188" t="s">
        <v>9</v>
      </c>
      <c r="H2188" s="23" t="str">
        <f>VLOOKUP(A2188,Revisión!$A$2:$L$703,6,FALSE)</f>
        <v>Tetraglochin alata var. alata</v>
      </c>
      <c r="I2188" s="4" t="str">
        <f>VLOOKUP(A2188,Revisión!$A$2:$L$703,7,FALSE)</f>
        <v>-</v>
      </c>
      <c r="J2188" s="4" t="str">
        <f>VLOOKUP(A2188,Revisión!$A$2:$L$703,8,FALSE)</f>
        <v>Tetraglochin alata</v>
      </c>
      <c r="K2188" s="4" t="str">
        <f>VLOOKUP(A2188,Revisión!$A$2:$L$703,9,FALSE)</f>
        <v>Tetraglochin alata var. alata</v>
      </c>
      <c r="L2188" s="4" t="str">
        <f>VLOOKUP(A2188,Revisión!$A$2:$L$703,10,FALSE)</f>
        <v>Margyricarpus alatus</v>
      </c>
      <c r="M2188" s="18">
        <f>VLOOKUP(A2188,Revisión!$A$2:$L$703,11,FALSE)</f>
        <v>3</v>
      </c>
      <c r="N2188" s="30" t="str">
        <f>IF(E2188="Coinciden",D2188,IF(E2188="Revisar",VLOOKUP(A2188,Revisión!$A$2:$L$703,12,FALSE),""))</f>
        <v>Tetraglochin alata var. alata</v>
      </c>
    </row>
    <row r="2189" spans="1:14" x14ac:dyDescent="0.3">
      <c r="A2189" t="s">
        <v>4491</v>
      </c>
      <c r="B2189" t="s">
        <v>4492</v>
      </c>
      <c r="C2189" t="s">
        <v>4492</v>
      </c>
      <c r="D2189" t="s">
        <v>4492</v>
      </c>
      <c r="E2189" t="s">
        <v>18</v>
      </c>
      <c r="F2189" t="s">
        <v>19</v>
      </c>
      <c r="H2189" s="23" t="e">
        <f>VLOOKUP(A2189,Revisión!$A$2:$L$703,6,FALSE)</f>
        <v>#N/A</v>
      </c>
      <c r="I2189" s="4" t="e">
        <f>VLOOKUP(A2189,Revisión!$A$2:$L$703,7,FALSE)</f>
        <v>#N/A</v>
      </c>
      <c r="J2189" s="4" t="e">
        <f>VLOOKUP(A2189,Revisión!$A$2:$L$703,8,FALSE)</f>
        <v>#N/A</v>
      </c>
      <c r="K2189" s="4" t="e">
        <f>VLOOKUP(A2189,Revisión!$A$2:$L$703,9,FALSE)</f>
        <v>#N/A</v>
      </c>
      <c r="L2189" s="4" t="e">
        <f>VLOOKUP(A2189,Revisión!$A$2:$L$703,10,FALSE)</f>
        <v>#N/A</v>
      </c>
      <c r="M2189" s="18" t="e">
        <f>VLOOKUP(A2189,Revisión!$A$2:$L$703,11,FALSE)</f>
        <v>#N/A</v>
      </c>
      <c r="N2189" s="30" t="str">
        <f>IF(E2189="Coinciden",D2189,IF(E2189="Revisar",VLOOKUP(A2189,Revisión!$A$2:$L$703,12,FALSE),""))</f>
        <v>Tetramerium nervosum</v>
      </c>
    </row>
    <row r="2190" spans="1:14" x14ac:dyDescent="0.3">
      <c r="A2190" t="s">
        <v>4493</v>
      </c>
      <c r="B2190" t="s">
        <v>4494</v>
      </c>
      <c r="C2190" t="s">
        <v>4494</v>
      </c>
      <c r="D2190" t="s">
        <v>4494</v>
      </c>
      <c r="E2190" t="s">
        <v>18</v>
      </c>
      <c r="F2190" t="s">
        <v>19</v>
      </c>
      <c r="H2190" s="23" t="e">
        <f>VLOOKUP(A2190,Revisión!$A$2:$L$703,6,FALSE)</f>
        <v>#N/A</v>
      </c>
      <c r="I2190" s="4" t="e">
        <f>VLOOKUP(A2190,Revisión!$A$2:$L$703,7,FALSE)</f>
        <v>#N/A</v>
      </c>
      <c r="J2190" s="4" t="e">
        <f>VLOOKUP(A2190,Revisión!$A$2:$L$703,8,FALSE)</f>
        <v>#N/A</v>
      </c>
      <c r="K2190" s="4" t="e">
        <f>VLOOKUP(A2190,Revisión!$A$2:$L$703,9,FALSE)</f>
        <v>#N/A</v>
      </c>
      <c r="L2190" s="4" t="e">
        <f>VLOOKUP(A2190,Revisión!$A$2:$L$703,10,FALSE)</f>
        <v>#N/A</v>
      </c>
      <c r="M2190" s="18" t="e">
        <f>VLOOKUP(A2190,Revisión!$A$2:$L$703,11,FALSE)</f>
        <v>#N/A</v>
      </c>
      <c r="N2190" s="30" t="str">
        <f>IF(E2190="Coinciden",D2190,IF(E2190="Revisar",VLOOKUP(A2190,Revisión!$A$2:$L$703,12,FALSE),""))</f>
        <v>Miconia angustifolia</v>
      </c>
    </row>
    <row r="2191" spans="1:14" x14ac:dyDescent="0.3">
      <c r="A2191" t="s">
        <v>4495</v>
      </c>
      <c r="B2191" t="s">
        <v>4496</v>
      </c>
      <c r="C2191" t="s">
        <v>4496</v>
      </c>
      <c r="D2191" t="s">
        <v>4496</v>
      </c>
      <c r="E2191" t="s">
        <v>18</v>
      </c>
      <c r="F2191" t="s">
        <v>19</v>
      </c>
      <c r="H2191" s="23" t="e">
        <f>VLOOKUP(A2191,Revisión!$A$2:$L$703,6,FALSE)</f>
        <v>#N/A</v>
      </c>
      <c r="I2191" s="4" t="e">
        <f>VLOOKUP(A2191,Revisión!$A$2:$L$703,7,FALSE)</f>
        <v>#N/A</v>
      </c>
      <c r="J2191" s="4" t="e">
        <f>VLOOKUP(A2191,Revisión!$A$2:$L$703,8,FALSE)</f>
        <v>#N/A</v>
      </c>
      <c r="K2191" s="4" t="e">
        <f>VLOOKUP(A2191,Revisión!$A$2:$L$703,9,FALSE)</f>
        <v>#N/A</v>
      </c>
      <c r="L2191" s="4" t="e">
        <f>VLOOKUP(A2191,Revisión!$A$2:$L$703,10,FALSE)</f>
        <v>#N/A</v>
      </c>
      <c r="M2191" s="18" t="e">
        <f>VLOOKUP(A2191,Revisión!$A$2:$L$703,11,FALSE)</f>
        <v>#N/A</v>
      </c>
      <c r="N2191" s="30" t="str">
        <f>IF(E2191="Coinciden",D2191,IF(E2191="Revisar",VLOOKUP(A2191,Revisión!$A$2:$L$703,12,FALSE),""))</f>
        <v>Teucrium polium</v>
      </c>
    </row>
    <row r="2192" spans="1:14" x14ac:dyDescent="0.3">
      <c r="A2192" t="s">
        <v>4497</v>
      </c>
      <c r="B2192" t="s">
        <v>4498</v>
      </c>
      <c r="C2192" t="s">
        <v>4498</v>
      </c>
      <c r="D2192" t="s">
        <v>4498</v>
      </c>
      <c r="E2192" t="s">
        <v>18</v>
      </c>
      <c r="F2192" t="s">
        <v>19</v>
      </c>
      <c r="H2192" s="23" t="e">
        <f>VLOOKUP(A2192,Revisión!$A$2:$L$703,6,FALSE)</f>
        <v>#N/A</v>
      </c>
      <c r="I2192" s="4" t="e">
        <f>VLOOKUP(A2192,Revisión!$A$2:$L$703,7,FALSE)</f>
        <v>#N/A</v>
      </c>
      <c r="J2192" s="4" t="e">
        <f>VLOOKUP(A2192,Revisión!$A$2:$L$703,8,FALSE)</f>
        <v>#N/A</v>
      </c>
      <c r="K2192" s="4" t="e">
        <f>VLOOKUP(A2192,Revisión!$A$2:$L$703,9,FALSE)</f>
        <v>#N/A</v>
      </c>
      <c r="L2192" s="4" t="e">
        <f>VLOOKUP(A2192,Revisión!$A$2:$L$703,10,FALSE)</f>
        <v>#N/A</v>
      </c>
      <c r="M2192" s="18" t="e">
        <f>VLOOKUP(A2192,Revisión!$A$2:$L$703,11,FALSE)</f>
        <v>#N/A</v>
      </c>
      <c r="N2192" s="30" t="str">
        <f>IF(E2192="Coinciden",D2192,IF(E2192="Revisar",VLOOKUP(A2192,Revisión!$A$2:$L$703,12,FALSE),""))</f>
        <v>Teucrium canadense</v>
      </c>
    </row>
    <row r="2193" spans="1:14" x14ac:dyDescent="0.3">
      <c r="A2193" t="s">
        <v>4499</v>
      </c>
      <c r="B2193" t="s">
        <v>4500</v>
      </c>
      <c r="C2193" t="s">
        <v>4500</v>
      </c>
      <c r="D2193" t="s">
        <v>4500</v>
      </c>
      <c r="E2193" t="s">
        <v>18</v>
      </c>
      <c r="F2193" t="s">
        <v>19</v>
      </c>
      <c r="H2193" s="23" t="e">
        <f>VLOOKUP(A2193,Revisión!$A$2:$L$703,6,FALSE)</f>
        <v>#N/A</v>
      </c>
      <c r="I2193" s="4" t="e">
        <f>VLOOKUP(A2193,Revisión!$A$2:$L$703,7,FALSE)</f>
        <v>#N/A</v>
      </c>
      <c r="J2193" s="4" t="e">
        <f>VLOOKUP(A2193,Revisión!$A$2:$L$703,8,FALSE)</f>
        <v>#N/A</v>
      </c>
      <c r="K2193" s="4" t="e">
        <f>VLOOKUP(A2193,Revisión!$A$2:$L$703,9,FALSE)</f>
        <v>#N/A</v>
      </c>
      <c r="L2193" s="4" t="e">
        <f>VLOOKUP(A2193,Revisión!$A$2:$L$703,10,FALSE)</f>
        <v>#N/A</v>
      </c>
      <c r="M2193" s="18" t="e">
        <f>VLOOKUP(A2193,Revisión!$A$2:$L$703,11,FALSE)</f>
        <v>#N/A</v>
      </c>
      <c r="N2193" s="30" t="str">
        <f>IF(E2193="Coinciden",D2193,IF(E2193="Revisar",VLOOKUP(A2193,Revisión!$A$2:$L$703,12,FALSE),""))</f>
        <v>Thalia geniculata</v>
      </c>
    </row>
    <row r="2194" spans="1:14" x14ac:dyDescent="0.3">
      <c r="A2194" t="s">
        <v>4501</v>
      </c>
      <c r="B2194" t="s">
        <v>4502</v>
      </c>
      <c r="C2194" t="s">
        <v>4503</v>
      </c>
      <c r="D2194" t="s">
        <v>4504</v>
      </c>
      <c r="E2194" t="s">
        <v>8</v>
      </c>
      <c r="F2194" t="s">
        <v>295</v>
      </c>
      <c r="H2194" s="23" t="str">
        <f>VLOOKUP(A2194,Revisión!$A$2:$L$703,6,FALSE)</f>
        <v>Thalictrum tuberiferum</v>
      </c>
      <c r="I2194" s="4" t="str">
        <f>VLOOKUP(A2194,Revisión!$A$2:$L$703,7,FALSE)</f>
        <v>-</v>
      </c>
      <c r="J2194" s="4" t="str">
        <f>VLOOKUP(A2194,Revisión!$A$2:$L$703,8,FALSE)</f>
        <v>Thalictrum tuberiferum var. tuberiferum</v>
      </c>
      <c r="K2194" s="4" t="str">
        <f>VLOOKUP(A2194,Revisión!$A$2:$L$703,9,FALSE)</f>
        <v>Thalictrum tuberiferum</v>
      </c>
      <c r="L2194" s="4" t="str">
        <f>VLOOKUP(A2194,Revisión!$A$2:$L$703,10,FALSE)</f>
        <v>Thalictrum tuberiferum</v>
      </c>
      <c r="M2194" s="18">
        <f>VLOOKUP(A2194,Revisión!$A$2:$L$703,11,FALSE)</f>
        <v>3</v>
      </c>
      <c r="N2194" s="30" t="str">
        <f>IF(E2194="Coinciden",D2194,IF(E2194="Revisar",VLOOKUP(A2194,Revisión!$A$2:$L$703,12,FALSE),""))</f>
        <v>Thalictrum tuberiferum</v>
      </c>
    </row>
    <row r="2195" spans="1:14" x14ac:dyDescent="0.3">
      <c r="A2195" t="s">
        <v>4505</v>
      </c>
      <c r="B2195" t="s">
        <v>4506</v>
      </c>
      <c r="C2195" t="s">
        <v>4506</v>
      </c>
      <c r="D2195" t="s">
        <v>4506</v>
      </c>
      <c r="E2195" t="s">
        <v>18</v>
      </c>
      <c r="F2195" t="s">
        <v>19</v>
      </c>
      <c r="H2195" s="23" t="e">
        <f>VLOOKUP(A2195,Revisión!$A$2:$L$703,6,FALSE)</f>
        <v>#N/A</v>
      </c>
      <c r="I2195" s="4" t="e">
        <f>VLOOKUP(A2195,Revisión!$A$2:$L$703,7,FALSE)</f>
        <v>#N/A</v>
      </c>
      <c r="J2195" s="4" t="e">
        <f>VLOOKUP(A2195,Revisión!$A$2:$L$703,8,FALSE)</f>
        <v>#N/A</v>
      </c>
      <c r="K2195" s="4" t="e">
        <f>VLOOKUP(A2195,Revisión!$A$2:$L$703,9,FALSE)</f>
        <v>#N/A</v>
      </c>
      <c r="L2195" s="4" t="e">
        <f>VLOOKUP(A2195,Revisión!$A$2:$L$703,10,FALSE)</f>
        <v>#N/A</v>
      </c>
      <c r="M2195" s="18" t="e">
        <f>VLOOKUP(A2195,Revisión!$A$2:$L$703,11,FALSE)</f>
        <v>#N/A</v>
      </c>
      <c r="N2195" s="30" t="str">
        <f>IF(E2195="Coinciden",D2195,IF(E2195="Revisar",VLOOKUP(A2195,Revisión!$A$2:$L$703,12,FALSE),""))</f>
        <v>Thalictrum fendleri</v>
      </c>
    </row>
    <row r="2196" spans="1:14" x14ac:dyDescent="0.3">
      <c r="A2196" t="s">
        <v>4507</v>
      </c>
      <c r="B2196" t="s">
        <v>297</v>
      </c>
      <c r="C2196" t="s">
        <v>298</v>
      </c>
      <c r="D2196" t="s">
        <v>298</v>
      </c>
      <c r="E2196" t="s">
        <v>8</v>
      </c>
      <c r="F2196" t="s">
        <v>23</v>
      </c>
      <c r="H2196" s="23" t="str">
        <f>VLOOKUP(A2196,Revisión!$A$2:$L$703,6,FALSE)</f>
        <v>Thalictrum thalictroides</v>
      </c>
      <c r="I2196" s="4" t="str">
        <f>VLOOKUP(A2196,Revisión!$A$2:$L$703,7,FALSE)</f>
        <v>-</v>
      </c>
      <c r="J2196" s="4" t="str">
        <f>VLOOKUP(A2196,Revisión!$A$2:$L$703,8,FALSE)</f>
        <v>Thalictrum thalictroides</v>
      </c>
      <c r="K2196" s="4" t="str">
        <f>VLOOKUP(A2196,Revisión!$A$2:$L$703,9,FALSE)</f>
        <v>Thalictrum thalictroides</v>
      </c>
      <c r="L2196" s="4" t="str">
        <f>VLOOKUP(A2196,Revisión!$A$2:$L$703,10,FALSE)</f>
        <v>Thalictrum thalictroides</v>
      </c>
      <c r="M2196" s="18">
        <f>VLOOKUP(A2196,Revisión!$A$2:$L$703,11,FALSE)</f>
        <v>5</v>
      </c>
      <c r="N2196" s="30" t="str">
        <f>IF(E2196="Coinciden",D2196,IF(E2196="Revisar",VLOOKUP(A2196,Revisión!$A$2:$L$703,12,FALSE),""))</f>
        <v>Thalictrum thalictroides</v>
      </c>
    </row>
    <row r="2197" spans="1:14" x14ac:dyDescent="0.3">
      <c r="A2197" t="s">
        <v>4508</v>
      </c>
      <c r="B2197" t="s">
        <v>4509</v>
      </c>
      <c r="C2197" t="s">
        <v>4509</v>
      </c>
      <c r="D2197" t="s">
        <v>4509</v>
      </c>
      <c r="E2197" t="s">
        <v>18</v>
      </c>
      <c r="F2197" t="s">
        <v>19</v>
      </c>
      <c r="H2197" s="23" t="e">
        <f>VLOOKUP(A2197,Revisión!$A$2:$L$703,6,FALSE)</f>
        <v>#N/A</v>
      </c>
      <c r="I2197" s="4" t="e">
        <f>VLOOKUP(A2197,Revisión!$A$2:$L$703,7,FALSE)</f>
        <v>#N/A</v>
      </c>
      <c r="J2197" s="4" t="e">
        <f>VLOOKUP(A2197,Revisión!$A$2:$L$703,8,FALSE)</f>
        <v>#N/A</v>
      </c>
      <c r="K2197" s="4" t="e">
        <f>VLOOKUP(A2197,Revisión!$A$2:$L$703,9,FALSE)</f>
        <v>#N/A</v>
      </c>
      <c r="L2197" s="4" t="e">
        <f>VLOOKUP(A2197,Revisión!$A$2:$L$703,10,FALSE)</f>
        <v>#N/A</v>
      </c>
      <c r="M2197" s="18" t="e">
        <f>VLOOKUP(A2197,Revisión!$A$2:$L$703,11,FALSE)</f>
        <v>#N/A</v>
      </c>
      <c r="N2197" s="30" t="str">
        <f>IF(E2197="Coinciden",D2197,IF(E2197="Revisar",VLOOKUP(A2197,Revisión!$A$2:$L$703,12,FALSE),""))</f>
        <v>Thalictrum dasycarpum</v>
      </c>
    </row>
    <row r="2198" spans="1:14" x14ac:dyDescent="0.3">
      <c r="A2198" t="s">
        <v>4510</v>
      </c>
      <c r="B2198" t="s">
        <v>4511</v>
      </c>
      <c r="C2198" t="s">
        <v>4511</v>
      </c>
      <c r="D2198" t="s">
        <v>4511</v>
      </c>
      <c r="E2198" t="s">
        <v>18</v>
      </c>
      <c r="F2198" t="s">
        <v>19</v>
      </c>
      <c r="H2198" s="23" t="e">
        <f>VLOOKUP(A2198,Revisión!$A$2:$L$703,6,FALSE)</f>
        <v>#N/A</v>
      </c>
      <c r="I2198" s="4" t="e">
        <f>VLOOKUP(A2198,Revisión!$A$2:$L$703,7,FALSE)</f>
        <v>#N/A</v>
      </c>
      <c r="J2198" s="4" t="e">
        <f>VLOOKUP(A2198,Revisión!$A$2:$L$703,8,FALSE)</f>
        <v>#N/A</v>
      </c>
      <c r="K2198" s="4" t="e">
        <f>VLOOKUP(A2198,Revisión!$A$2:$L$703,9,FALSE)</f>
        <v>#N/A</v>
      </c>
      <c r="L2198" s="4" t="e">
        <f>VLOOKUP(A2198,Revisión!$A$2:$L$703,10,FALSE)</f>
        <v>#N/A</v>
      </c>
      <c r="M2198" s="18" t="e">
        <f>VLOOKUP(A2198,Revisión!$A$2:$L$703,11,FALSE)</f>
        <v>#N/A</v>
      </c>
      <c r="N2198" s="30" t="str">
        <f>IF(E2198="Coinciden",D2198,IF(E2198="Revisar",VLOOKUP(A2198,Revisión!$A$2:$L$703,12,FALSE),""))</f>
        <v>Thapsia garganica</v>
      </c>
    </row>
    <row r="2199" spans="1:14" x14ac:dyDescent="0.3">
      <c r="A2199" t="s">
        <v>4512</v>
      </c>
      <c r="B2199" t="s">
        <v>4513</v>
      </c>
      <c r="C2199" t="s">
        <v>4513</v>
      </c>
      <c r="D2199" t="s">
        <v>4514</v>
      </c>
      <c r="E2199" t="s">
        <v>8</v>
      </c>
      <c r="F2199" t="s">
        <v>15</v>
      </c>
      <c r="H2199" s="23" t="str">
        <f>VLOOKUP(A2199,Revisión!$A$2:$L$703,6,FALSE)</f>
        <v>Thaspium trifoliatum var. aureum</v>
      </c>
      <c r="I2199" s="4" t="str">
        <f>VLOOKUP(A2199,Revisión!$A$2:$L$703,7,FALSE)</f>
        <v>-</v>
      </c>
      <c r="J2199" s="4" t="str">
        <f>VLOOKUP(A2199,Revisión!$A$2:$L$703,8,FALSE)</f>
        <v>Thaspium trifoliatum var. aureum</v>
      </c>
      <c r="K2199" s="4" t="str">
        <f>VLOOKUP(A2199,Revisión!$A$2:$L$703,9,FALSE)</f>
        <v>Thaspium trifoliatum var. aureum</v>
      </c>
      <c r="L2199" s="4" t="str">
        <f>VLOOKUP(A2199,Revisión!$A$2:$L$703,10,FALSE)</f>
        <v>-</v>
      </c>
      <c r="M2199" s="18">
        <f>VLOOKUP(A2199,Revisión!$A$2:$L$703,11,FALSE)</f>
        <v>3</v>
      </c>
      <c r="N2199" s="30" t="str">
        <f>IF(E2199="Coinciden",D2199,IF(E2199="Revisar",VLOOKUP(A2199,Revisión!$A$2:$L$703,12,FALSE),""))</f>
        <v>Thaspium trifoliatum var. aureum</v>
      </c>
    </row>
    <row r="2200" spans="1:14" x14ac:dyDescent="0.3">
      <c r="A2200" t="s">
        <v>4515</v>
      </c>
      <c r="C2200" t="s">
        <v>4516</v>
      </c>
      <c r="D2200" t="s">
        <v>4514</v>
      </c>
      <c r="E2200" t="s">
        <v>8</v>
      </c>
      <c r="F2200" t="s">
        <v>9</v>
      </c>
      <c r="H2200" s="23" t="str">
        <f>VLOOKUP(A2200,Revisión!$A$2:$L$703,6,FALSE)</f>
        <v>Thaspium trifoliatum</v>
      </c>
      <c r="I2200" s="4" t="str">
        <f>VLOOKUP(A2200,Revisión!$A$2:$L$703,7,FALSE)</f>
        <v>-</v>
      </c>
      <c r="J2200" s="4" t="str">
        <f>VLOOKUP(A2200,Revisión!$A$2:$L$703,8,FALSE)</f>
        <v>Thaspium trifoliatum var. trifoliatum</v>
      </c>
      <c r="K2200" s="4" t="str">
        <f>VLOOKUP(A2200,Revisión!$A$2:$L$703,9,FALSE)</f>
        <v>Thaspium trifoliatum</v>
      </c>
      <c r="L2200" s="4" t="str">
        <f>VLOOKUP(A2200,Revisión!$A$2:$L$703,10,FALSE)</f>
        <v>Thaspium trifoliatum</v>
      </c>
      <c r="M2200" s="18">
        <f>VLOOKUP(A2200,Revisión!$A$2:$L$703,11,FALSE)</f>
        <v>3</v>
      </c>
      <c r="N2200" s="30" t="str">
        <f>IF(E2200="Coinciden",D2200,IF(E2200="Revisar",VLOOKUP(A2200,Revisión!$A$2:$L$703,12,FALSE),""))</f>
        <v>Thaspium trifoliatum</v>
      </c>
    </row>
    <row r="2201" spans="1:14" x14ac:dyDescent="0.3">
      <c r="A2201" t="s">
        <v>4517</v>
      </c>
      <c r="B2201" t="s">
        <v>4518</v>
      </c>
      <c r="C2201" t="s">
        <v>4518</v>
      </c>
      <c r="D2201" t="s">
        <v>4518</v>
      </c>
      <c r="E2201" t="s">
        <v>18</v>
      </c>
      <c r="F2201" t="s">
        <v>19</v>
      </c>
      <c r="H2201" s="23" t="e">
        <f>VLOOKUP(A2201,Revisión!$A$2:$L$703,6,FALSE)</f>
        <v>#N/A</v>
      </c>
      <c r="I2201" s="4" t="e">
        <f>VLOOKUP(A2201,Revisión!$A$2:$L$703,7,FALSE)</f>
        <v>#N/A</v>
      </c>
      <c r="J2201" s="4" t="e">
        <f>VLOOKUP(A2201,Revisión!$A$2:$L$703,8,FALSE)</f>
        <v>#N/A</v>
      </c>
      <c r="K2201" s="4" t="e">
        <f>VLOOKUP(A2201,Revisión!$A$2:$L$703,9,FALSE)</f>
        <v>#N/A</v>
      </c>
      <c r="L2201" s="4" t="e">
        <f>VLOOKUP(A2201,Revisión!$A$2:$L$703,10,FALSE)</f>
        <v>#N/A</v>
      </c>
      <c r="M2201" s="18" t="e">
        <f>VLOOKUP(A2201,Revisión!$A$2:$L$703,11,FALSE)</f>
        <v>#N/A</v>
      </c>
      <c r="N2201" s="30" t="str">
        <f>IF(E2201="Coinciden",D2201,IF(E2201="Revisar",VLOOKUP(A2201,Revisión!$A$2:$L$703,12,FALSE),""))</f>
        <v>Thelesperma megapotamicum</v>
      </c>
    </row>
    <row r="2202" spans="1:14" x14ac:dyDescent="0.3">
      <c r="A2202" t="s">
        <v>4519</v>
      </c>
      <c r="B2202" t="s">
        <v>4520</v>
      </c>
      <c r="C2202" t="s">
        <v>4520</v>
      </c>
      <c r="D2202" t="s">
        <v>4520</v>
      </c>
      <c r="E2202" t="s">
        <v>18</v>
      </c>
      <c r="F2202" t="s">
        <v>19</v>
      </c>
      <c r="H2202" s="23" t="e">
        <f>VLOOKUP(A2202,Revisión!$A$2:$L$703,6,FALSE)</f>
        <v>#N/A</v>
      </c>
      <c r="I2202" s="4" t="e">
        <f>VLOOKUP(A2202,Revisión!$A$2:$L$703,7,FALSE)</f>
        <v>#N/A</v>
      </c>
      <c r="J2202" s="4" t="e">
        <f>VLOOKUP(A2202,Revisión!$A$2:$L$703,8,FALSE)</f>
        <v>#N/A</v>
      </c>
      <c r="K2202" s="4" t="e">
        <f>VLOOKUP(A2202,Revisión!$A$2:$L$703,9,FALSE)</f>
        <v>#N/A</v>
      </c>
      <c r="L2202" s="4" t="e">
        <f>VLOOKUP(A2202,Revisión!$A$2:$L$703,10,FALSE)</f>
        <v>#N/A</v>
      </c>
      <c r="M2202" s="18" t="e">
        <f>VLOOKUP(A2202,Revisión!$A$2:$L$703,11,FALSE)</f>
        <v>#N/A</v>
      </c>
      <c r="N2202" s="30" t="str">
        <f>IF(E2202="Coinciden",D2202,IF(E2202="Revisar",VLOOKUP(A2202,Revisión!$A$2:$L$703,12,FALSE),""))</f>
        <v>Thermopsis montana</v>
      </c>
    </row>
    <row r="2203" spans="1:14" x14ac:dyDescent="0.3">
      <c r="A2203" t="s">
        <v>4521</v>
      </c>
      <c r="B2203" t="s">
        <v>4522</v>
      </c>
      <c r="C2203" t="s">
        <v>4522</v>
      </c>
      <c r="D2203" t="s">
        <v>4522</v>
      </c>
      <c r="E2203" t="s">
        <v>18</v>
      </c>
      <c r="F2203" t="s">
        <v>19</v>
      </c>
      <c r="H2203" s="23" t="e">
        <f>VLOOKUP(A2203,Revisión!$A$2:$L$703,6,FALSE)</f>
        <v>#N/A</v>
      </c>
      <c r="I2203" s="4" t="e">
        <f>VLOOKUP(A2203,Revisión!$A$2:$L$703,7,FALSE)</f>
        <v>#N/A</v>
      </c>
      <c r="J2203" s="4" t="e">
        <f>VLOOKUP(A2203,Revisión!$A$2:$L$703,8,FALSE)</f>
        <v>#N/A</v>
      </c>
      <c r="K2203" s="4" t="e">
        <f>VLOOKUP(A2203,Revisión!$A$2:$L$703,9,FALSE)</f>
        <v>#N/A</v>
      </c>
      <c r="L2203" s="4" t="e">
        <f>VLOOKUP(A2203,Revisión!$A$2:$L$703,10,FALSE)</f>
        <v>#N/A</v>
      </c>
      <c r="M2203" s="18" t="e">
        <f>VLOOKUP(A2203,Revisión!$A$2:$L$703,11,FALSE)</f>
        <v>#N/A</v>
      </c>
      <c r="N2203" s="30" t="str">
        <f>IF(E2203="Coinciden",D2203,IF(E2203="Revisar",VLOOKUP(A2203,Revisión!$A$2:$L$703,12,FALSE),""))</f>
        <v>Thespesia populnea</v>
      </c>
    </row>
    <row r="2204" spans="1:14" x14ac:dyDescent="0.3">
      <c r="A2204" t="s">
        <v>4523</v>
      </c>
      <c r="B2204" t="s">
        <v>4524</v>
      </c>
      <c r="C2204" t="s">
        <v>4524</v>
      </c>
      <c r="D2204" t="s">
        <v>4524</v>
      </c>
      <c r="E2204" t="s">
        <v>18</v>
      </c>
      <c r="F2204" t="s">
        <v>19</v>
      </c>
      <c r="H2204" s="23" t="e">
        <f>VLOOKUP(A2204,Revisión!$A$2:$L$703,6,FALSE)</f>
        <v>#N/A</v>
      </c>
      <c r="I2204" s="4" t="e">
        <f>VLOOKUP(A2204,Revisión!$A$2:$L$703,7,FALSE)</f>
        <v>#N/A</v>
      </c>
      <c r="J2204" s="4" t="e">
        <f>VLOOKUP(A2204,Revisión!$A$2:$L$703,8,FALSE)</f>
        <v>#N/A</v>
      </c>
      <c r="K2204" s="4" t="e">
        <f>VLOOKUP(A2204,Revisión!$A$2:$L$703,9,FALSE)</f>
        <v>#N/A</v>
      </c>
      <c r="L2204" s="4" t="e">
        <f>VLOOKUP(A2204,Revisión!$A$2:$L$703,10,FALSE)</f>
        <v>#N/A</v>
      </c>
      <c r="M2204" s="18" t="e">
        <f>VLOOKUP(A2204,Revisión!$A$2:$L$703,11,FALSE)</f>
        <v>#N/A</v>
      </c>
      <c r="N2204" s="30" t="str">
        <f>IF(E2204="Coinciden",D2204,IF(E2204="Revisar",VLOOKUP(A2204,Revisión!$A$2:$L$703,12,FALSE),""))</f>
        <v>Thunbergia fragrans</v>
      </c>
    </row>
    <row r="2205" spans="1:14" x14ac:dyDescent="0.3">
      <c r="A2205" t="s">
        <v>4525</v>
      </c>
      <c r="B2205" t="s">
        <v>4526</v>
      </c>
      <c r="C2205" t="s">
        <v>4526</v>
      </c>
      <c r="D2205" t="s">
        <v>4526</v>
      </c>
      <c r="E2205" t="s">
        <v>18</v>
      </c>
      <c r="F2205" t="s">
        <v>19</v>
      </c>
      <c r="H2205" s="23" t="e">
        <f>VLOOKUP(A2205,Revisión!$A$2:$L$703,6,FALSE)</f>
        <v>#N/A</v>
      </c>
      <c r="I2205" s="4" t="e">
        <f>VLOOKUP(A2205,Revisión!$A$2:$L$703,7,FALSE)</f>
        <v>#N/A</v>
      </c>
      <c r="J2205" s="4" t="e">
        <f>VLOOKUP(A2205,Revisión!$A$2:$L$703,8,FALSE)</f>
        <v>#N/A</v>
      </c>
      <c r="K2205" s="4" t="e">
        <f>VLOOKUP(A2205,Revisión!$A$2:$L$703,9,FALSE)</f>
        <v>#N/A</v>
      </c>
      <c r="L2205" s="4" t="e">
        <f>VLOOKUP(A2205,Revisión!$A$2:$L$703,10,FALSE)</f>
        <v>#N/A</v>
      </c>
      <c r="M2205" s="18" t="e">
        <f>VLOOKUP(A2205,Revisión!$A$2:$L$703,11,FALSE)</f>
        <v>#N/A</v>
      </c>
      <c r="N2205" s="30" t="str">
        <f>IF(E2205="Coinciden",D2205,IF(E2205="Revisar",VLOOKUP(A2205,Revisión!$A$2:$L$703,12,FALSE),""))</f>
        <v>Thymelaea hirsuta</v>
      </c>
    </row>
    <row r="2206" spans="1:14" x14ac:dyDescent="0.3">
      <c r="A2206" t="s">
        <v>4527</v>
      </c>
      <c r="B2206" t="s">
        <v>4528</v>
      </c>
      <c r="C2206" t="s">
        <v>4529</v>
      </c>
      <c r="D2206" t="s">
        <v>4529</v>
      </c>
      <c r="E2206" t="s">
        <v>8</v>
      </c>
      <c r="F2206" t="s">
        <v>23</v>
      </c>
      <c r="H2206" s="23" t="str">
        <f>VLOOKUP(A2206,Revisión!$A$2:$L$703,6,FALSE)</f>
        <v>Thymelaea tartonraira</v>
      </c>
      <c r="I2206" s="4" t="str">
        <f>VLOOKUP(A2206,Revisión!$A$2:$L$703,7,FALSE)</f>
        <v>-</v>
      </c>
      <c r="J2206" s="4" t="str">
        <f>VLOOKUP(A2206,Revisión!$A$2:$L$703,8,FALSE)</f>
        <v>Thaspium trifoliatum var. trifoliatum</v>
      </c>
      <c r="K2206" s="4" t="str">
        <f>VLOOKUP(A2206,Revisión!$A$2:$L$703,9,FALSE)</f>
        <v>Thymelaea tartonraira</v>
      </c>
      <c r="L2206" s="4" t="str">
        <f>VLOOKUP(A2206,Revisión!$A$2:$L$703,10,FALSE)</f>
        <v>Thymelaea tartonraira</v>
      </c>
      <c r="M2206" s="18">
        <f>VLOOKUP(A2206,Revisión!$A$2:$L$703,11,FALSE)</f>
        <v>4</v>
      </c>
      <c r="N2206" s="30" t="str">
        <f>IF(E2206="Coinciden",D2206,IF(E2206="Revisar",VLOOKUP(A2206,Revisión!$A$2:$L$703,12,FALSE),""))</f>
        <v>Thymelaea tartonraira</v>
      </c>
    </row>
    <row r="2207" spans="1:14" x14ac:dyDescent="0.3">
      <c r="A2207" t="s">
        <v>4530</v>
      </c>
      <c r="B2207" t="s">
        <v>4531</v>
      </c>
      <c r="C2207" t="s">
        <v>4531</v>
      </c>
      <c r="D2207" t="s">
        <v>4531</v>
      </c>
      <c r="E2207" t="s">
        <v>18</v>
      </c>
      <c r="F2207" t="s">
        <v>19</v>
      </c>
      <c r="H2207" s="23" t="e">
        <f>VLOOKUP(A2207,Revisión!$A$2:$L$703,6,FALSE)</f>
        <v>#N/A</v>
      </c>
      <c r="I2207" s="4" t="e">
        <f>VLOOKUP(A2207,Revisión!$A$2:$L$703,7,FALSE)</f>
        <v>#N/A</v>
      </c>
      <c r="J2207" s="4" t="e">
        <f>VLOOKUP(A2207,Revisión!$A$2:$L$703,8,FALSE)</f>
        <v>#N/A</v>
      </c>
      <c r="K2207" s="4" t="e">
        <f>VLOOKUP(A2207,Revisión!$A$2:$L$703,9,FALSE)</f>
        <v>#N/A</v>
      </c>
      <c r="L2207" s="4" t="e">
        <f>VLOOKUP(A2207,Revisión!$A$2:$L$703,10,FALSE)</f>
        <v>#N/A</v>
      </c>
      <c r="M2207" s="18" t="e">
        <f>VLOOKUP(A2207,Revisión!$A$2:$L$703,11,FALSE)</f>
        <v>#N/A</v>
      </c>
      <c r="N2207" s="30" t="str">
        <f>IF(E2207="Coinciden",D2207,IF(E2207="Revisar",VLOOKUP(A2207,Revisión!$A$2:$L$703,12,FALSE),""))</f>
        <v>Thymus mastichina</v>
      </c>
    </row>
    <row r="2208" spans="1:14" x14ac:dyDescent="0.3">
      <c r="A2208" t="s">
        <v>4532</v>
      </c>
      <c r="D2208" t="s">
        <v>4533</v>
      </c>
      <c r="E2208" t="s">
        <v>8</v>
      </c>
      <c r="F2208" t="s">
        <v>9</v>
      </c>
      <c r="H2208" s="23" t="str">
        <f>VLOOKUP(A2208,Revisión!$A$2:$L$703,6,FALSE)</f>
        <v>Thymbra capitata</v>
      </c>
      <c r="I2208" s="4" t="str">
        <f>VLOOKUP(A2208,Revisión!$A$2:$L$703,7,FALSE)</f>
        <v>-</v>
      </c>
      <c r="J2208" s="4" t="str">
        <f>VLOOKUP(A2208,Revisión!$A$2:$L$703,8,FALSE)</f>
        <v>Thymbra capitata</v>
      </c>
      <c r="K2208" s="4" t="str">
        <f>VLOOKUP(A2208,Revisión!$A$2:$L$703,9,FALSE)</f>
        <v>Thymbra capitata</v>
      </c>
      <c r="L2208" s="4" t="str">
        <f>VLOOKUP(A2208,Revisión!$A$2:$L$703,10,FALSE)</f>
        <v>Thymbra capitata</v>
      </c>
      <c r="M2208" s="18">
        <f>VLOOKUP(A2208,Revisión!$A$2:$L$703,11,FALSE)</f>
        <v>5</v>
      </c>
      <c r="N2208" s="30" t="str">
        <f>IF(E2208="Coinciden",D2208,IF(E2208="Revisar",VLOOKUP(A2208,Revisión!$A$2:$L$703,12,FALSE),""))</f>
        <v>Thymbra capitata</v>
      </c>
    </row>
    <row r="2209" spans="1:14" x14ac:dyDescent="0.3">
      <c r="A2209" t="s">
        <v>4534</v>
      </c>
      <c r="B2209" t="s">
        <v>4535</v>
      </c>
      <c r="C2209" t="s">
        <v>4535</v>
      </c>
      <c r="D2209" t="s">
        <v>4535</v>
      </c>
      <c r="E2209" t="s">
        <v>18</v>
      </c>
      <c r="F2209" t="s">
        <v>19</v>
      </c>
      <c r="H2209" s="23" t="e">
        <f>VLOOKUP(A2209,Revisión!$A$2:$L$703,6,FALSE)</f>
        <v>#N/A</v>
      </c>
      <c r="I2209" s="4" t="e">
        <f>VLOOKUP(A2209,Revisión!$A$2:$L$703,7,FALSE)</f>
        <v>#N/A</v>
      </c>
      <c r="J2209" s="4" t="e">
        <f>VLOOKUP(A2209,Revisión!$A$2:$L$703,8,FALSE)</f>
        <v>#N/A</v>
      </c>
      <c r="K2209" s="4" t="e">
        <f>VLOOKUP(A2209,Revisión!$A$2:$L$703,9,FALSE)</f>
        <v>#N/A</v>
      </c>
      <c r="L2209" s="4" t="e">
        <f>VLOOKUP(A2209,Revisión!$A$2:$L$703,10,FALSE)</f>
        <v>#N/A</v>
      </c>
      <c r="M2209" s="18" t="e">
        <f>VLOOKUP(A2209,Revisión!$A$2:$L$703,11,FALSE)</f>
        <v>#N/A</v>
      </c>
      <c r="N2209" s="30" t="str">
        <f>IF(E2209="Coinciden",D2209,IF(E2209="Revisar",VLOOKUP(A2209,Revisión!$A$2:$L$703,12,FALSE),""))</f>
        <v>Tiarella cordifolia</v>
      </c>
    </row>
    <row r="2210" spans="1:14" x14ac:dyDescent="0.3">
      <c r="A2210" t="s">
        <v>4536</v>
      </c>
      <c r="B2210" t="s">
        <v>4537</v>
      </c>
      <c r="C2210" t="s">
        <v>4537</v>
      </c>
      <c r="D2210" t="s">
        <v>4537</v>
      </c>
      <c r="E2210" t="s">
        <v>18</v>
      </c>
      <c r="F2210" t="s">
        <v>19</v>
      </c>
      <c r="H2210" s="23" t="e">
        <f>VLOOKUP(A2210,Revisión!$A$2:$L$703,6,FALSE)</f>
        <v>#N/A</v>
      </c>
      <c r="I2210" s="4" t="e">
        <f>VLOOKUP(A2210,Revisión!$A$2:$L$703,7,FALSE)</f>
        <v>#N/A</v>
      </c>
      <c r="J2210" s="4" t="e">
        <f>VLOOKUP(A2210,Revisión!$A$2:$L$703,8,FALSE)</f>
        <v>#N/A</v>
      </c>
      <c r="K2210" s="4" t="e">
        <f>VLOOKUP(A2210,Revisión!$A$2:$L$703,9,FALSE)</f>
        <v>#N/A</v>
      </c>
      <c r="L2210" s="4" t="e">
        <f>VLOOKUP(A2210,Revisión!$A$2:$L$703,10,FALSE)</f>
        <v>#N/A</v>
      </c>
      <c r="M2210" s="18" t="e">
        <f>VLOOKUP(A2210,Revisión!$A$2:$L$703,11,FALSE)</f>
        <v>#N/A</v>
      </c>
      <c r="N2210" s="30" t="str">
        <f>IF(E2210="Coinciden",D2210,IF(E2210="Revisar",VLOOKUP(A2210,Revisión!$A$2:$L$703,12,FALSE),""))</f>
        <v>Tibouchina fraterna</v>
      </c>
    </row>
    <row r="2211" spans="1:14" x14ac:dyDescent="0.3">
      <c r="A2211" t="s">
        <v>4538</v>
      </c>
      <c r="B2211" t="s">
        <v>4539</v>
      </c>
      <c r="C2211" t="s">
        <v>4539</v>
      </c>
      <c r="D2211" t="s">
        <v>4539</v>
      </c>
      <c r="E2211" t="s">
        <v>18</v>
      </c>
      <c r="F2211" t="s">
        <v>19</v>
      </c>
      <c r="H2211" s="23" t="e">
        <f>VLOOKUP(A2211,Revisión!$A$2:$L$703,6,FALSE)</f>
        <v>#N/A</v>
      </c>
      <c r="I2211" s="4" t="e">
        <f>VLOOKUP(A2211,Revisión!$A$2:$L$703,7,FALSE)</f>
        <v>#N/A</v>
      </c>
      <c r="J2211" s="4" t="e">
        <f>VLOOKUP(A2211,Revisión!$A$2:$L$703,8,FALSE)</f>
        <v>#N/A</v>
      </c>
      <c r="K2211" s="4" t="e">
        <f>VLOOKUP(A2211,Revisión!$A$2:$L$703,9,FALSE)</f>
        <v>#N/A</v>
      </c>
      <c r="L2211" s="4" t="e">
        <f>VLOOKUP(A2211,Revisión!$A$2:$L$703,10,FALSE)</f>
        <v>#N/A</v>
      </c>
      <c r="M2211" s="18" t="e">
        <f>VLOOKUP(A2211,Revisión!$A$2:$L$703,11,FALSE)</f>
        <v>#N/A</v>
      </c>
      <c r="N2211" s="30" t="str">
        <f>IF(E2211="Coinciden",D2211,IF(E2211="Revisar",VLOOKUP(A2211,Revisión!$A$2:$L$703,12,FALSE),""))</f>
        <v>Tilia japonica</v>
      </c>
    </row>
    <row r="2212" spans="1:14" x14ac:dyDescent="0.3">
      <c r="A2212" t="s">
        <v>4540</v>
      </c>
      <c r="B2212" t="s">
        <v>4541</v>
      </c>
      <c r="C2212" t="s">
        <v>4541</v>
      </c>
      <c r="D2212" t="s">
        <v>4541</v>
      </c>
      <c r="E2212" t="s">
        <v>18</v>
      </c>
      <c r="F2212" t="s">
        <v>19</v>
      </c>
      <c r="H2212" s="23" t="e">
        <f>VLOOKUP(A2212,Revisión!$A$2:$L$703,6,FALSE)</f>
        <v>#N/A</v>
      </c>
      <c r="I2212" s="4" t="e">
        <f>VLOOKUP(A2212,Revisión!$A$2:$L$703,7,FALSE)</f>
        <v>#N/A</v>
      </c>
      <c r="J2212" s="4" t="e">
        <f>VLOOKUP(A2212,Revisión!$A$2:$L$703,8,FALSE)</f>
        <v>#N/A</v>
      </c>
      <c r="K2212" s="4" t="e">
        <f>VLOOKUP(A2212,Revisión!$A$2:$L$703,9,FALSE)</f>
        <v>#N/A</v>
      </c>
      <c r="L2212" s="4" t="e">
        <f>VLOOKUP(A2212,Revisión!$A$2:$L$703,10,FALSE)</f>
        <v>#N/A</v>
      </c>
      <c r="M2212" s="18" t="e">
        <f>VLOOKUP(A2212,Revisión!$A$2:$L$703,11,FALSE)</f>
        <v>#N/A</v>
      </c>
      <c r="N2212" s="30" t="str">
        <f>IF(E2212="Coinciden",D2212,IF(E2212="Revisar",VLOOKUP(A2212,Revisión!$A$2:$L$703,12,FALSE),""))</f>
        <v>Tilia miqueliana</v>
      </c>
    </row>
    <row r="2213" spans="1:14" x14ac:dyDescent="0.3">
      <c r="A2213" t="s">
        <v>4542</v>
      </c>
      <c r="B2213" t="s">
        <v>4543</v>
      </c>
      <c r="C2213" t="s">
        <v>4543</v>
      </c>
      <c r="D2213" t="s">
        <v>4543</v>
      </c>
      <c r="E2213" t="s">
        <v>18</v>
      </c>
      <c r="F2213" t="s">
        <v>19</v>
      </c>
      <c r="H2213" s="23" t="e">
        <f>VLOOKUP(A2213,Revisión!$A$2:$L$703,6,FALSE)</f>
        <v>#N/A</v>
      </c>
      <c r="I2213" s="4" t="e">
        <f>VLOOKUP(A2213,Revisión!$A$2:$L$703,7,FALSE)</f>
        <v>#N/A</v>
      </c>
      <c r="J2213" s="4" t="e">
        <f>VLOOKUP(A2213,Revisión!$A$2:$L$703,8,FALSE)</f>
        <v>#N/A</v>
      </c>
      <c r="K2213" s="4" t="e">
        <f>VLOOKUP(A2213,Revisión!$A$2:$L$703,9,FALSE)</f>
        <v>#N/A</v>
      </c>
      <c r="L2213" s="4" t="e">
        <f>VLOOKUP(A2213,Revisión!$A$2:$L$703,10,FALSE)</f>
        <v>#N/A</v>
      </c>
      <c r="M2213" s="18" t="e">
        <f>VLOOKUP(A2213,Revisión!$A$2:$L$703,11,FALSE)</f>
        <v>#N/A</v>
      </c>
      <c r="N2213" s="30" t="str">
        <f>IF(E2213="Coinciden",D2213,IF(E2213="Revisar",VLOOKUP(A2213,Revisión!$A$2:$L$703,12,FALSE),""))</f>
        <v>Tilia americana</v>
      </c>
    </row>
    <row r="2214" spans="1:14" x14ac:dyDescent="0.3">
      <c r="A2214" t="s">
        <v>4544</v>
      </c>
      <c r="B2214" t="s">
        <v>4545</v>
      </c>
      <c r="C2214" t="s">
        <v>4545</v>
      </c>
      <c r="D2214" t="s">
        <v>4545</v>
      </c>
      <c r="E2214" t="s">
        <v>18</v>
      </c>
      <c r="F2214" t="s">
        <v>19</v>
      </c>
      <c r="H2214" s="23" t="e">
        <f>VLOOKUP(A2214,Revisión!$A$2:$L$703,6,FALSE)</f>
        <v>#N/A</v>
      </c>
      <c r="I2214" s="4" t="e">
        <f>VLOOKUP(A2214,Revisión!$A$2:$L$703,7,FALSE)</f>
        <v>#N/A</v>
      </c>
      <c r="J2214" s="4" t="e">
        <f>VLOOKUP(A2214,Revisión!$A$2:$L$703,8,FALSE)</f>
        <v>#N/A</v>
      </c>
      <c r="K2214" s="4" t="e">
        <f>VLOOKUP(A2214,Revisión!$A$2:$L$703,9,FALSE)</f>
        <v>#N/A</v>
      </c>
      <c r="L2214" s="4" t="e">
        <f>VLOOKUP(A2214,Revisión!$A$2:$L$703,10,FALSE)</f>
        <v>#N/A</v>
      </c>
      <c r="M2214" s="18" t="e">
        <f>VLOOKUP(A2214,Revisión!$A$2:$L$703,11,FALSE)</f>
        <v>#N/A</v>
      </c>
      <c r="N2214" s="30" t="str">
        <f>IF(E2214="Coinciden",D2214,IF(E2214="Revisar",VLOOKUP(A2214,Revisión!$A$2:$L$703,12,FALSE),""))</f>
        <v>Tillandsia tenuifolia</v>
      </c>
    </row>
    <row r="2215" spans="1:14" x14ac:dyDescent="0.3">
      <c r="A2215" t="s">
        <v>4546</v>
      </c>
      <c r="C2215" t="s">
        <v>4547</v>
      </c>
      <c r="D2215" t="s">
        <v>4547</v>
      </c>
      <c r="E2215" t="s">
        <v>8</v>
      </c>
      <c r="F2215" t="s">
        <v>49</v>
      </c>
      <c r="H2215" s="23" t="str">
        <f>VLOOKUP(A2215,Revisión!$A$2:$L$703,6,FALSE)</f>
        <v>Tillandsia geminiflora</v>
      </c>
      <c r="I2215" s="4" t="str">
        <f>VLOOKUP(A2215,Revisión!$A$2:$L$703,7,FALSE)</f>
        <v>-</v>
      </c>
      <c r="J2215" s="4" t="str">
        <f>VLOOKUP(A2215,Revisión!$A$2:$L$703,8,FALSE)</f>
        <v>Tillandsia geminiflora</v>
      </c>
      <c r="K2215" s="4" t="str">
        <f>VLOOKUP(A2215,Revisión!$A$2:$L$703,9,FALSE)</f>
        <v>Tillandsia geminiflora</v>
      </c>
      <c r="L2215" s="4" t="str">
        <f>VLOOKUP(A2215,Revisión!$A$2:$L$703,10,FALSE)</f>
        <v>Tillandsia geminiflora</v>
      </c>
      <c r="M2215" s="18">
        <f>VLOOKUP(A2215,Revisión!$A$2:$L$703,11,FALSE)</f>
        <v>5</v>
      </c>
      <c r="N2215" s="30" t="str">
        <f>IF(E2215="Coinciden",D2215,IF(E2215="Revisar",VLOOKUP(A2215,Revisión!$A$2:$L$703,12,FALSE),""))</f>
        <v>Tillandsia geminiflora</v>
      </c>
    </row>
    <row r="2216" spans="1:14" x14ac:dyDescent="0.3">
      <c r="A2216" t="s">
        <v>4548</v>
      </c>
      <c r="B2216" t="s">
        <v>4549</v>
      </c>
      <c r="C2216" t="s">
        <v>4549</v>
      </c>
      <c r="D2216" t="s">
        <v>4549</v>
      </c>
      <c r="E2216" t="s">
        <v>18</v>
      </c>
      <c r="F2216" t="s">
        <v>19</v>
      </c>
      <c r="H2216" s="23" t="e">
        <f>VLOOKUP(A2216,Revisión!$A$2:$L$703,6,FALSE)</f>
        <v>#N/A</v>
      </c>
      <c r="I2216" s="4" t="e">
        <f>VLOOKUP(A2216,Revisión!$A$2:$L$703,7,FALSE)</f>
        <v>#N/A</v>
      </c>
      <c r="J2216" s="4" t="e">
        <f>VLOOKUP(A2216,Revisión!$A$2:$L$703,8,FALSE)</f>
        <v>#N/A</v>
      </c>
      <c r="K2216" s="4" t="e">
        <f>VLOOKUP(A2216,Revisión!$A$2:$L$703,9,FALSE)</f>
        <v>#N/A</v>
      </c>
      <c r="L2216" s="4" t="e">
        <f>VLOOKUP(A2216,Revisión!$A$2:$L$703,10,FALSE)</f>
        <v>#N/A</v>
      </c>
      <c r="M2216" s="18" t="e">
        <f>VLOOKUP(A2216,Revisión!$A$2:$L$703,11,FALSE)</f>
        <v>#N/A</v>
      </c>
      <c r="N2216" s="30" t="str">
        <f>IF(E2216="Coinciden",D2216,IF(E2216="Revisar",VLOOKUP(A2216,Revisión!$A$2:$L$703,12,FALSE),""))</f>
        <v>Timonius flavescens</v>
      </c>
    </row>
    <row r="2217" spans="1:14" x14ac:dyDescent="0.3">
      <c r="A2217" t="s">
        <v>4550</v>
      </c>
      <c r="B2217" t="s">
        <v>4551</v>
      </c>
      <c r="C2217" t="s">
        <v>4551</v>
      </c>
      <c r="D2217" t="s">
        <v>4551</v>
      </c>
      <c r="E2217" t="s">
        <v>18</v>
      </c>
      <c r="F2217" t="s">
        <v>19</v>
      </c>
      <c r="H2217" s="23" t="e">
        <f>VLOOKUP(A2217,Revisión!$A$2:$L$703,6,FALSE)</f>
        <v>#N/A</v>
      </c>
      <c r="I2217" s="4" t="e">
        <f>VLOOKUP(A2217,Revisión!$A$2:$L$703,7,FALSE)</f>
        <v>#N/A</v>
      </c>
      <c r="J2217" s="4" t="e">
        <f>VLOOKUP(A2217,Revisión!$A$2:$L$703,8,FALSE)</f>
        <v>#N/A</v>
      </c>
      <c r="K2217" s="4" t="e">
        <f>VLOOKUP(A2217,Revisión!$A$2:$L$703,9,FALSE)</f>
        <v>#N/A</v>
      </c>
      <c r="L2217" s="4" t="e">
        <f>VLOOKUP(A2217,Revisión!$A$2:$L$703,10,FALSE)</f>
        <v>#N/A</v>
      </c>
      <c r="M2217" s="18" t="e">
        <f>VLOOKUP(A2217,Revisión!$A$2:$L$703,11,FALSE)</f>
        <v>#N/A</v>
      </c>
      <c r="N2217" s="30" t="str">
        <f>IF(E2217="Coinciden",D2217,IF(E2217="Revisar",VLOOKUP(A2217,Revisión!$A$2:$L$703,12,FALSE),""))</f>
        <v>Miconia nitens</v>
      </c>
    </row>
    <row r="2218" spans="1:14" x14ac:dyDescent="0.3">
      <c r="A2218" t="s">
        <v>4552</v>
      </c>
      <c r="B2218" t="s">
        <v>4553</v>
      </c>
      <c r="C2218" t="s">
        <v>4553</v>
      </c>
      <c r="D2218" t="s">
        <v>4553</v>
      </c>
      <c r="E2218" t="s">
        <v>18</v>
      </c>
      <c r="F2218" t="s">
        <v>19</v>
      </c>
      <c r="H2218" s="23" t="e">
        <f>VLOOKUP(A2218,Revisión!$A$2:$L$703,6,FALSE)</f>
        <v>#N/A</v>
      </c>
      <c r="I2218" s="4" t="e">
        <f>VLOOKUP(A2218,Revisión!$A$2:$L$703,7,FALSE)</f>
        <v>#N/A</v>
      </c>
      <c r="J2218" s="4" t="e">
        <f>VLOOKUP(A2218,Revisión!$A$2:$L$703,8,FALSE)</f>
        <v>#N/A</v>
      </c>
      <c r="K2218" s="4" t="e">
        <f>VLOOKUP(A2218,Revisión!$A$2:$L$703,9,FALSE)</f>
        <v>#N/A</v>
      </c>
      <c r="L2218" s="4" t="e">
        <f>VLOOKUP(A2218,Revisión!$A$2:$L$703,10,FALSE)</f>
        <v>#N/A</v>
      </c>
      <c r="M2218" s="18" t="e">
        <f>VLOOKUP(A2218,Revisión!$A$2:$L$703,11,FALSE)</f>
        <v>#N/A</v>
      </c>
      <c r="N2218" s="30" t="str">
        <f>IF(E2218="Coinciden",D2218,IF(E2218="Revisar",VLOOKUP(A2218,Revisión!$A$2:$L$703,12,FALSE),""))</f>
        <v>Zanthoxylum asiaticum</v>
      </c>
    </row>
    <row r="2219" spans="1:14" x14ac:dyDescent="0.3">
      <c r="A2219" t="s">
        <v>4554</v>
      </c>
      <c r="B2219" t="s">
        <v>4555</v>
      </c>
      <c r="C2219" t="s">
        <v>4555</v>
      </c>
      <c r="D2219" t="s">
        <v>4555</v>
      </c>
      <c r="E2219" t="s">
        <v>18</v>
      </c>
      <c r="F2219" t="s">
        <v>19</v>
      </c>
      <c r="H2219" s="23" t="e">
        <f>VLOOKUP(A2219,Revisión!$A$2:$L$703,6,FALSE)</f>
        <v>#N/A</v>
      </c>
      <c r="I2219" s="4" t="e">
        <f>VLOOKUP(A2219,Revisión!$A$2:$L$703,7,FALSE)</f>
        <v>#N/A</v>
      </c>
      <c r="J2219" s="4" t="e">
        <f>VLOOKUP(A2219,Revisión!$A$2:$L$703,8,FALSE)</f>
        <v>#N/A</v>
      </c>
      <c r="K2219" s="4" t="e">
        <f>VLOOKUP(A2219,Revisión!$A$2:$L$703,9,FALSE)</f>
        <v>#N/A</v>
      </c>
      <c r="L2219" s="4" t="e">
        <f>VLOOKUP(A2219,Revisión!$A$2:$L$703,10,FALSE)</f>
        <v>#N/A</v>
      </c>
      <c r="M2219" s="18" t="e">
        <f>VLOOKUP(A2219,Revisión!$A$2:$L$703,11,FALSE)</f>
        <v>#N/A</v>
      </c>
      <c r="N2219" s="30" t="str">
        <f>IF(E2219="Coinciden",D2219,IF(E2219="Revisar",VLOOKUP(A2219,Revisión!$A$2:$L$703,12,FALSE),""))</f>
        <v>Tolpis webbii</v>
      </c>
    </row>
    <row r="2220" spans="1:14" x14ac:dyDescent="0.3">
      <c r="A2220" t="s">
        <v>4556</v>
      </c>
      <c r="B2220" t="s">
        <v>4557</v>
      </c>
      <c r="C2220" t="s">
        <v>4557</v>
      </c>
      <c r="D2220" t="s">
        <v>4557</v>
      </c>
      <c r="E2220" t="s">
        <v>18</v>
      </c>
      <c r="F2220" t="s">
        <v>19</v>
      </c>
      <c r="H2220" s="23" t="e">
        <f>VLOOKUP(A2220,Revisión!$A$2:$L$703,6,FALSE)</f>
        <v>#N/A</v>
      </c>
      <c r="I2220" s="4" t="e">
        <f>VLOOKUP(A2220,Revisión!$A$2:$L$703,7,FALSE)</f>
        <v>#N/A</v>
      </c>
      <c r="J2220" s="4" t="e">
        <f>VLOOKUP(A2220,Revisión!$A$2:$L$703,8,FALSE)</f>
        <v>#N/A</v>
      </c>
      <c r="K2220" s="4" t="e">
        <f>VLOOKUP(A2220,Revisión!$A$2:$L$703,9,FALSE)</f>
        <v>#N/A</v>
      </c>
      <c r="L2220" s="4" t="e">
        <f>VLOOKUP(A2220,Revisión!$A$2:$L$703,10,FALSE)</f>
        <v>#N/A</v>
      </c>
      <c r="M2220" s="18" t="e">
        <f>VLOOKUP(A2220,Revisión!$A$2:$L$703,11,FALSE)</f>
        <v>#N/A</v>
      </c>
      <c r="N2220" s="30" t="str">
        <f>IF(E2220="Coinciden",D2220,IF(E2220="Revisar",VLOOKUP(A2220,Revisión!$A$2:$L$703,12,FALSE),""))</f>
        <v>Tordylium apulum</v>
      </c>
    </row>
    <row r="2221" spans="1:14" x14ac:dyDescent="0.3">
      <c r="A2221" t="s">
        <v>4558</v>
      </c>
      <c r="B2221" t="s">
        <v>4559</v>
      </c>
      <c r="C2221" t="s">
        <v>4559</v>
      </c>
      <c r="D2221" t="s">
        <v>4559</v>
      </c>
      <c r="E2221" t="s">
        <v>18</v>
      </c>
      <c r="F2221" t="s">
        <v>19</v>
      </c>
      <c r="H2221" s="23" t="e">
        <f>VLOOKUP(A2221,Revisión!$A$2:$L$703,6,FALSE)</f>
        <v>#N/A</v>
      </c>
      <c r="I2221" s="4" t="e">
        <f>VLOOKUP(A2221,Revisión!$A$2:$L$703,7,FALSE)</f>
        <v>#N/A</v>
      </c>
      <c r="J2221" s="4" t="e">
        <f>VLOOKUP(A2221,Revisión!$A$2:$L$703,8,FALSE)</f>
        <v>#N/A</v>
      </c>
      <c r="K2221" s="4" t="e">
        <f>VLOOKUP(A2221,Revisión!$A$2:$L$703,9,FALSE)</f>
        <v>#N/A</v>
      </c>
      <c r="L2221" s="4" t="e">
        <f>VLOOKUP(A2221,Revisión!$A$2:$L$703,10,FALSE)</f>
        <v>#N/A</v>
      </c>
      <c r="M2221" s="18" t="e">
        <f>VLOOKUP(A2221,Revisión!$A$2:$L$703,11,FALSE)</f>
        <v>#N/A</v>
      </c>
      <c r="N2221" s="30" t="str">
        <f>IF(E2221="Coinciden",D2221,IF(E2221="Revisar",VLOOKUP(A2221,Revisión!$A$2:$L$703,12,FALSE),""))</f>
        <v>Torilis japonica</v>
      </c>
    </row>
    <row r="2222" spans="1:14" x14ac:dyDescent="0.3">
      <c r="A2222" t="s">
        <v>4560</v>
      </c>
      <c r="B2222" t="s">
        <v>4561</v>
      </c>
      <c r="C2222" t="s">
        <v>4561</v>
      </c>
      <c r="D2222" t="s">
        <v>4561</v>
      </c>
      <c r="E2222" t="s">
        <v>18</v>
      </c>
      <c r="F2222" t="s">
        <v>19</v>
      </c>
      <c r="H2222" s="23" t="e">
        <f>VLOOKUP(A2222,Revisión!$A$2:$L$703,6,FALSE)</f>
        <v>#N/A</v>
      </c>
      <c r="I2222" s="4" t="e">
        <f>VLOOKUP(A2222,Revisión!$A$2:$L$703,7,FALSE)</f>
        <v>#N/A</v>
      </c>
      <c r="J2222" s="4" t="e">
        <f>VLOOKUP(A2222,Revisión!$A$2:$L$703,8,FALSE)</f>
        <v>#N/A</v>
      </c>
      <c r="K2222" s="4" t="e">
        <f>VLOOKUP(A2222,Revisión!$A$2:$L$703,9,FALSE)</f>
        <v>#N/A</v>
      </c>
      <c r="L2222" s="4" t="e">
        <f>VLOOKUP(A2222,Revisión!$A$2:$L$703,10,FALSE)</f>
        <v>#N/A</v>
      </c>
      <c r="M2222" s="18" t="e">
        <f>VLOOKUP(A2222,Revisión!$A$2:$L$703,11,FALSE)</f>
        <v>#N/A</v>
      </c>
      <c r="N2222" s="30" t="str">
        <f>IF(E2222="Coinciden",D2222,IF(E2222="Revisar",VLOOKUP(A2222,Revisión!$A$2:$L$703,12,FALSE),""))</f>
        <v>Myriopus psilostachya</v>
      </c>
    </row>
    <row r="2223" spans="1:14" x14ac:dyDescent="0.3">
      <c r="A2223" t="s">
        <v>4562</v>
      </c>
      <c r="B2223" t="s">
        <v>4563</v>
      </c>
      <c r="C2223" t="s">
        <v>4563</v>
      </c>
      <c r="D2223" t="s">
        <v>4564</v>
      </c>
      <c r="E2223" t="s">
        <v>8</v>
      </c>
      <c r="F2223" t="s">
        <v>15</v>
      </c>
      <c r="H2223" s="23" t="str">
        <f>VLOOKUP(A2223,Revisión!$A$2:$L$703,6,FALSE)</f>
        <v>Tournefortia rufosericea</v>
      </c>
      <c r="I2223" s="4" t="str">
        <f>VLOOKUP(A2223,Revisión!$A$2:$L$703,7,FALSE)</f>
        <v>-</v>
      </c>
      <c r="J2223" s="4" t="str">
        <f>VLOOKUP(A2223,Revisión!$A$2:$L$703,8,FALSE)</f>
        <v>Tournefortia rufosericea</v>
      </c>
      <c r="K2223" s="4" t="str">
        <f>VLOOKUP(A2223,Revisión!$A$2:$L$703,9,FALSE)</f>
        <v>Tournefortia rufosericea</v>
      </c>
      <c r="L2223" s="4" t="str">
        <f>VLOOKUP(A2223,Revisión!$A$2:$L$703,10,FALSE)</f>
        <v>Tournefortia rufosericea</v>
      </c>
      <c r="M2223" s="18">
        <f>VLOOKUP(A2223,Revisión!$A$2:$L$703,11,FALSE)</f>
        <v>4</v>
      </c>
      <c r="N2223" s="30" t="str">
        <f>IF(E2223="Coinciden",D2223,IF(E2223="Revisar",VLOOKUP(A2223,Revisión!$A$2:$L$703,12,FALSE),""))</f>
        <v>Tournefortia rufosericea</v>
      </c>
    </row>
    <row r="2224" spans="1:14" x14ac:dyDescent="0.3">
      <c r="A2224" t="s">
        <v>4565</v>
      </c>
      <c r="B2224" t="s">
        <v>4566</v>
      </c>
      <c r="C2224" t="s">
        <v>4566</v>
      </c>
      <c r="D2224" t="s">
        <v>4566</v>
      </c>
      <c r="E2224" t="s">
        <v>18</v>
      </c>
      <c r="F2224" t="s">
        <v>19</v>
      </c>
      <c r="H2224" s="23" t="e">
        <f>VLOOKUP(A2224,Revisión!$A$2:$L$703,6,FALSE)</f>
        <v>#N/A</v>
      </c>
      <c r="I2224" s="4" t="e">
        <f>VLOOKUP(A2224,Revisión!$A$2:$L$703,7,FALSE)</f>
        <v>#N/A</v>
      </c>
      <c r="J2224" s="4" t="e">
        <f>VLOOKUP(A2224,Revisión!$A$2:$L$703,8,FALSE)</f>
        <v>#N/A</v>
      </c>
      <c r="K2224" s="4" t="e">
        <f>VLOOKUP(A2224,Revisión!$A$2:$L$703,9,FALSE)</f>
        <v>#N/A</v>
      </c>
      <c r="L2224" s="4" t="e">
        <f>VLOOKUP(A2224,Revisión!$A$2:$L$703,10,FALSE)</f>
        <v>#N/A</v>
      </c>
      <c r="M2224" s="18" t="e">
        <f>VLOOKUP(A2224,Revisión!$A$2:$L$703,11,FALSE)</f>
        <v>#N/A</v>
      </c>
      <c r="N2224" s="30" t="str">
        <f>IF(E2224="Coinciden",D2224,IF(E2224="Revisar",VLOOKUP(A2224,Revisión!$A$2:$L$703,12,FALSE),""))</f>
        <v>Tradescantia virginiana</v>
      </c>
    </row>
    <row r="2225" spans="1:14" x14ac:dyDescent="0.3">
      <c r="A2225" t="s">
        <v>4567</v>
      </c>
      <c r="B2225" t="s">
        <v>4568</v>
      </c>
      <c r="C2225" t="s">
        <v>4568</v>
      </c>
      <c r="D2225" t="s">
        <v>4568</v>
      </c>
      <c r="E2225" t="s">
        <v>18</v>
      </c>
      <c r="F2225" t="s">
        <v>19</v>
      </c>
      <c r="H2225" s="23" t="e">
        <f>VLOOKUP(A2225,Revisión!$A$2:$L$703,6,FALSE)</f>
        <v>#N/A</v>
      </c>
      <c r="I2225" s="4" t="e">
        <f>VLOOKUP(A2225,Revisión!$A$2:$L$703,7,FALSE)</f>
        <v>#N/A</v>
      </c>
      <c r="J2225" s="4" t="e">
        <f>VLOOKUP(A2225,Revisión!$A$2:$L$703,8,FALSE)</f>
        <v>#N/A</v>
      </c>
      <c r="K2225" s="4" t="e">
        <f>VLOOKUP(A2225,Revisión!$A$2:$L$703,9,FALSE)</f>
        <v>#N/A</v>
      </c>
      <c r="L2225" s="4" t="e">
        <f>VLOOKUP(A2225,Revisión!$A$2:$L$703,10,FALSE)</f>
        <v>#N/A</v>
      </c>
      <c r="M2225" s="18" t="e">
        <f>VLOOKUP(A2225,Revisión!$A$2:$L$703,11,FALSE)</f>
        <v>#N/A</v>
      </c>
      <c r="N2225" s="30" t="str">
        <f>IF(E2225="Coinciden",D2225,IF(E2225="Revisar",VLOOKUP(A2225,Revisión!$A$2:$L$703,12,FALSE),""))</f>
        <v>Tradescantia zebrina</v>
      </c>
    </row>
    <row r="2226" spans="1:14" x14ac:dyDescent="0.3">
      <c r="A2226" t="s">
        <v>4569</v>
      </c>
      <c r="B2226" t="s">
        <v>4570</v>
      </c>
      <c r="C2226" t="s">
        <v>4570</v>
      </c>
      <c r="D2226" t="s">
        <v>4570</v>
      </c>
      <c r="E2226" t="s">
        <v>18</v>
      </c>
      <c r="F2226" t="s">
        <v>19</v>
      </c>
      <c r="H2226" s="23" t="e">
        <f>VLOOKUP(A2226,Revisión!$A$2:$L$703,6,FALSE)</f>
        <v>#N/A</v>
      </c>
      <c r="I2226" s="4" t="e">
        <f>VLOOKUP(A2226,Revisión!$A$2:$L$703,7,FALSE)</f>
        <v>#N/A</v>
      </c>
      <c r="J2226" s="4" t="e">
        <f>VLOOKUP(A2226,Revisión!$A$2:$L$703,8,FALSE)</f>
        <v>#N/A</v>
      </c>
      <c r="K2226" s="4" t="e">
        <f>VLOOKUP(A2226,Revisión!$A$2:$L$703,9,FALSE)</f>
        <v>#N/A</v>
      </c>
      <c r="L2226" s="4" t="e">
        <f>VLOOKUP(A2226,Revisión!$A$2:$L$703,10,FALSE)</f>
        <v>#N/A</v>
      </c>
      <c r="M2226" s="18" t="e">
        <f>VLOOKUP(A2226,Revisión!$A$2:$L$703,11,FALSE)</f>
        <v>#N/A</v>
      </c>
      <c r="N2226" s="30" t="str">
        <f>IF(E2226="Coinciden",D2226,IF(E2226="Revisar",VLOOKUP(A2226,Revisión!$A$2:$L$703,12,FALSE),""))</f>
        <v>Tradescantia ohiensis</v>
      </c>
    </row>
    <row r="2227" spans="1:14" x14ac:dyDescent="0.3">
      <c r="A2227" t="s">
        <v>4571</v>
      </c>
      <c r="B2227" t="s">
        <v>4566</v>
      </c>
      <c r="C2227" t="s">
        <v>4566</v>
      </c>
      <c r="D2227" t="s">
        <v>4566</v>
      </c>
      <c r="E2227" t="s">
        <v>18</v>
      </c>
      <c r="F2227" t="s">
        <v>19</v>
      </c>
      <c r="H2227" s="23" t="e">
        <f>VLOOKUP(A2227,Revisión!$A$2:$L$703,6,FALSE)</f>
        <v>#N/A</v>
      </c>
      <c r="I2227" s="4" t="e">
        <f>VLOOKUP(A2227,Revisión!$A$2:$L$703,7,FALSE)</f>
        <v>#N/A</v>
      </c>
      <c r="J2227" s="4" t="e">
        <f>VLOOKUP(A2227,Revisión!$A$2:$L$703,8,FALSE)</f>
        <v>#N/A</v>
      </c>
      <c r="K2227" s="4" t="e">
        <f>VLOOKUP(A2227,Revisión!$A$2:$L$703,9,FALSE)</f>
        <v>#N/A</v>
      </c>
      <c r="L2227" s="4" t="e">
        <f>VLOOKUP(A2227,Revisión!$A$2:$L$703,10,FALSE)</f>
        <v>#N/A</v>
      </c>
      <c r="M2227" s="18" t="e">
        <f>VLOOKUP(A2227,Revisión!$A$2:$L$703,11,FALSE)</f>
        <v>#N/A</v>
      </c>
      <c r="N2227" s="30" t="str">
        <f>IF(E2227="Coinciden",D2227,IF(E2227="Revisar",VLOOKUP(A2227,Revisión!$A$2:$L$703,12,FALSE),""))</f>
        <v>Tradescantia virginiana</v>
      </c>
    </row>
    <row r="2228" spans="1:14" x14ac:dyDescent="0.3">
      <c r="A2228" t="s">
        <v>4572</v>
      </c>
      <c r="B2228" t="s">
        <v>4573</v>
      </c>
      <c r="D2228" t="s">
        <v>4574</v>
      </c>
      <c r="E2228" t="s">
        <v>8</v>
      </c>
      <c r="F2228" t="s">
        <v>9</v>
      </c>
      <c r="H2228" s="23" t="str">
        <f>VLOOKUP(A2228,Revisión!$A$2:$L$703,6,FALSE)</f>
        <v>Tradescantia subaspera var. subaspera</v>
      </c>
      <c r="I2228" s="4" t="str">
        <f>VLOOKUP(A2228,Revisión!$A$2:$L$703,7,FALSE)</f>
        <v>-</v>
      </c>
      <c r="J2228" s="4" t="str">
        <f>VLOOKUP(A2228,Revisión!$A$2:$L$703,8,FALSE)</f>
        <v>Tradescantia subaspera var. subaspera</v>
      </c>
      <c r="K2228" s="4" t="str">
        <f>VLOOKUP(A2228,Revisión!$A$2:$L$703,9,FALSE)</f>
        <v>Tradescantia subaspera var. subaspera</v>
      </c>
      <c r="L2228" s="4" t="str">
        <f>VLOOKUP(A2228,Revisión!$A$2:$L$703,10,FALSE)</f>
        <v>Tradescantia subaspera </v>
      </c>
      <c r="M2228" s="18">
        <f>VLOOKUP(A2228,Revisión!$A$2:$L$703,11,FALSE)</f>
        <v>3</v>
      </c>
      <c r="N2228" s="30" t="str">
        <f>IF(E2228="Coinciden",D2228,IF(E2228="Revisar",VLOOKUP(A2228,Revisión!$A$2:$L$703,12,FALSE),""))</f>
        <v>Tradescantia subaspera var. subaspera</v>
      </c>
    </row>
    <row r="2229" spans="1:14" x14ac:dyDescent="0.3">
      <c r="A2229" t="s">
        <v>4575</v>
      </c>
      <c r="B2229" t="s">
        <v>4576</v>
      </c>
      <c r="D2229" t="s">
        <v>4576</v>
      </c>
      <c r="E2229" t="s">
        <v>8</v>
      </c>
      <c r="F2229" t="s">
        <v>34</v>
      </c>
      <c r="H2229" s="23" t="str">
        <f>VLOOKUP(A2229,Revisión!$A$2:$L$703,6,FALSE)</f>
        <v>Tragopogon porrifolius</v>
      </c>
      <c r="I2229" s="4" t="str">
        <f>VLOOKUP(A2229,Revisión!$A$2:$L$703,7,FALSE)</f>
        <v>-</v>
      </c>
      <c r="J2229" s="4" t="str">
        <f>VLOOKUP(A2229,Revisión!$A$2:$L$703,8,FALSE)</f>
        <v>Tragopogon porrifolius</v>
      </c>
      <c r="K2229" s="4" t="str">
        <f>VLOOKUP(A2229,Revisión!$A$2:$L$703,9,FALSE)</f>
        <v>-</v>
      </c>
      <c r="L2229" s="4" t="str">
        <f>VLOOKUP(A2229,Revisión!$A$2:$L$703,10,FALSE)</f>
        <v>Tragopogon porrifolius</v>
      </c>
      <c r="M2229" s="18">
        <f>VLOOKUP(A2229,Revisión!$A$2:$L$703,11,FALSE)</f>
        <v>4</v>
      </c>
      <c r="N2229" s="30" t="str">
        <f>IF(E2229="Coinciden",D2229,IF(E2229="Revisar",VLOOKUP(A2229,Revisión!$A$2:$L$703,12,FALSE),""))</f>
        <v>Tragopogon porrifolius</v>
      </c>
    </row>
    <row r="2230" spans="1:14" x14ac:dyDescent="0.3">
      <c r="A2230" t="s">
        <v>4577</v>
      </c>
      <c r="B2230" t="s">
        <v>4578</v>
      </c>
      <c r="C2230" t="s">
        <v>4578</v>
      </c>
      <c r="D2230" t="s">
        <v>4578</v>
      </c>
      <c r="E2230" t="s">
        <v>18</v>
      </c>
      <c r="F2230" t="s">
        <v>19</v>
      </c>
      <c r="H2230" s="23" t="e">
        <f>VLOOKUP(A2230,Revisión!$A$2:$L$703,6,FALSE)</f>
        <v>#N/A</v>
      </c>
      <c r="I2230" s="4" t="e">
        <f>VLOOKUP(A2230,Revisión!$A$2:$L$703,7,FALSE)</f>
        <v>#N/A</v>
      </c>
      <c r="J2230" s="4" t="e">
        <f>VLOOKUP(A2230,Revisión!$A$2:$L$703,8,FALSE)</f>
        <v>#N/A</v>
      </c>
      <c r="K2230" s="4" t="e">
        <f>VLOOKUP(A2230,Revisión!$A$2:$L$703,9,FALSE)</f>
        <v>#N/A</v>
      </c>
      <c r="L2230" s="4" t="e">
        <f>VLOOKUP(A2230,Revisión!$A$2:$L$703,10,FALSE)</f>
        <v>#N/A</v>
      </c>
      <c r="M2230" s="18" t="e">
        <f>VLOOKUP(A2230,Revisión!$A$2:$L$703,11,FALSE)</f>
        <v>#N/A</v>
      </c>
      <c r="N2230" s="30" t="str">
        <f>IF(E2230="Coinciden",D2230,IF(E2230="Revisar",VLOOKUP(A2230,Revisión!$A$2:$L$703,12,FALSE),""))</f>
        <v>Trema orientale</v>
      </c>
    </row>
    <row r="2231" spans="1:14" x14ac:dyDescent="0.3">
      <c r="A2231" t="s">
        <v>4579</v>
      </c>
      <c r="C2231" t="s">
        <v>4580</v>
      </c>
      <c r="D2231" t="s">
        <v>4581</v>
      </c>
      <c r="E2231" t="s">
        <v>8</v>
      </c>
      <c r="F2231" t="s">
        <v>9</v>
      </c>
      <c r="H2231" s="23" t="str">
        <f>VLOOKUP(A2231,Revisión!$A$2:$L$703,6,FALSE)</f>
        <v>Lomelosia palaestina</v>
      </c>
      <c r="I2231" s="4" t="str">
        <f>VLOOKUP(A2231,Revisión!$A$2:$L$703,7,FALSE)</f>
        <v>-</v>
      </c>
      <c r="J2231" s="4" t="str">
        <f>VLOOKUP(A2231,Revisión!$A$2:$L$703,8,FALSE)</f>
        <v>Lomelosia palaestina</v>
      </c>
      <c r="K2231" s="4" t="str">
        <f>VLOOKUP(A2231,Revisión!$A$2:$L$703,9,FALSE)</f>
        <v>Lomelosia palaestina</v>
      </c>
      <c r="L2231" s="4" t="str">
        <f>VLOOKUP(A2231,Revisión!$A$2:$L$703,10,FALSE)</f>
        <v>Lomelosia palaestina</v>
      </c>
      <c r="M2231" s="18">
        <f>VLOOKUP(A2231,Revisión!$A$2:$L$703,11,FALSE)</f>
        <v>5</v>
      </c>
      <c r="N2231" s="30" t="str">
        <f>IF(E2231="Coinciden",D2231,IF(E2231="Revisar",VLOOKUP(A2231,Revisión!$A$2:$L$703,12,FALSE),""))</f>
        <v>Lomelosia palaestina</v>
      </c>
    </row>
    <row r="2232" spans="1:14" x14ac:dyDescent="0.3">
      <c r="A2232" t="s">
        <v>4582</v>
      </c>
      <c r="E2232" t="s">
        <v>8</v>
      </c>
      <c r="F2232" t="s">
        <v>11</v>
      </c>
      <c r="H2232" s="23" t="e">
        <f>VLOOKUP(A2232,Revisión!$A$2:$L$703,6,FALSE)</f>
        <v>#N/A</v>
      </c>
      <c r="I2232" s="4" t="e">
        <f>VLOOKUP(A2232,Revisión!$A$2:$L$703,7,FALSE)</f>
        <v>#N/A</v>
      </c>
      <c r="J2232" s="4" t="e">
        <f>VLOOKUP(A2232,Revisión!$A$2:$L$703,8,FALSE)</f>
        <v>#N/A</v>
      </c>
      <c r="K2232" s="4" t="e">
        <f>VLOOKUP(A2232,Revisión!$A$2:$L$703,9,FALSE)</f>
        <v>#N/A</v>
      </c>
      <c r="L2232" s="4" t="e">
        <f>VLOOKUP(A2232,Revisión!$A$2:$L$703,10,FALSE)</f>
        <v>#N/A</v>
      </c>
      <c r="M2232" s="18" t="e">
        <f>VLOOKUP(A2232,Revisión!$A$2:$L$703,11,FALSE)</f>
        <v>#N/A</v>
      </c>
      <c r="N2232" s="30" t="e">
        <f>IF(E2232="Coinciden",D2232,IF(E2232="Revisar",VLOOKUP(A2232,Revisión!$A$2:$L$703,12,FALSE),""))</f>
        <v>#N/A</v>
      </c>
    </row>
    <row r="2233" spans="1:14" x14ac:dyDescent="0.3">
      <c r="A2233" t="s">
        <v>4583</v>
      </c>
      <c r="B2233" t="s">
        <v>4584</v>
      </c>
      <c r="C2233" t="s">
        <v>4584</v>
      </c>
      <c r="D2233" t="s">
        <v>4584</v>
      </c>
      <c r="E2233" t="s">
        <v>18</v>
      </c>
      <c r="F2233" t="s">
        <v>19</v>
      </c>
      <c r="H2233" s="23" t="e">
        <f>VLOOKUP(A2233,Revisión!$A$2:$L$703,6,FALSE)</f>
        <v>#N/A</v>
      </c>
      <c r="I2233" s="4" t="e">
        <f>VLOOKUP(A2233,Revisión!$A$2:$L$703,7,FALSE)</f>
        <v>#N/A</v>
      </c>
      <c r="J2233" s="4" t="e">
        <f>VLOOKUP(A2233,Revisión!$A$2:$L$703,8,FALSE)</f>
        <v>#N/A</v>
      </c>
      <c r="K2233" s="4" t="e">
        <f>VLOOKUP(A2233,Revisión!$A$2:$L$703,9,FALSE)</f>
        <v>#N/A</v>
      </c>
      <c r="L2233" s="4" t="e">
        <f>VLOOKUP(A2233,Revisión!$A$2:$L$703,10,FALSE)</f>
        <v>#N/A</v>
      </c>
      <c r="M2233" s="18" t="e">
        <f>VLOOKUP(A2233,Revisión!$A$2:$L$703,11,FALSE)</f>
        <v>#N/A</v>
      </c>
      <c r="N2233" s="30" t="str">
        <f>IF(E2233="Coinciden",D2233,IF(E2233="Revisar",VLOOKUP(A2233,Revisión!$A$2:$L$703,12,FALSE),""))</f>
        <v>Tribulus cistoides</v>
      </c>
    </row>
    <row r="2234" spans="1:14" x14ac:dyDescent="0.3">
      <c r="A2234" t="s">
        <v>4585</v>
      </c>
      <c r="B2234" t="s">
        <v>4586</v>
      </c>
      <c r="C2234" t="s">
        <v>4587</v>
      </c>
      <c r="D2234" t="s">
        <v>4587</v>
      </c>
      <c r="E2234" t="s">
        <v>8</v>
      </c>
      <c r="F2234" t="s">
        <v>23</v>
      </c>
      <c r="H2234" s="23" t="str">
        <f>VLOOKUP(A2234,Revisión!$A$2:$L$703,6,FALSE)</f>
        <v>Leucostele chiloensis subsp. chiloensis</v>
      </c>
      <c r="I2234" s="4" t="str">
        <f>VLOOKUP(A2234,Revisión!$A$2:$L$703,7,FALSE)</f>
        <v>-</v>
      </c>
      <c r="J2234" s="4" t="str">
        <f>VLOOKUP(A2234,Revisión!$A$2:$L$703,8,FALSE)</f>
        <v>Leucostele chiloensis</v>
      </c>
      <c r="K2234" s="4" t="str">
        <f>VLOOKUP(A2234,Revisión!$A$2:$L$703,9,FALSE)</f>
        <v>Leucostele chiloensis subsp. chiloensis</v>
      </c>
      <c r="L2234" s="4" t="str">
        <f>VLOOKUP(A2234,Revisión!$A$2:$L$703,10,FALSE)</f>
        <v>Leucostele chiloensis subsp. chiloensis</v>
      </c>
      <c r="M2234" s="18">
        <f>VLOOKUP(A2234,Revisión!$A$2:$L$703,11,FALSE)</f>
        <v>3</v>
      </c>
      <c r="N2234" s="30" t="str">
        <f>IF(E2234="Coinciden",D2234,IF(E2234="Revisar",VLOOKUP(A2234,Revisión!$A$2:$L$703,12,FALSE),""))</f>
        <v>Leucostele chiloensis subsp. chiloensis</v>
      </c>
    </row>
    <row r="2235" spans="1:14" x14ac:dyDescent="0.3">
      <c r="A2235" t="s">
        <v>4588</v>
      </c>
      <c r="B2235" t="s">
        <v>4589</v>
      </c>
      <c r="C2235" t="s">
        <v>4589</v>
      </c>
      <c r="D2235" t="s">
        <v>4589</v>
      </c>
      <c r="E2235" t="s">
        <v>18</v>
      </c>
      <c r="F2235" t="s">
        <v>19</v>
      </c>
      <c r="H2235" s="23" t="e">
        <f>VLOOKUP(A2235,Revisión!$A$2:$L$703,6,FALSE)</f>
        <v>#N/A</v>
      </c>
      <c r="I2235" s="4" t="e">
        <f>VLOOKUP(A2235,Revisión!$A$2:$L$703,7,FALSE)</f>
        <v>#N/A</v>
      </c>
      <c r="J2235" s="4" t="e">
        <f>VLOOKUP(A2235,Revisión!$A$2:$L$703,8,FALSE)</f>
        <v>#N/A</v>
      </c>
      <c r="K2235" s="4" t="e">
        <f>VLOOKUP(A2235,Revisión!$A$2:$L$703,9,FALSE)</f>
        <v>#N/A</v>
      </c>
      <c r="L2235" s="4" t="e">
        <f>VLOOKUP(A2235,Revisión!$A$2:$L$703,10,FALSE)</f>
        <v>#N/A</v>
      </c>
      <c r="M2235" s="18" t="e">
        <f>VLOOKUP(A2235,Revisión!$A$2:$L$703,11,FALSE)</f>
        <v>#N/A</v>
      </c>
      <c r="N2235" s="30" t="str">
        <f>IF(E2235="Coinciden",D2235,IF(E2235="Revisar",VLOOKUP(A2235,Revisión!$A$2:$L$703,12,FALSE),""))</f>
        <v>Tricyrtis hirta</v>
      </c>
    </row>
    <row r="2236" spans="1:14" x14ac:dyDescent="0.3">
      <c r="A2236" t="s">
        <v>4590</v>
      </c>
      <c r="C2236" t="s">
        <v>4591</v>
      </c>
      <c r="D2236" t="s">
        <v>4591</v>
      </c>
      <c r="E2236" t="s">
        <v>8</v>
      </c>
      <c r="F2236" t="s">
        <v>49</v>
      </c>
      <c r="H2236" s="23" t="str">
        <f>VLOOKUP(A2236,Revisión!$A$2:$L$703,6,FALSE)</f>
        <v>Lysimachia europaea</v>
      </c>
      <c r="I2236" s="4" t="str">
        <f>VLOOKUP(A2236,Revisión!$A$2:$L$703,7,FALSE)</f>
        <v>-</v>
      </c>
      <c r="J2236" s="4" t="str">
        <f>VLOOKUP(A2236,Revisión!$A$2:$L$703,8,FALSE)</f>
        <v>Lysimachia europaea</v>
      </c>
      <c r="K2236" s="4" t="str">
        <f>VLOOKUP(A2236,Revisión!$A$2:$L$703,9,FALSE)</f>
        <v>Lysimachia europaea</v>
      </c>
      <c r="L2236" s="4" t="str">
        <f>VLOOKUP(A2236,Revisión!$A$2:$L$703,10,FALSE)</f>
        <v>Lysimachia europaea</v>
      </c>
      <c r="M2236" s="18">
        <f>VLOOKUP(A2236,Revisión!$A$2:$L$703,11,FALSE)</f>
        <v>5</v>
      </c>
      <c r="N2236" s="30" t="str">
        <f>IF(E2236="Coinciden",D2236,IF(E2236="Revisar",VLOOKUP(A2236,Revisión!$A$2:$L$703,12,FALSE),""))</f>
        <v>Lysimachia europaea</v>
      </c>
    </row>
    <row r="2237" spans="1:14" x14ac:dyDescent="0.3">
      <c r="A2237" t="s">
        <v>4592</v>
      </c>
      <c r="B2237" t="s">
        <v>4593</v>
      </c>
      <c r="C2237" t="s">
        <v>4593</v>
      </c>
      <c r="D2237" t="s">
        <v>4593</v>
      </c>
      <c r="E2237" t="s">
        <v>18</v>
      </c>
      <c r="F2237" t="s">
        <v>19</v>
      </c>
      <c r="H2237" s="23" t="e">
        <f>VLOOKUP(A2237,Revisión!$A$2:$L$703,6,FALSE)</f>
        <v>#N/A</v>
      </c>
      <c r="I2237" s="4" t="e">
        <f>VLOOKUP(A2237,Revisión!$A$2:$L$703,7,FALSE)</f>
        <v>#N/A</v>
      </c>
      <c r="J2237" s="4" t="e">
        <f>VLOOKUP(A2237,Revisión!$A$2:$L$703,8,FALSE)</f>
        <v>#N/A</v>
      </c>
      <c r="K2237" s="4" t="e">
        <f>VLOOKUP(A2237,Revisión!$A$2:$L$703,9,FALSE)</f>
        <v>#N/A</v>
      </c>
      <c r="L2237" s="4" t="e">
        <f>VLOOKUP(A2237,Revisión!$A$2:$L$703,10,FALSE)</f>
        <v>#N/A</v>
      </c>
      <c r="M2237" s="18" t="e">
        <f>VLOOKUP(A2237,Revisión!$A$2:$L$703,11,FALSE)</f>
        <v>#N/A</v>
      </c>
      <c r="N2237" s="30" t="str">
        <f>IF(E2237="Coinciden",D2237,IF(E2237="Revisar",VLOOKUP(A2237,Revisión!$A$2:$L$703,12,FALSE),""))</f>
        <v>Lysimachia borealis</v>
      </c>
    </row>
    <row r="2238" spans="1:14" x14ac:dyDescent="0.3">
      <c r="A2238" t="s">
        <v>4594</v>
      </c>
      <c r="B2238" t="s">
        <v>4595</v>
      </c>
      <c r="C2238" t="s">
        <v>4595</v>
      </c>
      <c r="D2238" t="s">
        <v>4595</v>
      </c>
      <c r="E2238" t="s">
        <v>18</v>
      </c>
      <c r="F2238" t="s">
        <v>19</v>
      </c>
      <c r="H2238" s="23" t="e">
        <f>VLOOKUP(A2238,Revisión!$A$2:$L$703,6,FALSE)</f>
        <v>#N/A</v>
      </c>
      <c r="I2238" s="4" t="e">
        <f>VLOOKUP(A2238,Revisión!$A$2:$L$703,7,FALSE)</f>
        <v>#N/A</v>
      </c>
      <c r="J2238" s="4" t="e">
        <f>VLOOKUP(A2238,Revisión!$A$2:$L$703,8,FALSE)</f>
        <v>#N/A</v>
      </c>
      <c r="K2238" s="4" t="e">
        <f>VLOOKUP(A2238,Revisión!$A$2:$L$703,9,FALSE)</f>
        <v>#N/A</v>
      </c>
      <c r="L2238" s="4" t="e">
        <f>VLOOKUP(A2238,Revisión!$A$2:$L$703,10,FALSE)</f>
        <v>#N/A</v>
      </c>
      <c r="M2238" s="18" t="e">
        <f>VLOOKUP(A2238,Revisión!$A$2:$L$703,11,FALSE)</f>
        <v>#N/A</v>
      </c>
      <c r="N2238" s="30" t="str">
        <f>IF(E2238="Coinciden",D2238,IF(E2238="Revisar",VLOOKUP(A2238,Revisión!$A$2:$L$703,12,FALSE),""))</f>
        <v>Trifolium dubium</v>
      </c>
    </row>
    <row r="2239" spans="1:14" x14ac:dyDescent="0.3">
      <c r="A2239" t="s">
        <v>4596</v>
      </c>
      <c r="B2239" t="s">
        <v>4597</v>
      </c>
      <c r="C2239" t="s">
        <v>4597</v>
      </c>
      <c r="D2239" t="s">
        <v>4597</v>
      </c>
      <c r="E2239" t="s">
        <v>18</v>
      </c>
      <c r="F2239" t="s">
        <v>19</v>
      </c>
      <c r="H2239" s="23" t="e">
        <f>VLOOKUP(A2239,Revisión!$A$2:$L$703,6,FALSE)</f>
        <v>#N/A</v>
      </c>
      <c r="I2239" s="4" t="e">
        <f>VLOOKUP(A2239,Revisión!$A$2:$L$703,7,FALSE)</f>
        <v>#N/A</v>
      </c>
      <c r="J2239" s="4" t="e">
        <f>VLOOKUP(A2239,Revisión!$A$2:$L$703,8,FALSE)</f>
        <v>#N/A</v>
      </c>
      <c r="K2239" s="4" t="e">
        <f>VLOOKUP(A2239,Revisión!$A$2:$L$703,9,FALSE)</f>
        <v>#N/A</v>
      </c>
      <c r="L2239" s="4" t="e">
        <f>VLOOKUP(A2239,Revisión!$A$2:$L$703,10,FALSE)</f>
        <v>#N/A</v>
      </c>
      <c r="M2239" s="18" t="e">
        <f>VLOOKUP(A2239,Revisión!$A$2:$L$703,11,FALSE)</f>
        <v>#N/A</v>
      </c>
      <c r="N2239" s="30" t="str">
        <f>IF(E2239="Coinciden",D2239,IF(E2239="Revisar",VLOOKUP(A2239,Revisión!$A$2:$L$703,12,FALSE),""))</f>
        <v>Trifolium dasyphyllum</v>
      </c>
    </row>
    <row r="2240" spans="1:14" x14ac:dyDescent="0.3">
      <c r="A2240" t="s">
        <v>4598</v>
      </c>
      <c r="B2240" t="s">
        <v>4599</v>
      </c>
      <c r="C2240" t="s">
        <v>4599</v>
      </c>
      <c r="D2240" t="s">
        <v>4599</v>
      </c>
      <c r="E2240" t="s">
        <v>18</v>
      </c>
      <c r="F2240" t="s">
        <v>19</v>
      </c>
      <c r="H2240" s="23" t="e">
        <f>VLOOKUP(A2240,Revisión!$A$2:$L$703,6,FALSE)</f>
        <v>#N/A</v>
      </c>
      <c r="I2240" s="4" t="e">
        <f>VLOOKUP(A2240,Revisión!$A$2:$L$703,7,FALSE)</f>
        <v>#N/A</v>
      </c>
      <c r="J2240" s="4" t="e">
        <f>VLOOKUP(A2240,Revisión!$A$2:$L$703,8,FALSE)</f>
        <v>#N/A</v>
      </c>
      <c r="K2240" s="4" t="e">
        <f>VLOOKUP(A2240,Revisión!$A$2:$L$703,9,FALSE)</f>
        <v>#N/A</v>
      </c>
      <c r="L2240" s="4" t="e">
        <f>VLOOKUP(A2240,Revisión!$A$2:$L$703,10,FALSE)</f>
        <v>#N/A</v>
      </c>
      <c r="M2240" s="18" t="e">
        <f>VLOOKUP(A2240,Revisión!$A$2:$L$703,11,FALSE)</f>
        <v>#N/A</v>
      </c>
      <c r="N2240" s="30" t="str">
        <f>IF(E2240="Coinciden",D2240,IF(E2240="Revisar",VLOOKUP(A2240,Revisión!$A$2:$L$703,12,FALSE),""))</f>
        <v>Trifolium repens</v>
      </c>
    </row>
    <row r="2241" spans="1:14" x14ac:dyDescent="0.3">
      <c r="A2241" t="s">
        <v>4600</v>
      </c>
      <c r="B2241" t="s">
        <v>4601</v>
      </c>
      <c r="C2241" t="s">
        <v>4601</v>
      </c>
      <c r="D2241" t="s">
        <v>4601</v>
      </c>
      <c r="E2241" t="s">
        <v>18</v>
      </c>
      <c r="F2241" t="s">
        <v>19</v>
      </c>
      <c r="H2241" s="23" t="e">
        <f>VLOOKUP(A2241,Revisión!$A$2:$L$703,6,FALSE)</f>
        <v>#N/A</v>
      </c>
      <c r="I2241" s="4" t="e">
        <f>VLOOKUP(A2241,Revisión!$A$2:$L$703,7,FALSE)</f>
        <v>#N/A</v>
      </c>
      <c r="J2241" s="4" t="e">
        <f>VLOOKUP(A2241,Revisión!$A$2:$L$703,8,FALSE)</f>
        <v>#N/A</v>
      </c>
      <c r="K2241" s="4" t="e">
        <f>VLOOKUP(A2241,Revisión!$A$2:$L$703,9,FALSE)</f>
        <v>#N/A</v>
      </c>
      <c r="L2241" s="4" t="e">
        <f>VLOOKUP(A2241,Revisión!$A$2:$L$703,10,FALSE)</f>
        <v>#N/A</v>
      </c>
      <c r="M2241" s="18" t="e">
        <f>VLOOKUP(A2241,Revisión!$A$2:$L$703,11,FALSE)</f>
        <v>#N/A</v>
      </c>
      <c r="N2241" s="30" t="str">
        <f>IF(E2241="Coinciden",D2241,IF(E2241="Revisar",VLOOKUP(A2241,Revisión!$A$2:$L$703,12,FALSE),""))</f>
        <v>Trifolium hybridum</v>
      </c>
    </row>
    <row r="2242" spans="1:14" x14ac:dyDescent="0.3">
      <c r="A2242" t="s">
        <v>4602</v>
      </c>
      <c r="B2242" t="s">
        <v>4603</v>
      </c>
      <c r="C2242" t="s">
        <v>4603</v>
      </c>
      <c r="D2242" t="s">
        <v>4603</v>
      </c>
      <c r="E2242" t="s">
        <v>18</v>
      </c>
      <c r="F2242" t="s">
        <v>19</v>
      </c>
      <c r="H2242" s="23" t="e">
        <f>VLOOKUP(A2242,Revisión!$A$2:$L$703,6,FALSE)</f>
        <v>#N/A</v>
      </c>
      <c r="I2242" s="4" t="e">
        <f>VLOOKUP(A2242,Revisión!$A$2:$L$703,7,FALSE)</f>
        <v>#N/A</v>
      </c>
      <c r="J2242" s="4" t="e">
        <f>VLOOKUP(A2242,Revisión!$A$2:$L$703,8,FALSE)</f>
        <v>#N/A</v>
      </c>
      <c r="K2242" s="4" t="e">
        <f>VLOOKUP(A2242,Revisión!$A$2:$L$703,9,FALSE)</f>
        <v>#N/A</v>
      </c>
      <c r="L2242" s="4" t="e">
        <f>VLOOKUP(A2242,Revisión!$A$2:$L$703,10,FALSE)</f>
        <v>#N/A</v>
      </c>
      <c r="M2242" s="18" t="e">
        <f>VLOOKUP(A2242,Revisión!$A$2:$L$703,11,FALSE)</f>
        <v>#N/A</v>
      </c>
      <c r="N2242" s="30" t="str">
        <f>IF(E2242="Coinciden",D2242,IF(E2242="Revisar",VLOOKUP(A2242,Revisión!$A$2:$L$703,12,FALSE),""))</f>
        <v>Trifolium stellatum</v>
      </c>
    </row>
    <row r="2243" spans="1:14" x14ac:dyDescent="0.3">
      <c r="A2243" t="s">
        <v>4604</v>
      </c>
      <c r="B2243" t="s">
        <v>4605</v>
      </c>
      <c r="D2243" t="s">
        <v>4605</v>
      </c>
      <c r="E2243" t="s">
        <v>8</v>
      </c>
      <c r="F2243" t="s">
        <v>34</v>
      </c>
      <c r="H2243" s="23" t="str">
        <f>VLOOKUP(A2243,Revisión!$A$2:$L$703,6,FALSE)</f>
        <v>Trifolium campestre</v>
      </c>
      <c r="I2243" s="4" t="str">
        <f>VLOOKUP(A2243,Revisión!$A$2:$L$703,7,FALSE)</f>
        <v>-</v>
      </c>
      <c r="J2243" s="4" t="str">
        <f>VLOOKUP(A2243,Revisión!$A$2:$L$703,8,FALSE)</f>
        <v>Trifolium campestre</v>
      </c>
      <c r="K2243" s="4" t="str">
        <f>VLOOKUP(A2243,Revisión!$A$2:$L$703,9,FALSE)</f>
        <v>Trifolium campestre</v>
      </c>
      <c r="L2243" s="4" t="str">
        <f>VLOOKUP(A2243,Revisión!$A$2:$L$703,10,FALSE)</f>
        <v>Trifolium campestre</v>
      </c>
      <c r="M2243" s="18">
        <f>VLOOKUP(A2243,Revisión!$A$2:$L$703,11,FALSE)</f>
        <v>5</v>
      </c>
      <c r="N2243" s="30" t="str">
        <f>IF(E2243="Coinciden",D2243,IF(E2243="Revisar",VLOOKUP(A2243,Revisión!$A$2:$L$703,12,FALSE),""))</f>
        <v>Trifolium campestre</v>
      </c>
    </row>
    <row r="2244" spans="1:14" x14ac:dyDescent="0.3">
      <c r="A2244" t="s">
        <v>4606</v>
      </c>
      <c r="B2244" t="s">
        <v>4607</v>
      </c>
      <c r="C2244" t="s">
        <v>4607</v>
      </c>
      <c r="D2244" t="s">
        <v>4607</v>
      </c>
      <c r="E2244" t="s">
        <v>18</v>
      </c>
      <c r="F2244" t="s">
        <v>19</v>
      </c>
      <c r="H2244" s="23" t="e">
        <f>VLOOKUP(A2244,Revisión!$A$2:$L$703,6,FALSE)</f>
        <v>#N/A</v>
      </c>
      <c r="I2244" s="4" t="e">
        <f>VLOOKUP(A2244,Revisión!$A$2:$L$703,7,FALSE)</f>
        <v>#N/A</v>
      </c>
      <c r="J2244" s="4" t="e">
        <f>VLOOKUP(A2244,Revisión!$A$2:$L$703,8,FALSE)</f>
        <v>#N/A</v>
      </c>
      <c r="K2244" s="4" t="e">
        <f>VLOOKUP(A2244,Revisión!$A$2:$L$703,9,FALSE)</f>
        <v>#N/A</v>
      </c>
      <c r="L2244" s="4" t="e">
        <f>VLOOKUP(A2244,Revisión!$A$2:$L$703,10,FALSE)</f>
        <v>#N/A</v>
      </c>
      <c r="M2244" s="18" t="e">
        <f>VLOOKUP(A2244,Revisión!$A$2:$L$703,11,FALSE)</f>
        <v>#N/A</v>
      </c>
      <c r="N2244" s="30" t="str">
        <f>IF(E2244="Coinciden",D2244,IF(E2244="Revisar",VLOOKUP(A2244,Revisión!$A$2:$L$703,12,FALSE),""))</f>
        <v>Trifolium pratense</v>
      </c>
    </row>
    <row r="2245" spans="1:14" x14ac:dyDescent="0.3">
      <c r="A2245" t="s">
        <v>4608</v>
      </c>
      <c r="B2245" t="s">
        <v>4609</v>
      </c>
      <c r="C2245" t="s">
        <v>4609</v>
      </c>
      <c r="D2245" t="s">
        <v>4609</v>
      </c>
      <c r="E2245" t="s">
        <v>18</v>
      </c>
      <c r="F2245" t="s">
        <v>19</v>
      </c>
      <c r="H2245" s="23" t="e">
        <f>VLOOKUP(A2245,Revisión!$A$2:$L$703,6,FALSE)</f>
        <v>#N/A</v>
      </c>
      <c r="I2245" s="4" t="e">
        <f>VLOOKUP(A2245,Revisión!$A$2:$L$703,7,FALSE)</f>
        <v>#N/A</v>
      </c>
      <c r="J2245" s="4" t="e">
        <f>VLOOKUP(A2245,Revisión!$A$2:$L$703,8,FALSE)</f>
        <v>#N/A</v>
      </c>
      <c r="K2245" s="4" t="e">
        <f>VLOOKUP(A2245,Revisión!$A$2:$L$703,9,FALSE)</f>
        <v>#N/A</v>
      </c>
      <c r="L2245" s="4" t="e">
        <f>VLOOKUP(A2245,Revisión!$A$2:$L$703,10,FALSE)</f>
        <v>#N/A</v>
      </c>
      <c r="M2245" s="18" t="e">
        <f>VLOOKUP(A2245,Revisión!$A$2:$L$703,11,FALSE)</f>
        <v>#N/A</v>
      </c>
      <c r="N2245" s="30" t="str">
        <f>IF(E2245="Coinciden",D2245,IF(E2245="Revisar",VLOOKUP(A2245,Revisión!$A$2:$L$703,12,FALSE),""))</f>
        <v>Trifolium arvense</v>
      </c>
    </row>
    <row r="2246" spans="1:14" x14ac:dyDescent="0.3">
      <c r="A2246" t="s">
        <v>4610</v>
      </c>
      <c r="B2246" t="s">
        <v>4611</v>
      </c>
      <c r="D2246" t="s">
        <v>4611</v>
      </c>
      <c r="E2246" t="s">
        <v>8</v>
      </c>
      <c r="F2246" t="s">
        <v>34</v>
      </c>
      <c r="H2246" s="23" t="str">
        <f>VLOOKUP(A2246,Revisión!$A$2:$L$703,6,FALSE)</f>
        <v>Trifolium reflexum</v>
      </c>
      <c r="I2246" s="4" t="str">
        <f>VLOOKUP(A2246,Revisión!$A$2:$L$703,7,FALSE)</f>
        <v>-</v>
      </c>
      <c r="J2246" s="4" t="str">
        <f>VLOOKUP(A2246,Revisión!$A$2:$L$703,8,FALSE)</f>
        <v>Trifolium reflexum</v>
      </c>
      <c r="K2246" s="4" t="str">
        <f>VLOOKUP(A2246,Revisión!$A$2:$L$703,9,FALSE)</f>
        <v>Trifolium reflexum</v>
      </c>
      <c r="L2246" s="4" t="str">
        <f>VLOOKUP(A2246,Revisión!$A$2:$L$703,10,FALSE)</f>
        <v>Trifolium reflexum</v>
      </c>
      <c r="M2246" s="18">
        <f>VLOOKUP(A2246,Revisión!$A$2:$L$703,11,FALSE)</f>
        <v>5</v>
      </c>
      <c r="N2246" s="30" t="str">
        <f>IF(E2246="Coinciden",D2246,IF(E2246="Revisar",VLOOKUP(A2246,Revisión!$A$2:$L$703,12,FALSE),""))</f>
        <v>Trifolium reflexum</v>
      </c>
    </row>
    <row r="2247" spans="1:14" x14ac:dyDescent="0.3">
      <c r="A2247" t="s">
        <v>4612</v>
      </c>
      <c r="B2247" t="s">
        <v>4613</v>
      </c>
      <c r="C2247" t="s">
        <v>4613</v>
      </c>
      <c r="E2247" t="s">
        <v>8</v>
      </c>
      <c r="F2247" t="s">
        <v>323</v>
      </c>
      <c r="H2247" s="23" t="str">
        <f>VLOOKUP(A2247,Revisión!$A$2:$L$703,6,FALSE)</f>
        <v>Trigonotis brevipes</v>
      </c>
      <c r="I2247" s="4" t="str">
        <f>VLOOKUP(A2247,Revisión!$A$2:$L$703,7,FALSE)</f>
        <v>-</v>
      </c>
      <c r="J2247" s="4" t="str">
        <f>VLOOKUP(A2247,Revisión!$A$2:$L$703,8,FALSE)</f>
        <v>Trigonotis brevipes</v>
      </c>
      <c r="K2247" s="4" t="str">
        <f>VLOOKUP(A2247,Revisión!$A$2:$L$703,9,FALSE)</f>
        <v>Trigonotis brevipes</v>
      </c>
      <c r="L2247" s="4" t="str">
        <f>VLOOKUP(A2247,Revisión!$A$2:$L$703,10,FALSE)</f>
        <v>Trigonotis brevipes</v>
      </c>
      <c r="M2247" s="18">
        <f>VLOOKUP(A2247,Revisión!$A$2:$L$703,11,FALSE)</f>
        <v>5</v>
      </c>
      <c r="N2247" s="30" t="str">
        <f>IF(E2247="Coinciden",D2247,IF(E2247="Revisar",VLOOKUP(A2247,Revisión!$A$2:$L$703,12,FALSE),""))</f>
        <v>Trigonotis brevipes</v>
      </c>
    </row>
    <row r="2248" spans="1:14" x14ac:dyDescent="0.3">
      <c r="A2248" t="s">
        <v>4614</v>
      </c>
      <c r="B2248" t="s">
        <v>4615</v>
      </c>
      <c r="C2248" t="s">
        <v>4615</v>
      </c>
      <c r="D2248" t="s">
        <v>4615</v>
      </c>
      <c r="E2248" t="s">
        <v>18</v>
      </c>
      <c r="F2248" t="s">
        <v>19</v>
      </c>
      <c r="H2248" s="23" t="e">
        <f>VLOOKUP(A2248,Revisión!$A$2:$L$703,6,FALSE)</f>
        <v>#N/A</v>
      </c>
      <c r="I2248" s="4" t="e">
        <f>VLOOKUP(A2248,Revisión!$A$2:$L$703,7,FALSE)</f>
        <v>#N/A</v>
      </c>
      <c r="J2248" s="4" t="e">
        <f>VLOOKUP(A2248,Revisión!$A$2:$L$703,8,FALSE)</f>
        <v>#N/A</v>
      </c>
      <c r="K2248" s="4" t="e">
        <f>VLOOKUP(A2248,Revisión!$A$2:$L$703,9,FALSE)</f>
        <v>#N/A</v>
      </c>
      <c r="L2248" s="4" t="e">
        <f>VLOOKUP(A2248,Revisión!$A$2:$L$703,10,FALSE)</f>
        <v>#N/A</v>
      </c>
      <c r="M2248" s="18" t="e">
        <f>VLOOKUP(A2248,Revisión!$A$2:$L$703,11,FALSE)</f>
        <v>#N/A</v>
      </c>
      <c r="N2248" s="30" t="str">
        <f>IF(E2248="Coinciden",D2248,IF(E2248="Revisar",VLOOKUP(A2248,Revisión!$A$2:$L$703,12,FALSE),""))</f>
        <v>Trillium sessile</v>
      </c>
    </row>
    <row r="2249" spans="1:14" x14ac:dyDescent="0.3">
      <c r="A2249" t="s">
        <v>4616</v>
      </c>
      <c r="C2249" t="s">
        <v>4617</v>
      </c>
      <c r="D2249" t="s">
        <v>4617</v>
      </c>
      <c r="E2249" t="s">
        <v>8</v>
      </c>
      <c r="F2249" t="s">
        <v>49</v>
      </c>
      <c r="H2249" s="23" t="str">
        <f>VLOOKUP(A2249,Revisión!$A$2:$L$703,6,FALSE)</f>
        <v>Trillium catesbaei</v>
      </c>
      <c r="I2249" s="4" t="str">
        <f>VLOOKUP(A2249,Revisión!$A$2:$L$703,7,FALSE)</f>
        <v>-</v>
      </c>
      <c r="J2249" s="4" t="str">
        <f>VLOOKUP(A2249,Revisión!$A$2:$L$703,8,FALSE)</f>
        <v>Trillium catesbaei</v>
      </c>
      <c r="K2249" s="4" t="str">
        <f>VLOOKUP(A2249,Revisión!$A$2:$L$703,9,FALSE)</f>
        <v>Trillium catesbaei</v>
      </c>
      <c r="L2249" s="4" t="str">
        <f>VLOOKUP(A2249,Revisión!$A$2:$L$703,10,FALSE)</f>
        <v>Trillium catesbaei</v>
      </c>
      <c r="M2249" s="18">
        <f>VLOOKUP(A2249,Revisión!$A$2:$L$703,11,FALSE)</f>
        <v>5</v>
      </c>
      <c r="N2249" s="30" t="str">
        <f>IF(E2249="Coinciden",D2249,IF(E2249="Revisar",VLOOKUP(A2249,Revisión!$A$2:$L$703,12,FALSE),""))</f>
        <v>Trillium catesbaei</v>
      </c>
    </row>
    <row r="2250" spans="1:14" x14ac:dyDescent="0.3">
      <c r="A2250" t="s">
        <v>4618</v>
      </c>
      <c r="B2250" t="s">
        <v>4619</v>
      </c>
      <c r="C2250" t="s">
        <v>4619</v>
      </c>
      <c r="D2250" t="s">
        <v>4619</v>
      </c>
      <c r="E2250" t="s">
        <v>18</v>
      </c>
      <c r="F2250" t="s">
        <v>19</v>
      </c>
      <c r="H2250" s="23" t="e">
        <f>VLOOKUP(A2250,Revisión!$A$2:$L$703,6,FALSE)</f>
        <v>#N/A</v>
      </c>
      <c r="I2250" s="4" t="e">
        <f>VLOOKUP(A2250,Revisión!$A$2:$L$703,7,FALSE)</f>
        <v>#N/A</v>
      </c>
      <c r="J2250" s="4" t="e">
        <f>VLOOKUP(A2250,Revisión!$A$2:$L$703,8,FALSE)</f>
        <v>#N/A</v>
      </c>
      <c r="K2250" s="4" t="e">
        <f>VLOOKUP(A2250,Revisión!$A$2:$L$703,9,FALSE)</f>
        <v>#N/A</v>
      </c>
      <c r="L2250" s="4" t="e">
        <f>VLOOKUP(A2250,Revisión!$A$2:$L$703,10,FALSE)</f>
        <v>#N/A</v>
      </c>
      <c r="M2250" s="18" t="e">
        <f>VLOOKUP(A2250,Revisión!$A$2:$L$703,11,FALSE)</f>
        <v>#N/A</v>
      </c>
      <c r="N2250" s="30" t="str">
        <f>IF(E2250="Coinciden",D2250,IF(E2250="Revisar",VLOOKUP(A2250,Revisión!$A$2:$L$703,12,FALSE),""))</f>
        <v>Trillium undulatum</v>
      </c>
    </row>
    <row r="2251" spans="1:14" x14ac:dyDescent="0.3">
      <c r="A2251" t="s">
        <v>4620</v>
      </c>
      <c r="B2251" t="s">
        <v>4621</v>
      </c>
      <c r="C2251" t="s">
        <v>4621</v>
      </c>
      <c r="D2251" t="s">
        <v>4621</v>
      </c>
      <c r="E2251" t="s">
        <v>18</v>
      </c>
      <c r="F2251" t="s">
        <v>19</v>
      </c>
      <c r="H2251" s="23" t="e">
        <f>VLOOKUP(A2251,Revisión!$A$2:$L$703,6,FALSE)</f>
        <v>#N/A</v>
      </c>
      <c r="I2251" s="4" t="e">
        <f>VLOOKUP(A2251,Revisión!$A$2:$L$703,7,FALSE)</f>
        <v>#N/A</v>
      </c>
      <c r="J2251" s="4" t="e">
        <f>VLOOKUP(A2251,Revisión!$A$2:$L$703,8,FALSE)</f>
        <v>#N/A</v>
      </c>
      <c r="K2251" s="4" t="e">
        <f>VLOOKUP(A2251,Revisión!$A$2:$L$703,9,FALSE)</f>
        <v>#N/A</v>
      </c>
      <c r="L2251" s="4" t="e">
        <f>VLOOKUP(A2251,Revisión!$A$2:$L$703,10,FALSE)</f>
        <v>#N/A</v>
      </c>
      <c r="M2251" s="18" t="e">
        <f>VLOOKUP(A2251,Revisión!$A$2:$L$703,11,FALSE)</f>
        <v>#N/A</v>
      </c>
      <c r="N2251" s="30" t="str">
        <f>IF(E2251="Coinciden",D2251,IF(E2251="Revisar",VLOOKUP(A2251,Revisión!$A$2:$L$703,12,FALSE),""))</f>
        <v>Triosteum perfoliatum</v>
      </c>
    </row>
    <row r="2252" spans="1:14" x14ac:dyDescent="0.3">
      <c r="A2252" t="s">
        <v>4622</v>
      </c>
      <c r="B2252" t="s">
        <v>4623</v>
      </c>
      <c r="C2252" t="s">
        <v>4623</v>
      </c>
      <c r="D2252" t="s">
        <v>4623</v>
      </c>
      <c r="E2252" t="s">
        <v>18</v>
      </c>
      <c r="F2252" t="s">
        <v>19</v>
      </c>
      <c r="H2252" s="23" t="e">
        <f>VLOOKUP(A2252,Revisión!$A$2:$L$703,6,FALSE)</f>
        <v>#N/A</v>
      </c>
      <c r="I2252" s="4" t="e">
        <f>VLOOKUP(A2252,Revisión!$A$2:$L$703,7,FALSE)</f>
        <v>#N/A</v>
      </c>
      <c r="J2252" s="4" t="e">
        <f>VLOOKUP(A2252,Revisión!$A$2:$L$703,8,FALSE)</f>
        <v>#N/A</v>
      </c>
      <c r="K2252" s="4" t="e">
        <f>VLOOKUP(A2252,Revisión!$A$2:$L$703,9,FALSE)</f>
        <v>#N/A</v>
      </c>
      <c r="L2252" s="4" t="e">
        <f>VLOOKUP(A2252,Revisión!$A$2:$L$703,10,FALSE)</f>
        <v>#N/A</v>
      </c>
      <c r="M2252" s="18" t="e">
        <f>VLOOKUP(A2252,Revisión!$A$2:$L$703,11,FALSE)</f>
        <v>#N/A</v>
      </c>
      <c r="N2252" s="30" t="str">
        <f>IF(E2252="Coinciden",D2252,IF(E2252="Revisar",VLOOKUP(A2252,Revisión!$A$2:$L$703,12,FALSE),""))</f>
        <v>Tripleurospermum inodorum</v>
      </c>
    </row>
    <row r="2253" spans="1:14" x14ac:dyDescent="0.3">
      <c r="A2253" t="s">
        <v>4624</v>
      </c>
      <c r="B2253" t="s">
        <v>4625</v>
      </c>
      <c r="C2253" t="s">
        <v>4625</v>
      </c>
      <c r="D2253" t="s">
        <v>4625</v>
      </c>
      <c r="E2253" t="s">
        <v>18</v>
      </c>
      <c r="F2253" t="s">
        <v>19</v>
      </c>
      <c r="H2253" s="23" t="e">
        <f>VLOOKUP(A2253,Revisión!$A$2:$L$703,6,FALSE)</f>
        <v>#N/A</v>
      </c>
      <c r="I2253" s="4" t="e">
        <f>VLOOKUP(A2253,Revisión!$A$2:$L$703,7,FALSE)</f>
        <v>#N/A</v>
      </c>
      <c r="J2253" s="4" t="e">
        <f>VLOOKUP(A2253,Revisión!$A$2:$L$703,8,FALSE)</f>
        <v>#N/A</v>
      </c>
      <c r="K2253" s="4" t="e">
        <f>VLOOKUP(A2253,Revisión!$A$2:$L$703,9,FALSE)</f>
        <v>#N/A</v>
      </c>
      <c r="L2253" s="4" t="e">
        <f>VLOOKUP(A2253,Revisión!$A$2:$L$703,10,FALSE)</f>
        <v>#N/A</v>
      </c>
      <c r="M2253" s="18" t="e">
        <f>VLOOKUP(A2253,Revisión!$A$2:$L$703,11,FALSE)</f>
        <v>#N/A</v>
      </c>
      <c r="N2253" s="30" t="str">
        <f>IF(E2253="Coinciden",D2253,IF(E2253="Revisar",VLOOKUP(A2253,Revisión!$A$2:$L$703,12,FALSE),""))</f>
        <v>Tripterospermum trinervium</v>
      </c>
    </row>
    <row r="2254" spans="1:14" x14ac:dyDescent="0.3">
      <c r="A2254" t="s">
        <v>4626</v>
      </c>
      <c r="C2254" t="s">
        <v>4627</v>
      </c>
      <c r="D2254" t="s">
        <v>4628</v>
      </c>
      <c r="E2254" t="s">
        <v>8</v>
      </c>
      <c r="F2254" t="s">
        <v>9</v>
      </c>
      <c r="H2254" s="23" t="str">
        <f>VLOOKUP(A2254,Revisión!$A$2:$L$703,6,FALSE)</f>
        <v>Tristagma sessile</v>
      </c>
      <c r="I2254" s="4" t="str">
        <f>VLOOKUP(A2254,Revisión!$A$2:$L$703,7,FALSE)</f>
        <v>-</v>
      </c>
      <c r="J2254" s="4" t="str">
        <f>VLOOKUP(A2254,Revisión!$A$2:$L$703,8,FALSE)</f>
        <v>Tristagma sessile</v>
      </c>
      <c r="K2254" s="4" t="str">
        <f>VLOOKUP(A2254,Revisión!$A$2:$L$703,9,FALSE)</f>
        <v>Tristagma sessile</v>
      </c>
      <c r="L2254" s="4" t="str">
        <f>VLOOKUP(A2254,Revisión!$A$2:$L$703,10,FALSE)</f>
        <v>Tristagma sessile</v>
      </c>
      <c r="M2254" s="18">
        <f>VLOOKUP(A2254,Revisión!$A$2:$L$703,11,FALSE)</f>
        <v>4</v>
      </c>
      <c r="N2254" s="30" t="str">
        <f>IF(E2254="Coinciden",D2254,IF(E2254="Revisar",VLOOKUP(A2254,Revisión!$A$2:$L$703,12,FALSE),""))</f>
        <v>Tristagma sessile</v>
      </c>
    </row>
    <row r="2255" spans="1:14" x14ac:dyDescent="0.3">
      <c r="A2255" t="s">
        <v>4629</v>
      </c>
      <c r="C2255" t="s">
        <v>4630</v>
      </c>
      <c r="D2255" t="s">
        <v>4630</v>
      </c>
      <c r="E2255" t="s">
        <v>8</v>
      </c>
      <c r="F2255" t="s">
        <v>49</v>
      </c>
      <c r="H2255" s="23" t="str">
        <f>VLOOKUP(A2255,Revisión!$A$2:$L$703,6,FALSE)</f>
        <v>Tristagma bivalve</v>
      </c>
      <c r="I2255" s="4" t="str">
        <f>VLOOKUP(A2255,Revisión!$A$2:$L$703,7,FALSE)</f>
        <v>-</v>
      </c>
      <c r="J2255" s="4" t="str">
        <f>VLOOKUP(A2255,Revisión!$A$2:$L$703,8,FALSE)</f>
        <v>Tristagma bivalve</v>
      </c>
      <c r="K2255" s="4" t="str">
        <f>VLOOKUP(A2255,Revisión!$A$2:$L$703,9,FALSE)</f>
        <v>Tristagma bivalve</v>
      </c>
      <c r="L2255" s="4" t="str">
        <f>VLOOKUP(A2255,Revisión!$A$2:$L$703,10,FALSE)</f>
        <v>Tristagma bivalve</v>
      </c>
      <c r="M2255" s="18">
        <f>VLOOKUP(A2255,Revisión!$A$2:$L$703,11,FALSE)</f>
        <v>4</v>
      </c>
      <c r="N2255" s="30" t="str">
        <f>IF(E2255="Coinciden",D2255,IF(E2255="Revisar",VLOOKUP(A2255,Revisión!$A$2:$L$703,12,FALSE),""))</f>
        <v>Tristagma bivalve</v>
      </c>
    </row>
    <row r="2256" spans="1:14" x14ac:dyDescent="0.3">
      <c r="A2256" t="s">
        <v>4631</v>
      </c>
      <c r="C2256" t="s">
        <v>4632</v>
      </c>
      <c r="D2256" t="s">
        <v>4632</v>
      </c>
      <c r="E2256" t="s">
        <v>8</v>
      </c>
      <c r="F2256" t="s">
        <v>49</v>
      </c>
      <c r="H2256" s="23" t="str">
        <f>VLOOKUP(A2256,Revisión!$A$2:$L$703,6,FALSE)</f>
        <v>Tristagma nivale</v>
      </c>
      <c r="I2256" s="4" t="str">
        <f>VLOOKUP(A2256,Revisión!$A$2:$L$703,7,FALSE)</f>
        <v>-</v>
      </c>
      <c r="J2256" s="4" t="str">
        <f>VLOOKUP(A2256,Revisión!$A$2:$L$703,8,FALSE)</f>
        <v>Tristagma nivale</v>
      </c>
      <c r="K2256" s="4" t="str">
        <f>VLOOKUP(A2256,Revisión!$A$2:$L$703,9,FALSE)</f>
        <v>Tristagma nivale</v>
      </c>
      <c r="L2256" s="4" t="str">
        <f>VLOOKUP(A2256,Revisión!$A$2:$L$703,10,FALSE)</f>
        <v>Tristagma nivale</v>
      </c>
      <c r="M2256" s="18">
        <f>VLOOKUP(A2256,Revisión!$A$2:$L$703,11,FALSE)</f>
        <v>4</v>
      </c>
      <c r="N2256" s="30" t="str">
        <f>IF(E2256="Coinciden",D2256,IF(E2256="Revisar",VLOOKUP(A2256,Revisión!$A$2:$L$703,12,FALSE),""))</f>
        <v>Tristagma nivale</v>
      </c>
    </row>
    <row r="2257" spans="1:14" x14ac:dyDescent="0.3">
      <c r="A2257" t="s">
        <v>4633</v>
      </c>
      <c r="B2257" t="s">
        <v>4634</v>
      </c>
      <c r="C2257" t="s">
        <v>4634</v>
      </c>
      <c r="D2257" t="s">
        <v>4634</v>
      </c>
      <c r="E2257" t="s">
        <v>18</v>
      </c>
      <c r="F2257" t="s">
        <v>19</v>
      </c>
      <c r="H2257" s="23" t="e">
        <f>VLOOKUP(A2257,Revisión!$A$2:$L$703,6,FALSE)</f>
        <v>#N/A</v>
      </c>
      <c r="I2257" s="4" t="e">
        <f>VLOOKUP(A2257,Revisión!$A$2:$L$703,7,FALSE)</f>
        <v>#N/A</v>
      </c>
      <c r="J2257" s="4" t="e">
        <f>VLOOKUP(A2257,Revisión!$A$2:$L$703,8,FALSE)</f>
        <v>#N/A</v>
      </c>
      <c r="K2257" s="4" t="e">
        <f>VLOOKUP(A2257,Revisión!$A$2:$L$703,9,FALSE)</f>
        <v>#N/A</v>
      </c>
      <c r="L2257" s="4" t="e">
        <f>VLOOKUP(A2257,Revisión!$A$2:$L$703,10,FALSE)</f>
        <v>#N/A</v>
      </c>
      <c r="M2257" s="18" t="e">
        <f>VLOOKUP(A2257,Revisión!$A$2:$L$703,11,FALSE)</f>
        <v>#N/A</v>
      </c>
      <c r="N2257" s="30" t="str">
        <f>IF(E2257="Coinciden",D2257,IF(E2257="Revisar",VLOOKUP(A2257,Revisión!$A$2:$L$703,12,FALSE),""))</f>
        <v>Tristerix corymbosus</v>
      </c>
    </row>
    <row r="2258" spans="1:14" x14ac:dyDescent="0.3">
      <c r="A2258" t="s">
        <v>4635</v>
      </c>
      <c r="C2258" t="s">
        <v>4636</v>
      </c>
      <c r="D2258" t="s">
        <v>4632</v>
      </c>
      <c r="E2258" t="s">
        <v>8</v>
      </c>
      <c r="F2258" t="s">
        <v>9</v>
      </c>
      <c r="H2258" s="23" t="str">
        <f>VLOOKUP(A2258,Revisión!$A$2:$L$703,6,FALSE)</f>
        <v>Tristemma mauritianum</v>
      </c>
      <c r="I2258" s="4" t="str">
        <f>VLOOKUP(A2258,Revisión!$A$2:$L$703,7,FALSE)</f>
        <v>-</v>
      </c>
      <c r="J2258" s="4" t="str">
        <f>VLOOKUP(A2258,Revisión!$A$2:$L$703,8,FALSE)</f>
        <v>Tristemma mauritianum</v>
      </c>
      <c r="K2258" s="4" t="str">
        <f>VLOOKUP(A2258,Revisión!$A$2:$L$703,9,FALSE)</f>
        <v>Tristemma mauritianum</v>
      </c>
      <c r="L2258" s="4" t="str">
        <f>VLOOKUP(A2258,Revisión!$A$2:$L$703,10,FALSE)</f>
        <v>Tristemma mauritianum</v>
      </c>
      <c r="M2258" s="18">
        <f>VLOOKUP(A2258,Revisión!$A$2:$L$703,11,FALSE)</f>
        <v>5</v>
      </c>
      <c r="N2258" s="30" t="str">
        <f>IF(E2258="Coinciden",D2258,IF(E2258="Revisar",VLOOKUP(A2258,Revisión!$A$2:$L$703,12,FALSE),""))</f>
        <v>Tristemma mauritianum</v>
      </c>
    </row>
    <row r="2259" spans="1:14" x14ac:dyDescent="0.3">
      <c r="A2259" t="s">
        <v>4637</v>
      </c>
      <c r="D2259" t="s">
        <v>4638</v>
      </c>
      <c r="E2259" t="s">
        <v>8</v>
      </c>
      <c r="F2259" t="s">
        <v>9</v>
      </c>
      <c r="H2259" s="23" t="str">
        <f>VLOOKUP(A2259,Revisión!$A$2:$L$703,6,FALSE)</f>
        <v>Criscia stricta</v>
      </c>
      <c r="I2259" s="4" t="str">
        <f>VLOOKUP(A2259,Revisión!$A$2:$L$703,7,FALSE)</f>
        <v>-</v>
      </c>
      <c r="J2259" s="4" t="str">
        <f>VLOOKUP(A2259,Revisión!$A$2:$L$703,8,FALSE)</f>
        <v>Criscia stricta</v>
      </c>
      <c r="K2259" s="4" t="str">
        <f>VLOOKUP(A2259,Revisión!$A$2:$L$703,9,FALSE)</f>
        <v>Criscia stricta</v>
      </c>
      <c r="L2259" s="4" t="str">
        <f>VLOOKUP(A2259,Revisión!$A$2:$L$703,10,FALSE)</f>
        <v>Criscia stricta</v>
      </c>
      <c r="M2259" s="18">
        <f>VLOOKUP(A2259,Revisión!$A$2:$L$703,11,FALSE)</f>
        <v>5</v>
      </c>
      <c r="N2259" s="30" t="str">
        <f>IF(E2259="Coinciden",D2259,IF(E2259="Revisar",VLOOKUP(A2259,Revisión!$A$2:$L$703,12,FALSE),""))</f>
        <v>Criscia stricta</v>
      </c>
    </row>
    <row r="2260" spans="1:14" x14ac:dyDescent="0.3">
      <c r="A2260" t="s">
        <v>4639</v>
      </c>
      <c r="B2260" t="s">
        <v>4640</v>
      </c>
      <c r="C2260" t="s">
        <v>4640</v>
      </c>
      <c r="D2260" t="s">
        <v>4640</v>
      </c>
      <c r="E2260" t="s">
        <v>18</v>
      </c>
      <c r="F2260" t="s">
        <v>19</v>
      </c>
      <c r="H2260" s="23" t="e">
        <f>VLOOKUP(A2260,Revisión!$A$2:$L$703,6,FALSE)</f>
        <v>#N/A</v>
      </c>
      <c r="I2260" s="4" t="e">
        <f>VLOOKUP(A2260,Revisión!$A$2:$L$703,7,FALSE)</f>
        <v>#N/A</v>
      </c>
      <c r="J2260" s="4" t="e">
        <f>VLOOKUP(A2260,Revisión!$A$2:$L$703,8,FALSE)</f>
        <v>#N/A</v>
      </c>
      <c r="K2260" s="4" t="e">
        <f>VLOOKUP(A2260,Revisión!$A$2:$L$703,9,FALSE)</f>
        <v>#N/A</v>
      </c>
      <c r="L2260" s="4" t="e">
        <f>VLOOKUP(A2260,Revisión!$A$2:$L$703,10,FALSE)</f>
        <v>#N/A</v>
      </c>
      <c r="M2260" s="18" t="e">
        <f>VLOOKUP(A2260,Revisión!$A$2:$L$703,11,FALSE)</f>
        <v>#N/A</v>
      </c>
      <c r="N2260" s="30" t="str">
        <f>IF(E2260="Coinciden",D2260,IF(E2260="Revisar",VLOOKUP(A2260,Revisión!$A$2:$L$703,12,FALSE),""))</f>
        <v>Ruizia blackburniana</v>
      </c>
    </row>
    <row r="2261" spans="1:14" x14ac:dyDescent="0.3">
      <c r="A2261" t="s">
        <v>4641</v>
      </c>
      <c r="B2261" t="s">
        <v>4642</v>
      </c>
      <c r="C2261" t="s">
        <v>4642</v>
      </c>
      <c r="D2261" t="s">
        <v>4642</v>
      </c>
      <c r="E2261" t="s">
        <v>18</v>
      </c>
      <c r="F2261" t="s">
        <v>19</v>
      </c>
      <c r="H2261" s="23" t="e">
        <f>VLOOKUP(A2261,Revisión!$A$2:$L$703,6,FALSE)</f>
        <v>#N/A</v>
      </c>
      <c r="I2261" s="4" t="e">
        <f>VLOOKUP(A2261,Revisión!$A$2:$L$703,7,FALSE)</f>
        <v>#N/A</v>
      </c>
      <c r="J2261" s="4" t="e">
        <f>VLOOKUP(A2261,Revisión!$A$2:$L$703,8,FALSE)</f>
        <v>#N/A</v>
      </c>
      <c r="K2261" s="4" t="e">
        <f>VLOOKUP(A2261,Revisión!$A$2:$L$703,9,FALSE)</f>
        <v>#N/A</v>
      </c>
      <c r="L2261" s="4" t="e">
        <f>VLOOKUP(A2261,Revisión!$A$2:$L$703,10,FALSE)</f>
        <v>#N/A</v>
      </c>
      <c r="M2261" s="18" t="e">
        <f>VLOOKUP(A2261,Revisión!$A$2:$L$703,11,FALSE)</f>
        <v>#N/A</v>
      </c>
      <c r="N2261" s="30" t="str">
        <f>IF(E2261="Coinciden",D2261,IF(E2261="Revisar",VLOOKUP(A2261,Revisión!$A$2:$L$703,12,FALSE),""))</f>
        <v>Trollius europaeus</v>
      </c>
    </row>
    <row r="2262" spans="1:14" x14ac:dyDescent="0.3">
      <c r="A2262" t="s">
        <v>4643</v>
      </c>
      <c r="B2262" t="s">
        <v>4644</v>
      </c>
      <c r="C2262" t="s">
        <v>4644</v>
      </c>
      <c r="D2262" t="s">
        <v>4644</v>
      </c>
      <c r="E2262" t="s">
        <v>18</v>
      </c>
      <c r="F2262" t="s">
        <v>19</v>
      </c>
      <c r="H2262" s="23" t="e">
        <f>VLOOKUP(A2262,Revisión!$A$2:$L$703,6,FALSE)</f>
        <v>#N/A</v>
      </c>
      <c r="I2262" s="4" t="e">
        <f>VLOOKUP(A2262,Revisión!$A$2:$L$703,7,FALSE)</f>
        <v>#N/A</v>
      </c>
      <c r="J2262" s="4" t="e">
        <f>VLOOKUP(A2262,Revisión!$A$2:$L$703,8,FALSE)</f>
        <v>#N/A</v>
      </c>
      <c r="K2262" s="4" t="e">
        <f>VLOOKUP(A2262,Revisión!$A$2:$L$703,9,FALSE)</f>
        <v>#N/A</v>
      </c>
      <c r="L2262" s="4" t="e">
        <f>VLOOKUP(A2262,Revisión!$A$2:$L$703,10,FALSE)</f>
        <v>#N/A</v>
      </c>
      <c r="M2262" s="18" t="e">
        <f>VLOOKUP(A2262,Revisión!$A$2:$L$703,11,FALSE)</f>
        <v>#N/A</v>
      </c>
      <c r="N2262" s="30" t="str">
        <f>IF(E2262="Coinciden",D2262,IF(E2262="Revisar",VLOOKUP(A2262,Revisión!$A$2:$L$703,12,FALSE),""))</f>
        <v>Trollius hondoensis</v>
      </c>
    </row>
    <row r="2263" spans="1:14" x14ac:dyDescent="0.3">
      <c r="A2263" t="s">
        <v>4645</v>
      </c>
      <c r="B2263" t="s">
        <v>4646</v>
      </c>
      <c r="C2263" t="s">
        <v>4646</v>
      </c>
      <c r="D2263" t="s">
        <v>4646</v>
      </c>
      <c r="E2263" t="s">
        <v>18</v>
      </c>
      <c r="F2263" t="s">
        <v>19</v>
      </c>
      <c r="H2263" s="23" t="e">
        <f>VLOOKUP(A2263,Revisión!$A$2:$L$703,6,FALSE)</f>
        <v>#N/A</v>
      </c>
      <c r="I2263" s="4" t="e">
        <f>VLOOKUP(A2263,Revisión!$A$2:$L$703,7,FALSE)</f>
        <v>#N/A</v>
      </c>
      <c r="J2263" s="4" t="e">
        <f>VLOOKUP(A2263,Revisión!$A$2:$L$703,8,FALSE)</f>
        <v>#N/A</v>
      </c>
      <c r="K2263" s="4" t="e">
        <f>VLOOKUP(A2263,Revisión!$A$2:$L$703,9,FALSE)</f>
        <v>#N/A</v>
      </c>
      <c r="L2263" s="4" t="e">
        <f>VLOOKUP(A2263,Revisión!$A$2:$L$703,10,FALSE)</f>
        <v>#N/A</v>
      </c>
      <c r="M2263" s="18" t="e">
        <f>VLOOKUP(A2263,Revisión!$A$2:$L$703,11,FALSE)</f>
        <v>#N/A</v>
      </c>
      <c r="N2263" s="30" t="str">
        <f>IF(E2263="Coinciden",D2263,IF(E2263="Revisar",VLOOKUP(A2263,Revisión!$A$2:$L$703,12,FALSE),""))</f>
        <v>Tropaeolum polyphyllum</v>
      </c>
    </row>
    <row r="2264" spans="1:14" x14ac:dyDescent="0.3">
      <c r="A2264" t="s">
        <v>4647</v>
      </c>
      <c r="B2264" t="s">
        <v>4648</v>
      </c>
      <c r="C2264" t="s">
        <v>4648</v>
      </c>
      <c r="D2264" t="s">
        <v>4648</v>
      </c>
      <c r="E2264" t="s">
        <v>18</v>
      </c>
      <c r="F2264" t="s">
        <v>19</v>
      </c>
      <c r="H2264" s="23" t="e">
        <f>VLOOKUP(A2264,Revisión!$A$2:$L$703,6,FALSE)</f>
        <v>#N/A</v>
      </c>
      <c r="I2264" s="4" t="e">
        <f>VLOOKUP(A2264,Revisión!$A$2:$L$703,7,FALSE)</f>
        <v>#N/A</v>
      </c>
      <c r="J2264" s="4" t="e">
        <f>VLOOKUP(A2264,Revisión!$A$2:$L$703,8,FALSE)</f>
        <v>#N/A</v>
      </c>
      <c r="K2264" s="4" t="e">
        <f>VLOOKUP(A2264,Revisión!$A$2:$L$703,9,FALSE)</f>
        <v>#N/A</v>
      </c>
      <c r="L2264" s="4" t="e">
        <f>VLOOKUP(A2264,Revisión!$A$2:$L$703,10,FALSE)</f>
        <v>#N/A</v>
      </c>
      <c r="M2264" s="18" t="e">
        <f>VLOOKUP(A2264,Revisión!$A$2:$L$703,11,FALSE)</f>
        <v>#N/A</v>
      </c>
      <c r="N2264" s="30" t="str">
        <f>IF(E2264="Coinciden",D2264,IF(E2264="Revisar",VLOOKUP(A2264,Revisión!$A$2:$L$703,12,FALSE),""))</f>
        <v>Tropaeolum sessilifolium</v>
      </c>
    </row>
    <row r="2265" spans="1:14" x14ac:dyDescent="0.3">
      <c r="A2265" t="s">
        <v>4649</v>
      </c>
      <c r="B2265" t="s">
        <v>4650</v>
      </c>
      <c r="C2265" t="s">
        <v>4650</v>
      </c>
      <c r="D2265" t="s">
        <v>4650</v>
      </c>
      <c r="E2265" t="s">
        <v>18</v>
      </c>
      <c r="F2265" t="s">
        <v>19</v>
      </c>
      <c r="H2265" s="23" t="e">
        <f>VLOOKUP(A2265,Revisión!$A$2:$L$703,6,FALSE)</f>
        <v>#N/A</v>
      </c>
      <c r="I2265" s="4" t="e">
        <f>VLOOKUP(A2265,Revisión!$A$2:$L$703,7,FALSE)</f>
        <v>#N/A</v>
      </c>
      <c r="J2265" s="4" t="e">
        <f>VLOOKUP(A2265,Revisión!$A$2:$L$703,8,FALSE)</f>
        <v>#N/A</v>
      </c>
      <c r="K2265" s="4" t="e">
        <f>VLOOKUP(A2265,Revisión!$A$2:$L$703,9,FALSE)</f>
        <v>#N/A</v>
      </c>
      <c r="L2265" s="4" t="e">
        <f>VLOOKUP(A2265,Revisión!$A$2:$L$703,10,FALSE)</f>
        <v>#N/A</v>
      </c>
      <c r="M2265" s="18" t="e">
        <f>VLOOKUP(A2265,Revisión!$A$2:$L$703,11,FALSE)</f>
        <v>#N/A</v>
      </c>
      <c r="N2265" s="30" t="str">
        <f>IF(E2265="Coinciden",D2265,IF(E2265="Revisar",VLOOKUP(A2265,Revisión!$A$2:$L$703,12,FALSE),""))</f>
        <v>Tropaeolum tricolor</v>
      </c>
    </row>
    <row r="2266" spans="1:14" x14ac:dyDescent="0.3">
      <c r="A2266" t="s">
        <v>4651</v>
      </c>
      <c r="B2266" t="s">
        <v>4652</v>
      </c>
      <c r="C2266" t="s">
        <v>4652</v>
      </c>
      <c r="D2266" t="s">
        <v>4652</v>
      </c>
      <c r="E2266" t="s">
        <v>18</v>
      </c>
      <c r="F2266" t="s">
        <v>19</v>
      </c>
      <c r="H2266" s="23" t="e">
        <f>VLOOKUP(A2266,Revisión!$A$2:$L$703,6,FALSE)</f>
        <v>#N/A</v>
      </c>
      <c r="I2266" s="4" t="e">
        <f>VLOOKUP(A2266,Revisión!$A$2:$L$703,7,FALSE)</f>
        <v>#N/A</v>
      </c>
      <c r="J2266" s="4" t="e">
        <f>VLOOKUP(A2266,Revisión!$A$2:$L$703,8,FALSE)</f>
        <v>#N/A</v>
      </c>
      <c r="K2266" s="4" t="e">
        <f>VLOOKUP(A2266,Revisión!$A$2:$L$703,9,FALSE)</f>
        <v>#N/A</v>
      </c>
      <c r="L2266" s="4" t="e">
        <f>VLOOKUP(A2266,Revisión!$A$2:$L$703,10,FALSE)</f>
        <v>#N/A</v>
      </c>
      <c r="M2266" s="18" t="e">
        <f>VLOOKUP(A2266,Revisión!$A$2:$L$703,11,FALSE)</f>
        <v>#N/A</v>
      </c>
      <c r="N2266" s="30" t="str">
        <f>IF(E2266="Coinciden",D2266,IF(E2266="Revisar",VLOOKUP(A2266,Revisión!$A$2:$L$703,12,FALSE),""))</f>
        <v>Turnera sidoides subsp. pinnatifida</v>
      </c>
    </row>
    <row r="2267" spans="1:14" x14ac:dyDescent="0.3">
      <c r="A2267" t="s">
        <v>4653</v>
      </c>
      <c r="B2267" t="s">
        <v>4654</v>
      </c>
      <c r="C2267" t="s">
        <v>4655</v>
      </c>
      <c r="D2267" t="s">
        <v>4655</v>
      </c>
      <c r="E2267" t="s">
        <v>8</v>
      </c>
      <c r="F2267" t="s">
        <v>23</v>
      </c>
      <c r="H2267" s="23" t="str">
        <f>VLOOKUP(A2267,Revisión!$A$2:$L$703,6,FALSE)</f>
        <v>Turnera ulmifolia</v>
      </c>
      <c r="I2267" s="4" t="str">
        <f>VLOOKUP(A2267,Revisión!$A$2:$L$703,7,FALSE)</f>
        <v>-</v>
      </c>
      <c r="J2267" s="4" t="str">
        <f>VLOOKUP(A2267,Revisión!$A$2:$L$703,8,FALSE)</f>
        <v>Turnera ulmifolia var. angustifolia</v>
      </c>
      <c r="K2267" s="4" t="str">
        <f>VLOOKUP(A2267,Revisión!$A$2:$L$703,9,FALSE)</f>
        <v>Turnera ulmifolia</v>
      </c>
      <c r="L2267" s="4" t="str">
        <f>VLOOKUP(A2267,Revisión!$A$2:$L$703,10,FALSE)</f>
        <v>Turnera ulmifolia</v>
      </c>
      <c r="M2267" s="18">
        <f>VLOOKUP(A2267,Revisión!$A$2:$L$703,11,FALSE)</f>
        <v>4</v>
      </c>
      <c r="N2267" s="30" t="str">
        <f>IF(E2267="Coinciden",D2267,IF(E2267="Revisar",VLOOKUP(A2267,Revisión!$A$2:$L$703,12,FALSE),""))</f>
        <v>Turnera ulmifolia</v>
      </c>
    </row>
    <row r="2268" spans="1:14" x14ac:dyDescent="0.3">
      <c r="A2268" t="s">
        <v>4656</v>
      </c>
      <c r="B2268" t="s">
        <v>4654</v>
      </c>
      <c r="C2268" t="s">
        <v>4654</v>
      </c>
      <c r="D2268" t="s">
        <v>4654</v>
      </c>
      <c r="E2268" t="s">
        <v>18</v>
      </c>
      <c r="F2268" t="s">
        <v>19</v>
      </c>
      <c r="H2268" s="23" t="e">
        <f>VLOOKUP(A2268,Revisión!$A$2:$L$703,6,FALSE)</f>
        <v>#N/A</v>
      </c>
      <c r="I2268" s="4" t="e">
        <f>VLOOKUP(A2268,Revisión!$A$2:$L$703,7,FALSE)</f>
        <v>#N/A</v>
      </c>
      <c r="J2268" s="4" t="e">
        <f>VLOOKUP(A2268,Revisión!$A$2:$L$703,8,FALSE)</f>
        <v>#N/A</v>
      </c>
      <c r="K2268" s="4" t="e">
        <f>VLOOKUP(A2268,Revisión!$A$2:$L$703,9,FALSE)</f>
        <v>#N/A</v>
      </c>
      <c r="L2268" s="4" t="e">
        <f>VLOOKUP(A2268,Revisión!$A$2:$L$703,10,FALSE)</f>
        <v>#N/A</v>
      </c>
      <c r="M2268" s="18" t="e">
        <f>VLOOKUP(A2268,Revisión!$A$2:$L$703,11,FALSE)</f>
        <v>#N/A</v>
      </c>
      <c r="N2268" s="30" t="str">
        <f>IF(E2268="Coinciden",D2268,IF(E2268="Revisar",VLOOKUP(A2268,Revisión!$A$2:$L$703,12,FALSE),""))</f>
        <v>Turnera ulmifolia</v>
      </c>
    </row>
    <row r="2269" spans="1:14" x14ac:dyDescent="0.3">
      <c r="A2269" t="s">
        <v>4657</v>
      </c>
      <c r="B2269" t="s">
        <v>4658</v>
      </c>
      <c r="C2269" t="s">
        <v>4658</v>
      </c>
      <c r="D2269" t="s">
        <v>4658</v>
      </c>
      <c r="E2269" t="s">
        <v>18</v>
      </c>
      <c r="F2269" t="s">
        <v>19</v>
      </c>
      <c r="H2269" s="23" t="e">
        <f>VLOOKUP(A2269,Revisión!$A$2:$L$703,6,FALSE)</f>
        <v>#N/A</v>
      </c>
      <c r="I2269" s="4" t="e">
        <f>VLOOKUP(A2269,Revisión!$A$2:$L$703,7,FALSE)</f>
        <v>#N/A</v>
      </c>
      <c r="J2269" s="4" t="e">
        <f>VLOOKUP(A2269,Revisión!$A$2:$L$703,8,FALSE)</f>
        <v>#N/A</v>
      </c>
      <c r="K2269" s="4" t="e">
        <f>VLOOKUP(A2269,Revisión!$A$2:$L$703,9,FALSE)</f>
        <v>#N/A</v>
      </c>
      <c r="L2269" s="4" t="e">
        <f>VLOOKUP(A2269,Revisión!$A$2:$L$703,10,FALSE)</f>
        <v>#N/A</v>
      </c>
      <c r="M2269" s="18" t="e">
        <f>VLOOKUP(A2269,Revisión!$A$2:$L$703,11,FALSE)</f>
        <v>#N/A</v>
      </c>
      <c r="N2269" s="30" t="str">
        <f>IF(E2269="Coinciden",D2269,IF(E2269="Revisar",VLOOKUP(A2269,Revisión!$A$2:$L$703,12,FALSE),""))</f>
        <v>Turraea rigida</v>
      </c>
    </row>
    <row r="2270" spans="1:14" x14ac:dyDescent="0.3">
      <c r="A2270" t="s">
        <v>4659</v>
      </c>
      <c r="B2270" t="s">
        <v>4660</v>
      </c>
      <c r="C2270" t="s">
        <v>4660</v>
      </c>
      <c r="D2270" t="s">
        <v>4660</v>
      </c>
      <c r="E2270" t="s">
        <v>18</v>
      </c>
      <c r="F2270" t="s">
        <v>19</v>
      </c>
      <c r="H2270" s="23" t="e">
        <f>VLOOKUP(A2270,Revisión!$A$2:$L$703,6,FALSE)</f>
        <v>#N/A</v>
      </c>
      <c r="I2270" s="4" t="e">
        <f>VLOOKUP(A2270,Revisión!$A$2:$L$703,7,FALSE)</f>
        <v>#N/A</v>
      </c>
      <c r="J2270" s="4" t="e">
        <f>VLOOKUP(A2270,Revisión!$A$2:$L$703,8,FALSE)</f>
        <v>#N/A</v>
      </c>
      <c r="K2270" s="4" t="e">
        <f>VLOOKUP(A2270,Revisión!$A$2:$L$703,9,FALSE)</f>
        <v>#N/A</v>
      </c>
      <c r="L2270" s="4" t="e">
        <f>VLOOKUP(A2270,Revisión!$A$2:$L$703,10,FALSE)</f>
        <v>#N/A</v>
      </c>
      <c r="M2270" s="18" t="e">
        <f>VLOOKUP(A2270,Revisión!$A$2:$L$703,11,FALSE)</f>
        <v>#N/A</v>
      </c>
      <c r="N2270" s="30" t="str">
        <f>IF(E2270="Coinciden",D2270,IF(E2270="Revisar",VLOOKUP(A2270,Revisión!$A$2:$L$703,12,FALSE),""))</f>
        <v>Typha angustifolia</v>
      </c>
    </row>
    <row r="2271" spans="1:14" x14ac:dyDescent="0.3">
      <c r="A2271" t="s">
        <v>4661</v>
      </c>
      <c r="C2271" t="s">
        <v>4662</v>
      </c>
      <c r="D2271" t="s">
        <v>4662</v>
      </c>
      <c r="E2271" t="s">
        <v>8</v>
      </c>
      <c r="F2271" t="s">
        <v>49</v>
      </c>
      <c r="H2271" s="23" t="str">
        <f>VLOOKUP(A2271,Revisión!$A$2:$L$703,6,FALSE)</f>
        <v>Ayenia scabra</v>
      </c>
      <c r="I2271" s="4" t="str">
        <f>VLOOKUP(A2271,Revisión!$A$2:$L$703,7,FALSE)</f>
        <v>-</v>
      </c>
      <c r="J2271" s="4" t="str">
        <f>VLOOKUP(A2271,Revisión!$A$2:$L$703,8,FALSE)</f>
        <v>Ayenia scabra</v>
      </c>
      <c r="K2271" s="4" t="str">
        <f>VLOOKUP(A2271,Revisión!$A$2:$L$703,9,FALSE)</f>
        <v>Ayenia scabra</v>
      </c>
      <c r="L2271" s="4" t="str">
        <f>VLOOKUP(A2271,Revisión!$A$2:$L$703,10,FALSE)</f>
        <v>Byttneria scabra</v>
      </c>
      <c r="M2271" s="18">
        <f>VLOOKUP(A2271,Revisión!$A$2:$L$703,11,FALSE)</f>
        <v>3</v>
      </c>
      <c r="N2271" s="30" t="str">
        <f>IF(E2271="Coinciden",D2271,IF(E2271="Revisar",VLOOKUP(A2271,Revisión!$A$2:$L$703,12,FALSE),""))</f>
        <v>Ayenia scabra</v>
      </c>
    </row>
    <row r="2272" spans="1:14" x14ac:dyDescent="0.3">
      <c r="A2272" t="s">
        <v>4663</v>
      </c>
      <c r="B2272" t="s">
        <v>4664</v>
      </c>
      <c r="C2272" t="s">
        <v>4664</v>
      </c>
      <c r="D2272" t="s">
        <v>4664</v>
      </c>
      <c r="E2272" t="s">
        <v>18</v>
      </c>
      <c r="F2272" t="s">
        <v>19</v>
      </c>
      <c r="H2272" s="23" t="e">
        <f>VLOOKUP(A2272,Revisión!$A$2:$L$703,6,FALSE)</f>
        <v>#N/A</v>
      </c>
      <c r="I2272" s="4" t="e">
        <f>VLOOKUP(A2272,Revisión!$A$2:$L$703,7,FALSE)</f>
        <v>#N/A</v>
      </c>
      <c r="J2272" s="4" t="e">
        <f>VLOOKUP(A2272,Revisión!$A$2:$L$703,8,FALSE)</f>
        <v>#N/A</v>
      </c>
      <c r="K2272" s="4" t="e">
        <f>VLOOKUP(A2272,Revisión!$A$2:$L$703,9,FALSE)</f>
        <v>#N/A</v>
      </c>
      <c r="L2272" s="4" t="e">
        <f>VLOOKUP(A2272,Revisión!$A$2:$L$703,10,FALSE)</f>
        <v>#N/A</v>
      </c>
      <c r="M2272" s="18" t="e">
        <f>VLOOKUP(A2272,Revisión!$A$2:$L$703,11,FALSE)</f>
        <v>#N/A</v>
      </c>
      <c r="N2272" s="30" t="str">
        <f>IF(E2272="Coinciden",D2272,IF(E2272="Revisar",VLOOKUP(A2272,Revisión!$A$2:$L$703,12,FALSE),""))</f>
        <v>Ugni candollei</v>
      </c>
    </row>
    <row r="2273" spans="1:14" x14ac:dyDescent="0.3">
      <c r="A2273" t="s">
        <v>4665</v>
      </c>
      <c r="B2273" t="s">
        <v>4666</v>
      </c>
      <c r="C2273" t="s">
        <v>4666</v>
      </c>
      <c r="D2273" t="s">
        <v>4666</v>
      </c>
      <c r="E2273" t="s">
        <v>18</v>
      </c>
      <c r="F2273" t="s">
        <v>19</v>
      </c>
      <c r="H2273" s="23" t="e">
        <f>VLOOKUP(A2273,Revisión!$A$2:$L$703,6,FALSE)</f>
        <v>#N/A</v>
      </c>
      <c r="I2273" s="4" t="e">
        <f>VLOOKUP(A2273,Revisión!$A$2:$L$703,7,FALSE)</f>
        <v>#N/A</v>
      </c>
      <c r="J2273" s="4" t="e">
        <f>VLOOKUP(A2273,Revisión!$A$2:$L$703,8,FALSE)</f>
        <v>#N/A</v>
      </c>
      <c r="K2273" s="4" t="e">
        <f>VLOOKUP(A2273,Revisión!$A$2:$L$703,9,FALSE)</f>
        <v>#N/A</v>
      </c>
      <c r="L2273" s="4" t="e">
        <f>VLOOKUP(A2273,Revisión!$A$2:$L$703,10,FALSE)</f>
        <v>#N/A</v>
      </c>
      <c r="M2273" s="18" t="e">
        <f>VLOOKUP(A2273,Revisión!$A$2:$L$703,11,FALSE)</f>
        <v>#N/A</v>
      </c>
      <c r="N2273" s="30" t="str">
        <f>IF(E2273="Coinciden",D2273,IF(E2273="Revisar",VLOOKUP(A2273,Revisión!$A$2:$L$703,12,FALSE),""))</f>
        <v>Ugni molinae</v>
      </c>
    </row>
    <row r="2274" spans="1:14" x14ac:dyDescent="0.3">
      <c r="A2274" t="s">
        <v>4667</v>
      </c>
      <c r="B2274" t="s">
        <v>4668</v>
      </c>
      <c r="C2274" t="s">
        <v>4668</v>
      </c>
      <c r="D2274" t="s">
        <v>4668</v>
      </c>
      <c r="E2274" t="s">
        <v>18</v>
      </c>
      <c r="F2274" t="s">
        <v>19</v>
      </c>
      <c r="H2274" s="23" t="e">
        <f>VLOOKUP(A2274,Revisión!$A$2:$L$703,6,FALSE)</f>
        <v>#N/A</v>
      </c>
      <c r="I2274" s="4" t="e">
        <f>VLOOKUP(A2274,Revisión!$A$2:$L$703,7,FALSE)</f>
        <v>#N/A</v>
      </c>
      <c r="J2274" s="4" t="e">
        <f>VLOOKUP(A2274,Revisión!$A$2:$L$703,8,FALSE)</f>
        <v>#N/A</v>
      </c>
      <c r="K2274" s="4" t="e">
        <f>VLOOKUP(A2274,Revisión!$A$2:$L$703,9,FALSE)</f>
        <v>#N/A</v>
      </c>
      <c r="L2274" s="4" t="e">
        <f>VLOOKUP(A2274,Revisión!$A$2:$L$703,10,FALSE)</f>
        <v>#N/A</v>
      </c>
      <c r="M2274" s="18" t="e">
        <f>VLOOKUP(A2274,Revisión!$A$2:$L$703,11,FALSE)</f>
        <v>#N/A</v>
      </c>
      <c r="N2274" s="30" t="str">
        <f>IF(E2274="Coinciden",D2274,IF(E2274="Revisar",VLOOKUP(A2274,Revisión!$A$2:$L$703,12,FALSE),""))</f>
        <v>Ulex parviflorus</v>
      </c>
    </row>
    <row r="2275" spans="1:14" x14ac:dyDescent="0.3">
      <c r="A2275" t="s">
        <v>4669</v>
      </c>
      <c r="B2275" t="s">
        <v>4670</v>
      </c>
      <c r="C2275" t="s">
        <v>4670</v>
      </c>
      <c r="D2275" t="s">
        <v>4670</v>
      </c>
      <c r="E2275" t="s">
        <v>18</v>
      </c>
      <c r="F2275" t="s">
        <v>19</v>
      </c>
      <c r="H2275" s="23" t="e">
        <f>VLOOKUP(A2275,Revisión!$A$2:$L$703,6,FALSE)</f>
        <v>#N/A</v>
      </c>
      <c r="I2275" s="4" t="e">
        <f>VLOOKUP(A2275,Revisión!$A$2:$L$703,7,FALSE)</f>
        <v>#N/A</v>
      </c>
      <c r="J2275" s="4" t="e">
        <f>VLOOKUP(A2275,Revisión!$A$2:$L$703,8,FALSE)</f>
        <v>#N/A</v>
      </c>
      <c r="K2275" s="4" t="e">
        <f>VLOOKUP(A2275,Revisión!$A$2:$L$703,9,FALSE)</f>
        <v>#N/A</v>
      </c>
      <c r="L2275" s="4" t="e">
        <f>VLOOKUP(A2275,Revisión!$A$2:$L$703,10,FALSE)</f>
        <v>#N/A</v>
      </c>
      <c r="M2275" s="18" t="e">
        <f>VLOOKUP(A2275,Revisión!$A$2:$L$703,11,FALSE)</f>
        <v>#N/A</v>
      </c>
      <c r="N2275" s="30" t="str">
        <f>IF(E2275="Coinciden",D2275,IF(E2275="Revisar",VLOOKUP(A2275,Revisión!$A$2:$L$703,12,FALSE),""))</f>
        <v>Ulex minor</v>
      </c>
    </row>
    <row r="2276" spans="1:14" x14ac:dyDescent="0.3">
      <c r="A2276" t="s">
        <v>4671</v>
      </c>
      <c r="B2276" t="s">
        <v>4672</v>
      </c>
      <c r="C2276" t="s">
        <v>4672</v>
      </c>
      <c r="D2276" t="s">
        <v>4672</v>
      </c>
      <c r="E2276" t="s">
        <v>18</v>
      </c>
      <c r="F2276" t="s">
        <v>19</v>
      </c>
      <c r="H2276" s="23" t="e">
        <f>VLOOKUP(A2276,Revisión!$A$2:$L$703,6,FALSE)</f>
        <v>#N/A</v>
      </c>
      <c r="I2276" s="4" t="e">
        <f>VLOOKUP(A2276,Revisión!$A$2:$L$703,7,FALSE)</f>
        <v>#N/A</v>
      </c>
      <c r="J2276" s="4" t="e">
        <f>VLOOKUP(A2276,Revisión!$A$2:$L$703,8,FALSE)</f>
        <v>#N/A</v>
      </c>
      <c r="K2276" s="4" t="e">
        <f>VLOOKUP(A2276,Revisión!$A$2:$L$703,9,FALSE)</f>
        <v>#N/A</v>
      </c>
      <c r="L2276" s="4" t="e">
        <f>VLOOKUP(A2276,Revisión!$A$2:$L$703,10,FALSE)</f>
        <v>#N/A</v>
      </c>
      <c r="M2276" s="18" t="e">
        <f>VLOOKUP(A2276,Revisión!$A$2:$L$703,11,FALSE)</f>
        <v>#N/A</v>
      </c>
      <c r="N2276" s="30" t="str">
        <f>IF(E2276="Coinciden",D2276,IF(E2276="Revisar",VLOOKUP(A2276,Revisión!$A$2:$L$703,12,FALSE),""))</f>
        <v>Ulmus davidiana</v>
      </c>
    </row>
    <row r="2277" spans="1:14" x14ac:dyDescent="0.3">
      <c r="A2277" t="s">
        <v>4673</v>
      </c>
      <c r="B2277" t="s">
        <v>4674</v>
      </c>
      <c r="C2277" t="s">
        <v>4674</v>
      </c>
      <c r="D2277" t="s">
        <v>4674</v>
      </c>
      <c r="E2277" t="s">
        <v>18</v>
      </c>
      <c r="F2277" t="s">
        <v>19</v>
      </c>
      <c r="H2277" s="23" t="e">
        <f>VLOOKUP(A2277,Revisión!$A$2:$L$703,6,FALSE)</f>
        <v>#N/A</v>
      </c>
      <c r="I2277" s="4" t="e">
        <f>VLOOKUP(A2277,Revisión!$A$2:$L$703,7,FALSE)</f>
        <v>#N/A</v>
      </c>
      <c r="J2277" s="4" t="e">
        <f>VLOOKUP(A2277,Revisión!$A$2:$L$703,8,FALSE)</f>
        <v>#N/A</v>
      </c>
      <c r="K2277" s="4" t="e">
        <f>VLOOKUP(A2277,Revisión!$A$2:$L$703,9,FALSE)</f>
        <v>#N/A</v>
      </c>
      <c r="L2277" s="4" t="e">
        <f>VLOOKUP(A2277,Revisión!$A$2:$L$703,10,FALSE)</f>
        <v>#N/A</v>
      </c>
      <c r="M2277" s="18" t="e">
        <f>VLOOKUP(A2277,Revisión!$A$2:$L$703,11,FALSE)</f>
        <v>#N/A</v>
      </c>
      <c r="N2277" s="30" t="str">
        <f>IF(E2277="Coinciden",D2277,IF(E2277="Revisar",VLOOKUP(A2277,Revisión!$A$2:$L$703,12,FALSE),""))</f>
        <v>Ulmus rubra</v>
      </c>
    </row>
    <row r="2278" spans="1:14" x14ac:dyDescent="0.3">
      <c r="A2278" t="s">
        <v>4675</v>
      </c>
      <c r="B2278" t="s">
        <v>4676</v>
      </c>
      <c r="C2278" t="s">
        <v>4676</v>
      </c>
      <c r="D2278" t="s">
        <v>4676</v>
      </c>
      <c r="E2278" t="s">
        <v>18</v>
      </c>
      <c r="F2278" t="s">
        <v>19</v>
      </c>
      <c r="H2278" s="23" t="e">
        <f>VLOOKUP(A2278,Revisión!$A$2:$L$703,6,FALSE)</f>
        <v>#N/A</v>
      </c>
      <c r="I2278" s="4" t="e">
        <f>VLOOKUP(A2278,Revisión!$A$2:$L$703,7,FALSE)</f>
        <v>#N/A</v>
      </c>
      <c r="J2278" s="4" t="e">
        <f>VLOOKUP(A2278,Revisión!$A$2:$L$703,8,FALSE)</f>
        <v>#N/A</v>
      </c>
      <c r="K2278" s="4" t="e">
        <f>VLOOKUP(A2278,Revisión!$A$2:$L$703,9,FALSE)</f>
        <v>#N/A</v>
      </c>
      <c r="L2278" s="4" t="e">
        <f>VLOOKUP(A2278,Revisión!$A$2:$L$703,10,FALSE)</f>
        <v>#N/A</v>
      </c>
      <c r="M2278" s="18" t="e">
        <f>VLOOKUP(A2278,Revisión!$A$2:$L$703,11,FALSE)</f>
        <v>#N/A</v>
      </c>
      <c r="N2278" s="30" t="str">
        <f>IF(E2278="Coinciden",D2278,IF(E2278="Revisar",VLOOKUP(A2278,Revisión!$A$2:$L$703,12,FALSE),""))</f>
        <v>Ulmus americana</v>
      </c>
    </row>
    <row r="2279" spans="1:14" x14ac:dyDescent="0.3">
      <c r="A2279" t="s">
        <v>4677</v>
      </c>
      <c r="B2279" t="s">
        <v>4678</v>
      </c>
      <c r="C2279" t="s">
        <v>4678</v>
      </c>
      <c r="D2279" t="s">
        <v>4678</v>
      </c>
      <c r="E2279" t="s">
        <v>18</v>
      </c>
      <c r="F2279" t="s">
        <v>19</v>
      </c>
      <c r="H2279" s="23" t="e">
        <f>VLOOKUP(A2279,Revisión!$A$2:$L$703,6,FALSE)</f>
        <v>#N/A</v>
      </c>
      <c r="I2279" s="4" t="e">
        <f>VLOOKUP(A2279,Revisión!$A$2:$L$703,7,FALSE)</f>
        <v>#N/A</v>
      </c>
      <c r="J2279" s="4" t="e">
        <f>VLOOKUP(A2279,Revisión!$A$2:$L$703,8,FALSE)</f>
        <v>#N/A</v>
      </c>
      <c r="K2279" s="4" t="e">
        <f>VLOOKUP(A2279,Revisión!$A$2:$L$703,9,FALSE)</f>
        <v>#N/A</v>
      </c>
      <c r="L2279" s="4" t="e">
        <f>VLOOKUP(A2279,Revisión!$A$2:$L$703,10,FALSE)</f>
        <v>#N/A</v>
      </c>
      <c r="M2279" s="18" t="e">
        <f>VLOOKUP(A2279,Revisión!$A$2:$L$703,11,FALSE)</f>
        <v>#N/A</v>
      </c>
      <c r="N2279" s="30" t="str">
        <f>IF(E2279="Coinciden",D2279,IF(E2279="Revisar",VLOOKUP(A2279,Revisión!$A$2:$L$703,12,FALSE),""))</f>
        <v>Pentalinon luteum</v>
      </c>
    </row>
    <row r="2280" spans="1:14" x14ac:dyDescent="0.3">
      <c r="A2280" t="s">
        <v>4679</v>
      </c>
      <c r="B2280" t="s">
        <v>4680</v>
      </c>
      <c r="C2280" t="s">
        <v>4680</v>
      </c>
      <c r="D2280" t="s">
        <v>4681</v>
      </c>
      <c r="E2280" t="s">
        <v>8</v>
      </c>
      <c r="F2280" t="s">
        <v>15</v>
      </c>
      <c r="H2280" s="23" t="str">
        <f>VLOOKUP(A2280,Revisión!$A$2:$L$703,6,FALSE)</f>
        <v>Drimia maritima</v>
      </c>
      <c r="I2280" s="4" t="str">
        <f>VLOOKUP(A2280,Revisión!$A$2:$L$703,7,FALSE)</f>
        <v>-</v>
      </c>
      <c r="J2280" s="4" t="str">
        <f>VLOOKUP(A2280,Revisión!$A$2:$L$703,8,FALSE)</f>
        <v>Drimia maritima</v>
      </c>
      <c r="K2280" s="4" t="str">
        <f>VLOOKUP(A2280,Revisión!$A$2:$L$703,9,FALSE)</f>
        <v>Drimia maritima</v>
      </c>
      <c r="L2280" s="4" t="str">
        <f>VLOOKUP(A2280,Revisión!$A$2:$L$703,10,FALSE)</f>
        <v>Squilla maritima </v>
      </c>
      <c r="M2280" s="18">
        <f>VLOOKUP(A2280,Revisión!$A$2:$L$703,11,FALSE)</f>
        <v>4</v>
      </c>
      <c r="N2280" s="30" t="str">
        <f>IF(E2280="Coinciden",D2280,IF(E2280="Revisar",VLOOKUP(A2280,Revisión!$A$2:$L$703,12,FALSE),""))</f>
        <v>Drimia maritima</v>
      </c>
    </row>
    <row r="2281" spans="1:14" x14ac:dyDescent="0.3">
      <c r="A2281" t="s">
        <v>4682</v>
      </c>
      <c r="C2281" t="s">
        <v>4683</v>
      </c>
      <c r="D2281" t="s">
        <v>4683</v>
      </c>
      <c r="E2281" t="s">
        <v>8</v>
      </c>
      <c r="F2281" t="s">
        <v>49</v>
      </c>
      <c r="H2281" s="23" t="str">
        <f>VLOOKUP(A2281,Revisión!$A$2:$L$703,6,FALSE)</f>
        <v>Urospermum picroides</v>
      </c>
      <c r="I2281" s="4" t="str">
        <f>VLOOKUP(A2281,Revisión!$A$2:$L$703,7,FALSE)</f>
        <v>-</v>
      </c>
      <c r="J2281" s="4" t="str">
        <f>VLOOKUP(A2281,Revisión!$A$2:$L$703,8,FALSE)</f>
        <v>Urospermum picroides</v>
      </c>
      <c r="K2281" s="4" t="str">
        <f>VLOOKUP(A2281,Revisión!$A$2:$L$703,9,FALSE)</f>
        <v>Urospermum picroides</v>
      </c>
      <c r="L2281" s="4" t="str">
        <f>VLOOKUP(A2281,Revisión!$A$2:$L$703,10,FALSE)</f>
        <v>Urospermum picroides</v>
      </c>
      <c r="M2281" s="18">
        <f>VLOOKUP(A2281,Revisión!$A$2:$L$703,11,FALSE)</f>
        <v>5</v>
      </c>
      <c r="N2281" s="30" t="str">
        <f>IF(E2281="Coinciden",D2281,IF(E2281="Revisar",VLOOKUP(A2281,Revisión!$A$2:$L$703,12,FALSE),""))</f>
        <v>Urospermum picroides</v>
      </c>
    </row>
    <row r="2282" spans="1:14" x14ac:dyDescent="0.3">
      <c r="A2282" t="s">
        <v>4684</v>
      </c>
      <c r="B2282" t="s">
        <v>4685</v>
      </c>
      <c r="C2282" t="s">
        <v>4685</v>
      </c>
      <c r="D2282" t="s">
        <v>4685</v>
      </c>
      <c r="E2282" t="s">
        <v>18</v>
      </c>
      <c r="F2282" t="s">
        <v>19</v>
      </c>
      <c r="H2282" s="23" t="e">
        <f>VLOOKUP(A2282,Revisión!$A$2:$L$703,6,FALSE)</f>
        <v>#N/A</v>
      </c>
      <c r="I2282" s="4" t="e">
        <f>VLOOKUP(A2282,Revisión!$A$2:$L$703,7,FALSE)</f>
        <v>#N/A</v>
      </c>
      <c r="J2282" s="4" t="e">
        <f>VLOOKUP(A2282,Revisión!$A$2:$L$703,8,FALSE)</f>
        <v>#N/A</v>
      </c>
      <c r="K2282" s="4" t="e">
        <f>VLOOKUP(A2282,Revisión!$A$2:$L$703,9,FALSE)</f>
        <v>#N/A</v>
      </c>
      <c r="L2282" s="4" t="e">
        <f>VLOOKUP(A2282,Revisión!$A$2:$L$703,10,FALSE)</f>
        <v>#N/A</v>
      </c>
      <c r="M2282" s="18" t="e">
        <f>VLOOKUP(A2282,Revisión!$A$2:$L$703,11,FALSE)</f>
        <v>#N/A</v>
      </c>
      <c r="N2282" s="30" t="str">
        <f>IF(E2282="Coinciden",D2282,IF(E2282="Revisar",VLOOKUP(A2282,Revisión!$A$2:$L$703,12,FALSE),""))</f>
        <v>Uvularia sessilifolia</v>
      </c>
    </row>
    <row r="2283" spans="1:14" x14ac:dyDescent="0.3">
      <c r="A2283" t="s">
        <v>4686</v>
      </c>
      <c r="B2283" t="s">
        <v>4687</v>
      </c>
      <c r="C2283" t="s">
        <v>4687</v>
      </c>
      <c r="D2283" t="s">
        <v>4687</v>
      </c>
      <c r="E2283" t="s">
        <v>18</v>
      </c>
      <c r="F2283" t="s">
        <v>19</v>
      </c>
      <c r="H2283" s="23" t="e">
        <f>VLOOKUP(A2283,Revisión!$A$2:$L$703,6,FALSE)</f>
        <v>#N/A</v>
      </c>
      <c r="I2283" s="4" t="e">
        <f>VLOOKUP(A2283,Revisión!$A$2:$L$703,7,FALSE)</f>
        <v>#N/A</v>
      </c>
      <c r="J2283" s="4" t="e">
        <f>VLOOKUP(A2283,Revisión!$A$2:$L$703,8,FALSE)</f>
        <v>#N/A</v>
      </c>
      <c r="K2283" s="4" t="e">
        <f>VLOOKUP(A2283,Revisión!$A$2:$L$703,9,FALSE)</f>
        <v>#N/A</v>
      </c>
      <c r="L2283" s="4" t="e">
        <f>VLOOKUP(A2283,Revisión!$A$2:$L$703,10,FALSE)</f>
        <v>#N/A</v>
      </c>
      <c r="M2283" s="18" t="e">
        <f>VLOOKUP(A2283,Revisión!$A$2:$L$703,11,FALSE)</f>
        <v>#N/A</v>
      </c>
      <c r="N2283" s="30" t="str">
        <f>IF(E2283="Coinciden",D2283,IF(E2283="Revisar",VLOOKUP(A2283,Revisión!$A$2:$L$703,12,FALSE),""))</f>
        <v>Uvularia grandiflora</v>
      </c>
    </row>
    <row r="2284" spans="1:14" x14ac:dyDescent="0.3">
      <c r="A2284" t="s">
        <v>4688</v>
      </c>
      <c r="B2284" t="s">
        <v>4689</v>
      </c>
      <c r="D2284" t="s">
        <v>4689</v>
      </c>
      <c r="E2284" t="s">
        <v>8</v>
      </c>
      <c r="F2284" t="s">
        <v>34</v>
      </c>
      <c r="H2284" s="23" t="str">
        <f>VLOOKUP(A2284,Revisión!$A$2:$L$703,6,FALSE)</f>
        <v>Vaccinium myrtilloides</v>
      </c>
      <c r="I2284" s="4" t="str">
        <f>VLOOKUP(A2284,Revisión!$A$2:$L$703,7,FALSE)</f>
        <v>-</v>
      </c>
      <c r="J2284" s="4" t="str">
        <f>VLOOKUP(A2284,Revisión!$A$2:$L$703,8,FALSE)</f>
        <v>Vaccinium myrtilloides</v>
      </c>
      <c r="K2284" s="4" t="str">
        <f>VLOOKUP(A2284,Revisión!$A$2:$L$703,9,FALSE)</f>
        <v>Vaccinium myrtilloides</v>
      </c>
      <c r="L2284" s="4" t="str">
        <f>VLOOKUP(A2284,Revisión!$A$2:$L$703,10,FALSE)</f>
        <v>Vaccinium myrtilloides</v>
      </c>
      <c r="M2284" s="18">
        <f>VLOOKUP(A2284,Revisión!$A$2:$L$703,11,FALSE)</f>
        <v>5</v>
      </c>
      <c r="N2284" s="30" t="str">
        <f>IF(E2284="Coinciden",D2284,IF(E2284="Revisar",VLOOKUP(A2284,Revisión!$A$2:$L$703,12,FALSE),""))</f>
        <v>Vaccinium myrtilloides</v>
      </c>
    </row>
    <row r="2285" spans="1:14" x14ac:dyDescent="0.3">
      <c r="A2285" t="s">
        <v>4690</v>
      </c>
      <c r="B2285" t="s">
        <v>4691</v>
      </c>
      <c r="D2285" t="s">
        <v>4691</v>
      </c>
      <c r="E2285" t="s">
        <v>8</v>
      </c>
      <c r="F2285" t="s">
        <v>34</v>
      </c>
      <c r="H2285" s="23" t="str">
        <f>VLOOKUP(A2285,Revisión!$A$2:$L$703,6,FALSE)</f>
        <v>Vaccinium wrightii</v>
      </c>
      <c r="I2285" s="4" t="str">
        <f>VLOOKUP(A2285,Revisión!$A$2:$L$703,7,FALSE)</f>
        <v>-</v>
      </c>
      <c r="J2285" s="4" t="str">
        <f>VLOOKUP(A2285,Revisión!$A$2:$L$703,8,FALSE)</f>
        <v>Vaccinium wrightii</v>
      </c>
      <c r="K2285" s="4" t="str">
        <f>VLOOKUP(A2285,Revisión!$A$2:$L$703,9,FALSE)</f>
        <v>Vaccinium wrightii</v>
      </c>
      <c r="L2285" s="4" t="str">
        <f>VLOOKUP(A2285,Revisión!$A$2:$L$703,10,FALSE)</f>
        <v>Vaccinium wrightii</v>
      </c>
      <c r="M2285" s="18">
        <f>VLOOKUP(A2285,Revisión!$A$2:$L$703,11,FALSE)</f>
        <v>4</v>
      </c>
      <c r="N2285" s="30" t="str">
        <f>IF(E2285="Coinciden",D2285,IF(E2285="Revisar",VLOOKUP(A2285,Revisión!$A$2:$L$703,12,FALSE),""))</f>
        <v>Vaccinium wrightii</v>
      </c>
    </row>
    <row r="2286" spans="1:14" x14ac:dyDescent="0.3">
      <c r="A2286" t="s">
        <v>4692</v>
      </c>
      <c r="B2286" t="s">
        <v>4693</v>
      </c>
      <c r="C2286" t="s">
        <v>4693</v>
      </c>
      <c r="D2286" t="s">
        <v>4693</v>
      </c>
      <c r="E2286" t="s">
        <v>18</v>
      </c>
      <c r="F2286" t="s">
        <v>19</v>
      </c>
      <c r="H2286" s="23" t="e">
        <f>VLOOKUP(A2286,Revisión!$A$2:$L$703,6,FALSE)</f>
        <v>#N/A</v>
      </c>
      <c r="I2286" s="4" t="e">
        <f>VLOOKUP(A2286,Revisión!$A$2:$L$703,7,FALSE)</f>
        <v>#N/A</v>
      </c>
      <c r="J2286" s="4" t="e">
        <f>VLOOKUP(A2286,Revisión!$A$2:$L$703,8,FALSE)</f>
        <v>#N/A</v>
      </c>
      <c r="K2286" s="4" t="e">
        <f>VLOOKUP(A2286,Revisión!$A$2:$L$703,9,FALSE)</f>
        <v>#N/A</v>
      </c>
      <c r="L2286" s="4" t="e">
        <f>VLOOKUP(A2286,Revisión!$A$2:$L$703,10,FALSE)</f>
        <v>#N/A</v>
      </c>
      <c r="M2286" s="18" t="e">
        <f>VLOOKUP(A2286,Revisión!$A$2:$L$703,11,FALSE)</f>
        <v>#N/A</v>
      </c>
      <c r="N2286" s="30" t="str">
        <f>IF(E2286="Coinciden",D2286,IF(E2286="Revisar",VLOOKUP(A2286,Revisión!$A$2:$L$703,12,FALSE),""))</f>
        <v>Vaccinium vitis-idaea</v>
      </c>
    </row>
    <row r="2287" spans="1:14" x14ac:dyDescent="0.3">
      <c r="A2287" t="s">
        <v>4694</v>
      </c>
      <c r="B2287" t="s">
        <v>4695</v>
      </c>
      <c r="C2287" t="s">
        <v>4695</v>
      </c>
      <c r="D2287" t="s">
        <v>4695</v>
      </c>
      <c r="E2287" t="s">
        <v>18</v>
      </c>
      <c r="F2287" t="s">
        <v>19</v>
      </c>
      <c r="H2287" s="23" t="e">
        <f>VLOOKUP(A2287,Revisión!$A$2:$L$703,6,FALSE)</f>
        <v>#N/A</v>
      </c>
      <c r="I2287" s="4" t="e">
        <f>VLOOKUP(A2287,Revisión!$A$2:$L$703,7,FALSE)</f>
        <v>#N/A</v>
      </c>
      <c r="J2287" s="4" t="e">
        <f>VLOOKUP(A2287,Revisión!$A$2:$L$703,8,FALSE)</f>
        <v>#N/A</v>
      </c>
      <c r="K2287" s="4" t="e">
        <f>VLOOKUP(A2287,Revisión!$A$2:$L$703,9,FALSE)</f>
        <v>#N/A</v>
      </c>
      <c r="L2287" s="4" t="e">
        <f>VLOOKUP(A2287,Revisión!$A$2:$L$703,10,FALSE)</f>
        <v>#N/A</v>
      </c>
      <c r="M2287" s="18" t="e">
        <f>VLOOKUP(A2287,Revisión!$A$2:$L$703,11,FALSE)</f>
        <v>#N/A</v>
      </c>
      <c r="N2287" s="30" t="str">
        <f>IF(E2287="Coinciden",D2287,IF(E2287="Revisar",VLOOKUP(A2287,Revisión!$A$2:$L$703,12,FALSE),""))</f>
        <v>Vaccinium uliginosum</v>
      </c>
    </row>
    <row r="2288" spans="1:14" x14ac:dyDescent="0.3">
      <c r="A2288" t="s">
        <v>4696</v>
      </c>
      <c r="B2288" t="s">
        <v>4697</v>
      </c>
      <c r="C2288" t="s">
        <v>4697</v>
      </c>
      <c r="D2288" t="s">
        <v>4697</v>
      </c>
      <c r="E2288" t="s">
        <v>18</v>
      </c>
      <c r="F2288" t="s">
        <v>19</v>
      </c>
      <c r="H2288" s="23" t="e">
        <f>VLOOKUP(A2288,Revisión!$A$2:$L$703,6,FALSE)</f>
        <v>#N/A</v>
      </c>
      <c r="I2288" s="4" t="e">
        <f>VLOOKUP(A2288,Revisión!$A$2:$L$703,7,FALSE)</f>
        <v>#N/A</v>
      </c>
      <c r="J2288" s="4" t="e">
        <f>VLOOKUP(A2288,Revisión!$A$2:$L$703,8,FALSE)</f>
        <v>#N/A</v>
      </c>
      <c r="K2288" s="4" t="e">
        <f>VLOOKUP(A2288,Revisión!$A$2:$L$703,9,FALSE)</f>
        <v>#N/A</v>
      </c>
      <c r="L2288" s="4" t="e">
        <f>VLOOKUP(A2288,Revisión!$A$2:$L$703,10,FALSE)</f>
        <v>#N/A</v>
      </c>
      <c r="M2288" s="18" t="e">
        <f>VLOOKUP(A2288,Revisión!$A$2:$L$703,11,FALSE)</f>
        <v>#N/A</v>
      </c>
      <c r="N2288" s="30" t="str">
        <f>IF(E2288="Coinciden",D2288,IF(E2288="Revisar",VLOOKUP(A2288,Revisión!$A$2:$L$703,12,FALSE),""))</f>
        <v>Vaccinium puberulum</v>
      </c>
    </row>
    <row r="2289" spans="1:14" x14ac:dyDescent="0.3">
      <c r="A2289" t="s">
        <v>4698</v>
      </c>
      <c r="B2289" t="s">
        <v>4699</v>
      </c>
      <c r="C2289" t="s">
        <v>4699</v>
      </c>
      <c r="D2289" t="s">
        <v>4699</v>
      </c>
      <c r="E2289" t="s">
        <v>18</v>
      </c>
      <c r="F2289" t="s">
        <v>19</v>
      </c>
      <c r="H2289" s="23" t="e">
        <f>VLOOKUP(A2289,Revisión!$A$2:$L$703,6,FALSE)</f>
        <v>#N/A</v>
      </c>
      <c r="I2289" s="4" t="e">
        <f>VLOOKUP(A2289,Revisión!$A$2:$L$703,7,FALSE)</f>
        <v>#N/A</v>
      </c>
      <c r="J2289" s="4" t="e">
        <f>VLOOKUP(A2289,Revisión!$A$2:$L$703,8,FALSE)</f>
        <v>#N/A</v>
      </c>
      <c r="K2289" s="4" t="e">
        <f>VLOOKUP(A2289,Revisión!$A$2:$L$703,9,FALSE)</f>
        <v>#N/A</v>
      </c>
      <c r="L2289" s="4" t="e">
        <f>VLOOKUP(A2289,Revisión!$A$2:$L$703,10,FALSE)</f>
        <v>#N/A</v>
      </c>
      <c r="M2289" s="18" t="e">
        <f>VLOOKUP(A2289,Revisión!$A$2:$L$703,11,FALSE)</f>
        <v>#N/A</v>
      </c>
      <c r="N2289" s="30" t="str">
        <f>IF(E2289="Coinciden",D2289,IF(E2289="Revisar",VLOOKUP(A2289,Revisión!$A$2:$L$703,12,FALSE),""))</f>
        <v>Vaccinium euryanthum</v>
      </c>
    </row>
    <row r="2290" spans="1:14" x14ac:dyDescent="0.3">
      <c r="A2290" t="s">
        <v>4700</v>
      </c>
      <c r="B2290" t="s">
        <v>4701</v>
      </c>
      <c r="C2290" t="s">
        <v>4701</v>
      </c>
      <c r="D2290" t="s">
        <v>4701</v>
      </c>
      <c r="E2290" t="s">
        <v>18</v>
      </c>
      <c r="F2290" t="s">
        <v>19</v>
      </c>
      <c r="H2290" s="23" t="e">
        <f>VLOOKUP(A2290,Revisión!$A$2:$L$703,6,FALSE)</f>
        <v>#N/A</v>
      </c>
      <c r="I2290" s="4" t="e">
        <f>VLOOKUP(A2290,Revisión!$A$2:$L$703,7,FALSE)</f>
        <v>#N/A</v>
      </c>
      <c r="J2290" s="4" t="e">
        <f>VLOOKUP(A2290,Revisión!$A$2:$L$703,8,FALSE)</f>
        <v>#N/A</v>
      </c>
      <c r="K2290" s="4" t="e">
        <f>VLOOKUP(A2290,Revisión!$A$2:$L$703,9,FALSE)</f>
        <v>#N/A</v>
      </c>
      <c r="L2290" s="4" t="e">
        <f>VLOOKUP(A2290,Revisión!$A$2:$L$703,10,FALSE)</f>
        <v>#N/A</v>
      </c>
      <c r="M2290" s="18" t="e">
        <f>VLOOKUP(A2290,Revisión!$A$2:$L$703,11,FALSE)</f>
        <v>#N/A</v>
      </c>
      <c r="N2290" s="30" t="str">
        <f>IF(E2290="Coinciden",D2290,IF(E2290="Revisar",VLOOKUP(A2290,Revisión!$A$2:$L$703,12,FALSE),""))</f>
        <v>Vaccinium myrtillus</v>
      </c>
    </row>
    <row r="2291" spans="1:14" x14ac:dyDescent="0.3">
      <c r="A2291" t="s">
        <v>4702</v>
      </c>
      <c r="B2291" t="s">
        <v>4703</v>
      </c>
      <c r="C2291" t="s">
        <v>4703</v>
      </c>
      <c r="D2291" t="s">
        <v>4703</v>
      </c>
      <c r="E2291" t="s">
        <v>18</v>
      </c>
      <c r="F2291" t="s">
        <v>19</v>
      </c>
      <c r="H2291" s="23" t="e">
        <f>VLOOKUP(A2291,Revisión!$A$2:$L$703,6,FALSE)</f>
        <v>#N/A</v>
      </c>
      <c r="I2291" s="4" t="e">
        <f>VLOOKUP(A2291,Revisión!$A$2:$L$703,7,FALSE)</f>
        <v>#N/A</v>
      </c>
      <c r="J2291" s="4" t="e">
        <f>VLOOKUP(A2291,Revisión!$A$2:$L$703,8,FALSE)</f>
        <v>#N/A</v>
      </c>
      <c r="K2291" s="4" t="e">
        <f>VLOOKUP(A2291,Revisión!$A$2:$L$703,9,FALSE)</f>
        <v>#N/A</v>
      </c>
      <c r="L2291" s="4" t="e">
        <f>VLOOKUP(A2291,Revisión!$A$2:$L$703,10,FALSE)</f>
        <v>#N/A</v>
      </c>
      <c r="M2291" s="18" t="e">
        <f>VLOOKUP(A2291,Revisión!$A$2:$L$703,11,FALSE)</f>
        <v>#N/A</v>
      </c>
      <c r="N2291" s="30" t="str">
        <f>IF(E2291="Coinciden",D2291,IF(E2291="Revisar",VLOOKUP(A2291,Revisión!$A$2:$L$703,12,FALSE),""))</f>
        <v>Vaccinium oldhamii</v>
      </c>
    </row>
    <row r="2292" spans="1:14" x14ac:dyDescent="0.3">
      <c r="A2292" t="s">
        <v>4704</v>
      </c>
      <c r="B2292" t="s">
        <v>4705</v>
      </c>
      <c r="C2292" t="s">
        <v>4705</v>
      </c>
      <c r="D2292" t="s">
        <v>4705</v>
      </c>
      <c r="E2292" t="s">
        <v>18</v>
      </c>
      <c r="F2292" t="s">
        <v>19</v>
      </c>
      <c r="H2292" s="23" t="e">
        <f>VLOOKUP(A2292,Revisión!$A$2:$L$703,6,FALSE)</f>
        <v>#N/A</v>
      </c>
      <c r="I2292" s="4" t="e">
        <f>VLOOKUP(A2292,Revisión!$A$2:$L$703,7,FALSE)</f>
        <v>#N/A</v>
      </c>
      <c r="J2292" s="4" t="e">
        <f>VLOOKUP(A2292,Revisión!$A$2:$L$703,8,FALSE)</f>
        <v>#N/A</v>
      </c>
      <c r="K2292" s="4" t="e">
        <f>VLOOKUP(A2292,Revisión!$A$2:$L$703,9,FALSE)</f>
        <v>#N/A</v>
      </c>
      <c r="L2292" s="4" t="e">
        <f>VLOOKUP(A2292,Revisión!$A$2:$L$703,10,FALSE)</f>
        <v>#N/A</v>
      </c>
      <c r="M2292" s="18" t="e">
        <f>VLOOKUP(A2292,Revisión!$A$2:$L$703,11,FALSE)</f>
        <v>#N/A</v>
      </c>
      <c r="N2292" s="30" t="str">
        <f>IF(E2292="Coinciden",D2292,IF(E2292="Revisar",VLOOKUP(A2292,Revisión!$A$2:$L$703,12,FALSE),""))</f>
        <v>Valeriana polystachya</v>
      </c>
    </row>
    <row r="2293" spans="1:14" x14ac:dyDescent="0.3">
      <c r="A2293" t="s">
        <v>4706</v>
      </c>
      <c r="B2293" t="s">
        <v>4707</v>
      </c>
      <c r="C2293" t="s">
        <v>4707</v>
      </c>
      <c r="D2293" t="s">
        <v>4707</v>
      </c>
      <c r="E2293" t="s">
        <v>18</v>
      </c>
      <c r="F2293" t="s">
        <v>19</v>
      </c>
      <c r="H2293" s="23" t="e">
        <f>VLOOKUP(A2293,Revisión!$A$2:$L$703,6,FALSE)</f>
        <v>#N/A</v>
      </c>
      <c r="I2293" s="4" t="e">
        <f>VLOOKUP(A2293,Revisión!$A$2:$L$703,7,FALSE)</f>
        <v>#N/A</v>
      </c>
      <c r="J2293" s="4" t="e">
        <f>VLOOKUP(A2293,Revisión!$A$2:$L$703,8,FALSE)</f>
        <v>#N/A</v>
      </c>
      <c r="K2293" s="4" t="e">
        <f>VLOOKUP(A2293,Revisión!$A$2:$L$703,9,FALSE)</f>
        <v>#N/A</v>
      </c>
      <c r="L2293" s="4" t="e">
        <f>VLOOKUP(A2293,Revisión!$A$2:$L$703,10,FALSE)</f>
        <v>#N/A</v>
      </c>
      <c r="M2293" s="18" t="e">
        <f>VLOOKUP(A2293,Revisión!$A$2:$L$703,11,FALSE)</f>
        <v>#N/A</v>
      </c>
      <c r="N2293" s="30" t="str">
        <f>IF(E2293="Coinciden",D2293,IF(E2293="Revisar",VLOOKUP(A2293,Revisión!$A$2:$L$703,12,FALSE),""))</f>
        <v>Valeriana edulis</v>
      </c>
    </row>
    <row r="2294" spans="1:14" x14ac:dyDescent="0.3">
      <c r="A2294" t="s">
        <v>4708</v>
      </c>
      <c r="B2294" t="s">
        <v>4709</v>
      </c>
      <c r="C2294" t="s">
        <v>4709</v>
      </c>
      <c r="D2294" t="s">
        <v>4709</v>
      </c>
      <c r="E2294" t="s">
        <v>18</v>
      </c>
      <c r="F2294" t="s">
        <v>19</v>
      </c>
      <c r="H2294" s="23" t="e">
        <f>VLOOKUP(A2294,Revisión!$A$2:$L$703,6,FALSE)</f>
        <v>#N/A</v>
      </c>
      <c r="I2294" s="4" t="e">
        <f>VLOOKUP(A2294,Revisión!$A$2:$L$703,7,FALSE)</f>
        <v>#N/A</v>
      </c>
      <c r="J2294" s="4" t="e">
        <f>VLOOKUP(A2294,Revisión!$A$2:$L$703,8,FALSE)</f>
        <v>#N/A</v>
      </c>
      <c r="K2294" s="4" t="e">
        <f>VLOOKUP(A2294,Revisión!$A$2:$L$703,9,FALSE)</f>
        <v>#N/A</v>
      </c>
      <c r="L2294" s="4" t="e">
        <f>VLOOKUP(A2294,Revisión!$A$2:$L$703,10,FALSE)</f>
        <v>#N/A</v>
      </c>
      <c r="M2294" s="18" t="e">
        <f>VLOOKUP(A2294,Revisión!$A$2:$L$703,11,FALSE)</f>
        <v>#N/A</v>
      </c>
      <c r="N2294" s="30" t="str">
        <f>IF(E2294="Coinciden",D2294,IF(E2294="Revisar",VLOOKUP(A2294,Revisión!$A$2:$L$703,12,FALSE),""))</f>
        <v>Valeriana radicalis</v>
      </c>
    </row>
    <row r="2295" spans="1:14" x14ac:dyDescent="0.3">
      <c r="A2295" t="s">
        <v>4710</v>
      </c>
      <c r="B2295" t="s">
        <v>4711</v>
      </c>
      <c r="C2295" t="s">
        <v>4711</v>
      </c>
      <c r="D2295" t="s">
        <v>4711</v>
      </c>
      <c r="E2295" t="s">
        <v>18</v>
      </c>
      <c r="F2295" t="s">
        <v>19</v>
      </c>
      <c r="H2295" s="23" t="e">
        <f>VLOOKUP(A2295,Revisión!$A$2:$L$703,6,FALSE)</f>
        <v>#N/A</v>
      </c>
      <c r="I2295" s="4" t="e">
        <f>VLOOKUP(A2295,Revisión!$A$2:$L$703,7,FALSE)</f>
        <v>#N/A</v>
      </c>
      <c r="J2295" s="4" t="e">
        <f>VLOOKUP(A2295,Revisión!$A$2:$L$703,8,FALSE)</f>
        <v>#N/A</v>
      </c>
      <c r="K2295" s="4" t="e">
        <f>VLOOKUP(A2295,Revisión!$A$2:$L$703,9,FALSE)</f>
        <v>#N/A</v>
      </c>
      <c r="L2295" s="4" t="e">
        <f>VLOOKUP(A2295,Revisión!$A$2:$L$703,10,FALSE)</f>
        <v>#N/A</v>
      </c>
      <c r="M2295" s="18" t="e">
        <f>VLOOKUP(A2295,Revisión!$A$2:$L$703,11,FALSE)</f>
        <v>#N/A</v>
      </c>
      <c r="N2295" s="30" t="str">
        <f>IF(E2295="Coinciden",D2295,IF(E2295="Revisar",VLOOKUP(A2295,Revisión!$A$2:$L$703,12,FALSE),""))</f>
        <v>Valeriana flaccidissima</v>
      </c>
    </row>
    <row r="2296" spans="1:14" x14ac:dyDescent="0.3">
      <c r="A2296" t="s">
        <v>4712</v>
      </c>
      <c r="B2296" t="s">
        <v>4713</v>
      </c>
      <c r="C2296" t="s">
        <v>4713</v>
      </c>
      <c r="D2296" t="s">
        <v>4713</v>
      </c>
      <c r="E2296" t="s">
        <v>18</v>
      </c>
      <c r="F2296" t="s">
        <v>19</v>
      </c>
      <c r="H2296" s="23" t="e">
        <f>VLOOKUP(A2296,Revisión!$A$2:$L$703,6,FALSE)</f>
        <v>#N/A</v>
      </c>
      <c r="I2296" s="4" t="e">
        <f>VLOOKUP(A2296,Revisión!$A$2:$L$703,7,FALSE)</f>
        <v>#N/A</v>
      </c>
      <c r="J2296" s="4" t="e">
        <f>VLOOKUP(A2296,Revisión!$A$2:$L$703,8,FALSE)</f>
        <v>#N/A</v>
      </c>
      <c r="K2296" s="4" t="e">
        <f>VLOOKUP(A2296,Revisión!$A$2:$L$703,9,FALSE)</f>
        <v>#N/A</v>
      </c>
      <c r="L2296" s="4" t="e">
        <f>VLOOKUP(A2296,Revisión!$A$2:$L$703,10,FALSE)</f>
        <v>#N/A</v>
      </c>
      <c r="M2296" s="18" t="e">
        <f>VLOOKUP(A2296,Revisión!$A$2:$L$703,11,FALSE)</f>
        <v>#N/A</v>
      </c>
      <c r="N2296" s="30" t="str">
        <f>IF(E2296="Coinciden",D2296,IF(E2296="Revisar",VLOOKUP(A2296,Revisión!$A$2:$L$703,12,FALSE),""))</f>
        <v>Valeriana fauriei</v>
      </c>
    </row>
    <row r="2297" spans="1:14" x14ac:dyDescent="0.3">
      <c r="A2297" t="s">
        <v>4714</v>
      </c>
      <c r="B2297" t="s">
        <v>4715</v>
      </c>
      <c r="C2297" t="s">
        <v>4715</v>
      </c>
      <c r="D2297" t="s">
        <v>4715</v>
      </c>
      <c r="E2297" t="s">
        <v>18</v>
      </c>
      <c r="F2297" t="s">
        <v>19</v>
      </c>
      <c r="H2297" s="23" t="e">
        <f>VLOOKUP(A2297,Revisión!$A$2:$L$703,6,FALSE)</f>
        <v>#N/A</v>
      </c>
      <c r="I2297" s="4" t="e">
        <f>VLOOKUP(A2297,Revisión!$A$2:$L$703,7,FALSE)</f>
        <v>#N/A</v>
      </c>
      <c r="J2297" s="4" t="e">
        <f>VLOOKUP(A2297,Revisión!$A$2:$L$703,8,FALSE)</f>
        <v>#N/A</v>
      </c>
      <c r="K2297" s="4" t="e">
        <f>VLOOKUP(A2297,Revisión!$A$2:$L$703,9,FALSE)</f>
        <v>#N/A</v>
      </c>
      <c r="L2297" s="4" t="e">
        <f>VLOOKUP(A2297,Revisión!$A$2:$L$703,10,FALSE)</f>
        <v>#N/A</v>
      </c>
      <c r="M2297" s="18" t="e">
        <f>VLOOKUP(A2297,Revisión!$A$2:$L$703,11,FALSE)</f>
        <v>#N/A</v>
      </c>
      <c r="N2297" s="30" t="str">
        <f>IF(E2297="Coinciden",D2297,IF(E2297="Revisar",VLOOKUP(A2297,Revisión!$A$2:$L$703,12,FALSE),""))</f>
        <v>Valeriana officinalis</v>
      </c>
    </row>
    <row r="2298" spans="1:14" x14ac:dyDescent="0.3">
      <c r="A2298" t="s">
        <v>4716</v>
      </c>
      <c r="C2298" t="s">
        <v>4717</v>
      </c>
      <c r="D2298" t="s">
        <v>4717</v>
      </c>
      <c r="E2298" t="s">
        <v>8</v>
      </c>
      <c r="F2298" t="s">
        <v>49</v>
      </c>
      <c r="H2298" s="23" t="str">
        <f>VLOOKUP(A2298,Revisión!$A$2:$L$703,6,FALSE)</f>
        <v>Valeriana gracilipes</v>
      </c>
      <c r="I2298" s="4" t="str">
        <f>VLOOKUP(A2298,Revisión!$A$2:$L$703,7,FALSE)</f>
        <v>-</v>
      </c>
      <c r="J2298" s="4" t="str">
        <f>VLOOKUP(A2298,Revisión!$A$2:$L$703,8,FALSE)</f>
        <v>Valeriana gracilipes</v>
      </c>
      <c r="K2298" s="4" t="str">
        <f>VLOOKUP(A2298,Revisión!$A$2:$L$703,9,FALSE)</f>
        <v>Valeriana gracilipes</v>
      </c>
      <c r="L2298" s="4" t="str">
        <f>VLOOKUP(A2298,Revisión!$A$2:$L$703,10,FALSE)</f>
        <v>Valeriana gracilipes</v>
      </c>
      <c r="M2298" s="18">
        <f>VLOOKUP(A2298,Revisión!$A$2:$L$703,11,FALSE)</f>
        <v>4</v>
      </c>
      <c r="N2298" s="30" t="str">
        <f>IF(E2298="Coinciden",D2298,IF(E2298="Revisar",VLOOKUP(A2298,Revisión!$A$2:$L$703,12,FALSE),""))</f>
        <v>Valeriana gracilipes</v>
      </c>
    </row>
    <row r="2299" spans="1:14" x14ac:dyDescent="0.3">
      <c r="A2299" t="s">
        <v>4718</v>
      </c>
      <c r="B2299" t="s">
        <v>4719</v>
      </c>
      <c r="C2299" t="s">
        <v>4720</v>
      </c>
      <c r="E2299" t="s">
        <v>8</v>
      </c>
      <c r="F2299" t="s">
        <v>9</v>
      </c>
      <c r="H2299" s="23" t="str">
        <f>VLOOKUP(A2299,Revisión!$A$2:$L$703,6,FALSE)</f>
        <v>Valerianella radiata</v>
      </c>
      <c r="I2299" s="4" t="str">
        <f>VLOOKUP(A2299,Revisión!$A$2:$L$703,7,FALSE)</f>
        <v>-</v>
      </c>
      <c r="J2299" s="4" t="str">
        <f>VLOOKUP(A2299,Revisión!$A$2:$L$703,8,FALSE)</f>
        <v>Valeriana woodsiana</v>
      </c>
      <c r="K2299" s="4" t="str">
        <f>VLOOKUP(A2299,Revisión!$A$2:$L$703,9,FALSE)</f>
        <v>Valerianella radiata</v>
      </c>
      <c r="L2299" s="4" t="str">
        <f>VLOOKUP(A2299,Revisión!$A$2:$L$703,10,FALSE)</f>
        <v>Valerianella radiata</v>
      </c>
      <c r="M2299" s="18">
        <f>VLOOKUP(A2299,Revisión!$A$2:$L$703,11,FALSE)</f>
        <v>4</v>
      </c>
      <c r="N2299" s="30" t="str">
        <f>IF(E2299="Coinciden",D2299,IF(E2299="Revisar",VLOOKUP(A2299,Revisión!$A$2:$L$703,12,FALSE),""))</f>
        <v>Valerianella radiata</v>
      </c>
    </row>
    <row r="2300" spans="1:14" x14ac:dyDescent="0.3">
      <c r="A2300" t="s">
        <v>4721</v>
      </c>
      <c r="B2300" t="s">
        <v>4722</v>
      </c>
      <c r="C2300" t="s">
        <v>4722</v>
      </c>
      <c r="D2300" t="s">
        <v>4722</v>
      </c>
      <c r="E2300" t="s">
        <v>18</v>
      </c>
      <c r="F2300" t="s">
        <v>19</v>
      </c>
      <c r="H2300" s="23" t="e">
        <f>VLOOKUP(A2300,Revisión!$A$2:$L$703,6,FALSE)</f>
        <v>#N/A</v>
      </c>
      <c r="I2300" s="4" t="e">
        <f>VLOOKUP(A2300,Revisión!$A$2:$L$703,7,FALSE)</f>
        <v>#N/A</v>
      </c>
      <c r="J2300" s="4" t="e">
        <f>VLOOKUP(A2300,Revisión!$A$2:$L$703,8,FALSE)</f>
        <v>#N/A</v>
      </c>
      <c r="K2300" s="4" t="e">
        <f>VLOOKUP(A2300,Revisión!$A$2:$L$703,9,FALSE)</f>
        <v>#N/A</v>
      </c>
      <c r="L2300" s="4" t="e">
        <f>VLOOKUP(A2300,Revisión!$A$2:$L$703,10,FALSE)</f>
        <v>#N/A</v>
      </c>
      <c r="M2300" s="18" t="e">
        <f>VLOOKUP(A2300,Revisión!$A$2:$L$703,11,FALSE)</f>
        <v>#N/A</v>
      </c>
      <c r="N2300" s="30" t="str">
        <f>IF(E2300="Coinciden",D2300,IF(E2300="Revisar",VLOOKUP(A2300,Revisión!$A$2:$L$703,12,FALSE),""))</f>
        <v>Vallesia glabra</v>
      </c>
    </row>
    <row r="2301" spans="1:14" x14ac:dyDescent="0.3">
      <c r="A2301" t="s">
        <v>4723</v>
      </c>
      <c r="B2301" t="s">
        <v>4724</v>
      </c>
      <c r="C2301" t="s">
        <v>4724</v>
      </c>
      <c r="D2301" t="s">
        <v>4725</v>
      </c>
      <c r="E2301" t="s">
        <v>8</v>
      </c>
      <c r="F2301" t="s">
        <v>15</v>
      </c>
      <c r="H2301" s="23" t="str">
        <f>VLOOKUP(A2301,Revisión!$A$2:$L$703,6,FALSE)</f>
        <v>Veratrum oxysepalum</v>
      </c>
      <c r="I2301" s="4" t="str">
        <f>VLOOKUP(A2301,Revisión!$A$2:$L$703,7,FALSE)</f>
        <v>-</v>
      </c>
      <c r="J2301" s="4" t="str">
        <f>VLOOKUP(A2301,Revisión!$A$2:$L$703,8,FALSE)</f>
        <v>Veratrum oxysepalum</v>
      </c>
      <c r="K2301" s="4" t="str">
        <f>VLOOKUP(A2301,Revisión!$A$2:$L$703,9,FALSE)</f>
        <v>Veratrum oxysepalum</v>
      </c>
      <c r="L2301" s="4" t="str">
        <f>VLOOKUP(A2301,Revisión!$A$2:$L$703,10,FALSE)</f>
        <v>Veratrum oxysepalum</v>
      </c>
      <c r="M2301" s="18">
        <f>VLOOKUP(A2301,Revisión!$A$2:$L$703,11,FALSE)</f>
        <v>5</v>
      </c>
      <c r="N2301" s="30" t="str">
        <f>IF(E2301="Coinciden",D2301,IF(E2301="Revisar",VLOOKUP(A2301,Revisión!$A$2:$L$703,12,FALSE),""))</f>
        <v>Veratrum oxysepalum</v>
      </c>
    </row>
    <row r="2302" spans="1:14" x14ac:dyDescent="0.3">
      <c r="A2302" t="s">
        <v>4726</v>
      </c>
      <c r="B2302" t="s">
        <v>4727</v>
      </c>
      <c r="C2302" t="s">
        <v>4727</v>
      </c>
      <c r="D2302" t="s">
        <v>4727</v>
      </c>
      <c r="E2302" t="s">
        <v>18</v>
      </c>
      <c r="F2302" t="s">
        <v>19</v>
      </c>
      <c r="H2302" s="23" t="e">
        <f>VLOOKUP(A2302,Revisión!$A$2:$L$703,6,FALSE)</f>
        <v>#N/A</v>
      </c>
      <c r="I2302" s="4" t="e">
        <f>VLOOKUP(A2302,Revisión!$A$2:$L$703,7,FALSE)</f>
        <v>#N/A</v>
      </c>
      <c r="J2302" s="4" t="e">
        <f>VLOOKUP(A2302,Revisión!$A$2:$L$703,8,FALSE)</f>
        <v>#N/A</v>
      </c>
      <c r="K2302" s="4" t="e">
        <f>VLOOKUP(A2302,Revisión!$A$2:$L$703,9,FALSE)</f>
        <v>#N/A</v>
      </c>
      <c r="L2302" s="4" t="e">
        <f>VLOOKUP(A2302,Revisión!$A$2:$L$703,10,FALSE)</f>
        <v>#N/A</v>
      </c>
      <c r="M2302" s="18" t="e">
        <f>VLOOKUP(A2302,Revisión!$A$2:$L$703,11,FALSE)</f>
        <v>#N/A</v>
      </c>
      <c r="N2302" s="30" t="str">
        <f>IF(E2302="Coinciden",D2302,IF(E2302="Revisar",VLOOKUP(A2302,Revisión!$A$2:$L$703,12,FALSE),""))</f>
        <v>Veratrum maackii</v>
      </c>
    </row>
    <row r="2303" spans="1:14" x14ac:dyDescent="0.3">
      <c r="A2303" t="s">
        <v>4728</v>
      </c>
      <c r="C2303" t="s">
        <v>4729</v>
      </c>
      <c r="D2303" t="s">
        <v>4729</v>
      </c>
      <c r="E2303" t="s">
        <v>8</v>
      </c>
      <c r="F2303" t="s">
        <v>49</v>
      </c>
      <c r="H2303" s="23" t="str">
        <f>VLOOKUP(A2303,Revisión!$A$2:$L$703,6,FALSE)</f>
        <v>Verbascum thapsus</v>
      </c>
      <c r="I2303" s="4" t="str">
        <f>VLOOKUP(A2303,Revisión!$A$2:$L$703,7,FALSE)</f>
        <v>-</v>
      </c>
      <c r="J2303" s="4" t="str">
        <f>VLOOKUP(A2303,Revisión!$A$2:$L$703,8,FALSE)</f>
        <v>Verbascum thapsus</v>
      </c>
      <c r="K2303" s="4" t="str">
        <f>VLOOKUP(A2303,Revisión!$A$2:$L$703,9,FALSE)</f>
        <v>Verbascum thapsus</v>
      </c>
      <c r="L2303" s="4" t="str">
        <f>VLOOKUP(A2303,Revisión!$A$2:$L$703,10,FALSE)</f>
        <v>Verbascum thapsus</v>
      </c>
      <c r="M2303" s="18">
        <f>VLOOKUP(A2303,Revisión!$A$2:$L$703,11,FALSE)</f>
        <v>5</v>
      </c>
      <c r="N2303" s="30" t="str">
        <f>IF(E2303="Coinciden",D2303,IF(E2303="Revisar",VLOOKUP(A2303,Revisión!$A$2:$L$703,12,FALSE),""))</f>
        <v>Verbascum thapsus</v>
      </c>
    </row>
    <row r="2304" spans="1:14" x14ac:dyDescent="0.3">
      <c r="A2304" t="s">
        <v>4730</v>
      </c>
      <c r="B2304" t="s">
        <v>4731</v>
      </c>
      <c r="D2304" t="s">
        <v>4731</v>
      </c>
      <c r="E2304" t="s">
        <v>8</v>
      </c>
      <c r="F2304" t="s">
        <v>34</v>
      </c>
      <c r="H2304" s="23" t="str">
        <f>VLOOKUP(A2304,Revisión!$A$2:$L$703,6,FALSE)</f>
        <v>Verbascum undulatum</v>
      </c>
      <c r="I2304" s="4" t="str">
        <f>VLOOKUP(A2304,Revisión!$A$2:$L$703,7,FALSE)</f>
        <v>-</v>
      </c>
      <c r="J2304" s="4" t="str">
        <f>VLOOKUP(A2304,Revisión!$A$2:$L$703,8,FALSE)</f>
        <v>Verbascum undulatum</v>
      </c>
      <c r="K2304" s="4" t="str">
        <f>VLOOKUP(A2304,Revisión!$A$2:$L$703,9,FALSE)</f>
        <v>Verbascum undulatum</v>
      </c>
      <c r="L2304" s="4" t="str">
        <f>VLOOKUP(A2304,Revisión!$A$2:$L$703,10,FALSE)</f>
        <v>Verbascum undulatum</v>
      </c>
      <c r="M2304" s="18">
        <f>VLOOKUP(A2304,Revisión!$A$2:$L$703,11,FALSE)</f>
        <v>5</v>
      </c>
      <c r="N2304" s="30" t="str">
        <f>IF(E2304="Coinciden",D2304,IF(E2304="Revisar",VLOOKUP(A2304,Revisión!$A$2:$L$703,12,FALSE),""))</f>
        <v>Verbascum undulatum</v>
      </c>
    </row>
    <row r="2305" spans="1:14" x14ac:dyDescent="0.3">
      <c r="A2305" t="s">
        <v>4732</v>
      </c>
      <c r="B2305" t="s">
        <v>4729</v>
      </c>
      <c r="C2305" t="s">
        <v>4729</v>
      </c>
      <c r="D2305" t="s">
        <v>4729</v>
      </c>
      <c r="E2305" t="s">
        <v>18</v>
      </c>
      <c r="F2305" t="s">
        <v>19</v>
      </c>
      <c r="H2305" s="23" t="e">
        <f>VLOOKUP(A2305,Revisión!$A$2:$L$703,6,FALSE)</f>
        <v>#N/A</v>
      </c>
      <c r="I2305" s="4" t="e">
        <f>VLOOKUP(A2305,Revisión!$A$2:$L$703,7,FALSE)</f>
        <v>#N/A</v>
      </c>
      <c r="J2305" s="4" t="e">
        <f>VLOOKUP(A2305,Revisión!$A$2:$L$703,8,FALSE)</f>
        <v>#N/A</v>
      </c>
      <c r="K2305" s="4" t="e">
        <f>VLOOKUP(A2305,Revisión!$A$2:$L$703,9,FALSE)</f>
        <v>#N/A</v>
      </c>
      <c r="L2305" s="4" t="e">
        <f>VLOOKUP(A2305,Revisión!$A$2:$L$703,10,FALSE)</f>
        <v>#N/A</v>
      </c>
      <c r="M2305" s="18" t="e">
        <f>VLOOKUP(A2305,Revisión!$A$2:$L$703,11,FALSE)</f>
        <v>#N/A</v>
      </c>
      <c r="N2305" s="30" t="str">
        <f>IF(E2305="Coinciden",D2305,IF(E2305="Revisar",VLOOKUP(A2305,Revisión!$A$2:$L$703,12,FALSE),""))</f>
        <v>Verbascum thapsus</v>
      </c>
    </row>
    <row r="2306" spans="1:14" x14ac:dyDescent="0.3">
      <c r="A2306" t="s">
        <v>4733</v>
      </c>
      <c r="D2306" t="s">
        <v>4734</v>
      </c>
      <c r="E2306" t="s">
        <v>8</v>
      </c>
      <c r="F2306" t="s">
        <v>9</v>
      </c>
      <c r="H2306" s="23" t="str">
        <f>VLOOKUP(A2306,Revisión!$A$2:$L$703,6,FALSE)</f>
        <v>Verbena simplex</v>
      </c>
      <c r="I2306" s="4" t="str">
        <f>VLOOKUP(A2306,Revisión!$A$2:$L$703,7,FALSE)</f>
        <v>-</v>
      </c>
      <c r="J2306" s="4" t="str">
        <f>VLOOKUP(A2306,Revisión!$A$2:$L$703,8,FALSE)</f>
        <v>Verbena simplex</v>
      </c>
      <c r="K2306" s="4" t="str">
        <f>VLOOKUP(A2306,Revisión!$A$2:$L$703,9,FALSE)</f>
        <v>Verbena simplex</v>
      </c>
      <c r="L2306" s="4" t="str">
        <f>VLOOKUP(A2306,Revisión!$A$2:$L$703,10,FALSE)</f>
        <v>Verbena simplex</v>
      </c>
      <c r="M2306" s="18">
        <f>VLOOKUP(A2306,Revisión!$A$2:$L$703,11,FALSE)</f>
        <v>4</v>
      </c>
      <c r="N2306" s="30" t="str">
        <f>IF(E2306="Coinciden",D2306,IF(E2306="Revisar",VLOOKUP(A2306,Revisión!$A$2:$L$703,12,FALSE),""))</f>
        <v>Verbena simplex</v>
      </c>
    </row>
    <row r="2307" spans="1:14" x14ac:dyDescent="0.3">
      <c r="A2307" t="s">
        <v>4735</v>
      </c>
      <c r="D2307" t="s">
        <v>4736</v>
      </c>
      <c r="E2307" t="s">
        <v>8</v>
      </c>
      <c r="F2307" t="s">
        <v>9</v>
      </c>
      <c r="H2307" s="23" t="str">
        <f>VLOOKUP(A2307,Revisión!$A$2:$L$703,6,FALSE)</f>
        <v>Mulguraea scoparia</v>
      </c>
      <c r="I2307" s="4" t="str">
        <f>VLOOKUP(A2307,Revisión!$A$2:$L$703,7,FALSE)</f>
        <v>-</v>
      </c>
      <c r="J2307" s="4" t="str">
        <f>VLOOKUP(A2307,Revisión!$A$2:$L$703,8,FALSE)</f>
        <v>Mulguraea scoparia</v>
      </c>
      <c r="K2307" s="4" t="str">
        <f>VLOOKUP(A2307,Revisión!$A$2:$L$703,9,FALSE)</f>
        <v>Mulguraea scoparia</v>
      </c>
      <c r="L2307" s="4" t="str">
        <f>VLOOKUP(A2307,Revisión!$A$2:$L$703,10,FALSE)</f>
        <v>Mulguraea scoparia</v>
      </c>
      <c r="M2307" s="18">
        <f>VLOOKUP(A2307,Revisión!$A$2:$L$703,11,FALSE)</f>
        <v>4</v>
      </c>
      <c r="N2307" s="30" t="str">
        <f>IF(E2307="Coinciden",D2307,IF(E2307="Revisar",VLOOKUP(A2307,Revisión!$A$2:$L$703,12,FALSE),""))</f>
        <v>Mulguraea scoparia</v>
      </c>
    </row>
    <row r="2308" spans="1:14" x14ac:dyDescent="0.3">
      <c r="A2308" t="s">
        <v>4737</v>
      </c>
      <c r="B2308" t="s">
        <v>4738</v>
      </c>
      <c r="D2308" t="s">
        <v>4738</v>
      </c>
      <c r="E2308" t="s">
        <v>8</v>
      </c>
      <c r="F2308" t="s">
        <v>34</v>
      </c>
      <c r="H2308" s="23" t="str">
        <f>VLOOKUP(A2308,Revisión!$A$2:$L$703,6,FALSE)</f>
        <v>Verbena intermedia</v>
      </c>
      <c r="I2308" s="4" t="str">
        <f>VLOOKUP(A2308,Revisión!$A$2:$L$703,7,FALSE)</f>
        <v>-</v>
      </c>
      <c r="J2308" s="4" t="str">
        <f>VLOOKUP(A2308,Revisión!$A$2:$L$703,8,FALSE)</f>
        <v>Verbena intermedia</v>
      </c>
      <c r="K2308" s="4" t="str">
        <f>VLOOKUP(A2308,Revisión!$A$2:$L$703,9,FALSE)</f>
        <v>Verbena intermedia</v>
      </c>
      <c r="L2308" s="4" t="str">
        <f>VLOOKUP(A2308,Revisión!$A$2:$L$703,10,FALSE)</f>
        <v>Verbena intermedia</v>
      </c>
      <c r="M2308" s="18">
        <f>VLOOKUP(A2308,Revisión!$A$2:$L$703,11,FALSE)</f>
        <v>5</v>
      </c>
      <c r="N2308" s="30" t="str">
        <f>IF(E2308="Coinciden",D2308,IF(E2308="Revisar",VLOOKUP(A2308,Revisión!$A$2:$L$703,12,FALSE),""))</f>
        <v>Verbena intermedia</v>
      </c>
    </row>
    <row r="2309" spans="1:14" x14ac:dyDescent="0.3">
      <c r="A2309" t="s">
        <v>4739</v>
      </c>
      <c r="B2309" t="s">
        <v>4740</v>
      </c>
      <c r="C2309" t="s">
        <v>4740</v>
      </c>
      <c r="D2309" t="s">
        <v>4740</v>
      </c>
      <c r="E2309" t="s">
        <v>18</v>
      </c>
      <c r="F2309" t="s">
        <v>19</v>
      </c>
      <c r="H2309" s="23" t="e">
        <f>VLOOKUP(A2309,Revisión!$A$2:$L$703,6,FALSE)</f>
        <v>#N/A</v>
      </c>
      <c r="I2309" s="4" t="e">
        <f>VLOOKUP(A2309,Revisión!$A$2:$L$703,7,FALSE)</f>
        <v>#N/A</v>
      </c>
      <c r="J2309" s="4" t="e">
        <f>VLOOKUP(A2309,Revisión!$A$2:$L$703,8,FALSE)</f>
        <v>#N/A</v>
      </c>
      <c r="K2309" s="4" t="e">
        <f>VLOOKUP(A2309,Revisión!$A$2:$L$703,9,FALSE)</f>
        <v>#N/A</v>
      </c>
      <c r="L2309" s="4" t="e">
        <f>VLOOKUP(A2309,Revisión!$A$2:$L$703,10,FALSE)</f>
        <v>#N/A</v>
      </c>
      <c r="M2309" s="18" t="e">
        <f>VLOOKUP(A2309,Revisión!$A$2:$L$703,11,FALSE)</f>
        <v>#N/A</v>
      </c>
      <c r="N2309" s="30" t="str">
        <f>IF(E2309="Coinciden",D2309,IF(E2309="Revisar",VLOOKUP(A2309,Revisión!$A$2:$L$703,12,FALSE),""))</f>
        <v>Verbena bracteata</v>
      </c>
    </row>
    <row r="2310" spans="1:14" x14ac:dyDescent="0.3">
      <c r="A2310" t="s">
        <v>4741</v>
      </c>
      <c r="B2310" t="s">
        <v>4742</v>
      </c>
      <c r="C2310" t="s">
        <v>4742</v>
      </c>
      <c r="D2310" t="s">
        <v>4742</v>
      </c>
      <c r="E2310" t="s">
        <v>18</v>
      </c>
      <c r="F2310" t="s">
        <v>19</v>
      </c>
      <c r="H2310" s="23" t="e">
        <f>VLOOKUP(A2310,Revisión!$A$2:$L$703,6,FALSE)</f>
        <v>#N/A</v>
      </c>
      <c r="I2310" s="4" t="e">
        <f>VLOOKUP(A2310,Revisión!$A$2:$L$703,7,FALSE)</f>
        <v>#N/A</v>
      </c>
      <c r="J2310" s="4" t="e">
        <f>VLOOKUP(A2310,Revisión!$A$2:$L$703,8,FALSE)</f>
        <v>#N/A</v>
      </c>
      <c r="K2310" s="4" t="e">
        <f>VLOOKUP(A2310,Revisión!$A$2:$L$703,9,FALSE)</f>
        <v>#N/A</v>
      </c>
      <c r="L2310" s="4" t="e">
        <f>VLOOKUP(A2310,Revisión!$A$2:$L$703,10,FALSE)</f>
        <v>#N/A</v>
      </c>
      <c r="M2310" s="18" t="e">
        <f>VLOOKUP(A2310,Revisión!$A$2:$L$703,11,FALSE)</f>
        <v>#N/A</v>
      </c>
      <c r="N2310" s="30" t="str">
        <f>IF(E2310="Coinciden",D2310,IF(E2310="Revisar",VLOOKUP(A2310,Revisión!$A$2:$L$703,12,FALSE),""))</f>
        <v>Verbena urticifolia</v>
      </c>
    </row>
    <row r="2311" spans="1:14" x14ac:dyDescent="0.3">
      <c r="A2311" t="s">
        <v>4743</v>
      </c>
      <c r="B2311" t="s">
        <v>4744</v>
      </c>
      <c r="C2311" t="s">
        <v>4744</v>
      </c>
      <c r="D2311" t="s">
        <v>4744</v>
      </c>
      <c r="E2311" t="s">
        <v>18</v>
      </c>
      <c r="F2311" t="s">
        <v>19</v>
      </c>
      <c r="H2311" s="23" t="e">
        <f>VLOOKUP(A2311,Revisión!$A$2:$L$703,6,FALSE)</f>
        <v>#N/A</v>
      </c>
      <c r="I2311" s="4" t="e">
        <f>VLOOKUP(A2311,Revisión!$A$2:$L$703,7,FALSE)</f>
        <v>#N/A</v>
      </c>
      <c r="J2311" s="4" t="e">
        <f>VLOOKUP(A2311,Revisión!$A$2:$L$703,8,FALSE)</f>
        <v>#N/A</v>
      </c>
      <c r="K2311" s="4" t="e">
        <f>VLOOKUP(A2311,Revisión!$A$2:$L$703,9,FALSE)</f>
        <v>#N/A</v>
      </c>
      <c r="L2311" s="4" t="e">
        <f>VLOOKUP(A2311,Revisión!$A$2:$L$703,10,FALSE)</f>
        <v>#N/A</v>
      </c>
      <c r="M2311" s="18" t="e">
        <f>VLOOKUP(A2311,Revisión!$A$2:$L$703,11,FALSE)</f>
        <v>#N/A</v>
      </c>
      <c r="N2311" s="30" t="str">
        <f>IF(E2311="Coinciden",D2311,IF(E2311="Revisar",VLOOKUP(A2311,Revisión!$A$2:$L$703,12,FALSE),""))</f>
        <v>Verbena hastata</v>
      </c>
    </row>
    <row r="2312" spans="1:14" x14ac:dyDescent="0.3">
      <c r="A2312" t="s">
        <v>4745</v>
      </c>
      <c r="B2312" t="s">
        <v>4736</v>
      </c>
      <c r="C2312" t="s">
        <v>4736</v>
      </c>
      <c r="D2312" t="s">
        <v>4736</v>
      </c>
      <c r="E2312" t="s">
        <v>18</v>
      </c>
      <c r="F2312" t="s">
        <v>19</v>
      </c>
      <c r="H2312" s="23" t="e">
        <f>VLOOKUP(A2312,Revisión!$A$2:$L$703,6,FALSE)</f>
        <v>#N/A</v>
      </c>
      <c r="I2312" s="4" t="e">
        <f>VLOOKUP(A2312,Revisión!$A$2:$L$703,7,FALSE)</f>
        <v>#N/A</v>
      </c>
      <c r="J2312" s="4" t="e">
        <f>VLOOKUP(A2312,Revisión!$A$2:$L$703,8,FALSE)</f>
        <v>#N/A</v>
      </c>
      <c r="K2312" s="4" t="e">
        <f>VLOOKUP(A2312,Revisión!$A$2:$L$703,9,FALSE)</f>
        <v>#N/A</v>
      </c>
      <c r="L2312" s="4" t="e">
        <f>VLOOKUP(A2312,Revisión!$A$2:$L$703,10,FALSE)</f>
        <v>#N/A</v>
      </c>
      <c r="M2312" s="18" t="e">
        <f>VLOOKUP(A2312,Revisión!$A$2:$L$703,11,FALSE)</f>
        <v>#N/A</v>
      </c>
      <c r="N2312" s="30" t="str">
        <f>IF(E2312="Coinciden",D2312,IF(E2312="Revisar",VLOOKUP(A2312,Revisión!$A$2:$L$703,12,FALSE),""))</f>
        <v>Verbena stricta</v>
      </c>
    </row>
    <row r="2313" spans="1:14" x14ac:dyDescent="0.3">
      <c r="A2313" t="s">
        <v>4746</v>
      </c>
      <c r="B2313" t="s">
        <v>88</v>
      </c>
      <c r="D2313" t="s">
        <v>88</v>
      </c>
      <c r="E2313" t="s">
        <v>8</v>
      </c>
      <c r="F2313" t="s">
        <v>34</v>
      </c>
      <c r="H2313" s="23" t="str">
        <f>VLOOKUP(A2313,Revisión!$A$2:$L$703,6,FALSE)</f>
        <v>Verbesina alternifolia</v>
      </c>
      <c r="I2313" s="4" t="str">
        <f>VLOOKUP(A2313,Revisión!$A$2:$L$703,7,FALSE)</f>
        <v>-</v>
      </c>
      <c r="J2313" s="4" t="str">
        <f>VLOOKUP(A2313,Revisión!$A$2:$L$703,8,FALSE)</f>
        <v>Verbesina alternifolia</v>
      </c>
      <c r="K2313" s="4" t="str">
        <f>VLOOKUP(A2313,Revisión!$A$2:$L$703,9,FALSE)</f>
        <v>Verbesina alternifolia</v>
      </c>
      <c r="L2313" s="4" t="str">
        <f>VLOOKUP(A2313,Revisión!$A$2:$L$703,10,FALSE)</f>
        <v>Verbesina alternifolia</v>
      </c>
      <c r="M2313" s="18">
        <f>VLOOKUP(A2313,Revisión!$A$2:$L$703,11,FALSE)</f>
        <v>5</v>
      </c>
      <c r="N2313" s="30" t="str">
        <f>IF(E2313="Coinciden",D2313,IF(E2313="Revisar",VLOOKUP(A2313,Revisión!$A$2:$L$703,12,FALSE),""))</f>
        <v>Verbesina alternifolia</v>
      </c>
    </row>
    <row r="2314" spans="1:14" x14ac:dyDescent="0.3">
      <c r="A2314" t="s">
        <v>4747</v>
      </c>
      <c r="B2314" t="s">
        <v>4748</v>
      </c>
      <c r="D2314" t="s">
        <v>4748</v>
      </c>
      <c r="E2314" t="s">
        <v>8</v>
      </c>
      <c r="F2314" t="s">
        <v>34</v>
      </c>
      <c r="H2314" s="23" t="str">
        <f>VLOOKUP(A2314,Revisión!$A$2:$L$703,6,FALSE)</f>
        <v>Verbesina helianthoides</v>
      </c>
      <c r="I2314" s="4" t="str">
        <f>VLOOKUP(A2314,Revisión!$A$2:$L$703,7,FALSE)</f>
        <v>-</v>
      </c>
      <c r="J2314" s="4" t="str">
        <f>VLOOKUP(A2314,Revisión!$A$2:$L$703,8,FALSE)</f>
        <v>Verbesina helianthoides</v>
      </c>
      <c r="K2314" s="4" t="str">
        <f>VLOOKUP(A2314,Revisión!$A$2:$L$703,9,FALSE)</f>
        <v>Verbesina helianthoides</v>
      </c>
      <c r="L2314" s="4" t="str">
        <f>VLOOKUP(A2314,Revisión!$A$2:$L$703,10,FALSE)</f>
        <v>Verbesina helianthoides</v>
      </c>
      <c r="M2314" s="18">
        <f>VLOOKUP(A2314,Revisión!$A$2:$L$703,11,FALSE)</f>
        <v>5</v>
      </c>
      <c r="N2314" s="30" t="str">
        <f>IF(E2314="Coinciden",D2314,IF(E2314="Revisar",VLOOKUP(A2314,Revisión!$A$2:$L$703,12,FALSE),""))</f>
        <v>Verbesina helianthoides</v>
      </c>
    </row>
    <row r="2315" spans="1:14" x14ac:dyDescent="0.3">
      <c r="A2315" t="s">
        <v>4749</v>
      </c>
      <c r="C2315" t="s">
        <v>4750</v>
      </c>
      <c r="D2315" t="s">
        <v>4750</v>
      </c>
      <c r="E2315" t="s">
        <v>8</v>
      </c>
      <c r="F2315" t="s">
        <v>49</v>
      </c>
      <c r="H2315" s="23" t="str">
        <f>VLOOKUP(A2315,Revisión!$A$2:$L$703,6,FALSE)</f>
        <v>Lepidaploa bolivarensis</v>
      </c>
      <c r="I2315" s="4" t="str">
        <f>VLOOKUP(A2315,Revisión!$A$2:$L$703,7,FALSE)</f>
        <v>-</v>
      </c>
      <c r="J2315" s="4" t="str">
        <f>VLOOKUP(A2315,Revisión!$A$2:$L$703,8,FALSE)</f>
        <v>Lepidaploa bolivarensis</v>
      </c>
      <c r="K2315" s="4" t="str">
        <f>VLOOKUP(A2315,Revisión!$A$2:$L$703,9,FALSE)</f>
        <v>Lepidaploa bolivarensis</v>
      </c>
      <c r="L2315" s="4" t="str">
        <f>VLOOKUP(A2315,Revisión!$A$2:$L$703,10,FALSE)</f>
        <v>Lepidaploa bolivarensis</v>
      </c>
      <c r="M2315" s="18">
        <f>VLOOKUP(A2315,Revisión!$A$2:$L$703,11,FALSE)</f>
        <v>4</v>
      </c>
      <c r="N2315" s="30" t="str">
        <f>IF(E2315="Coinciden",D2315,IF(E2315="Revisar",VLOOKUP(A2315,Revisión!$A$2:$L$703,12,FALSE),""))</f>
        <v>Lepidaploa bolivarensis</v>
      </c>
    </row>
    <row r="2316" spans="1:14" x14ac:dyDescent="0.3">
      <c r="A2316" t="s">
        <v>4751</v>
      </c>
      <c r="B2316" t="s">
        <v>4752</v>
      </c>
      <c r="C2316" t="s">
        <v>4752</v>
      </c>
      <c r="D2316" t="s">
        <v>4752</v>
      </c>
      <c r="E2316" t="s">
        <v>18</v>
      </c>
      <c r="F2316" t="s">
        <v>19</v>
      </c>
      <c r="H2316" s="23" t="e">
        <f>VLOOKUP(A2316,Revisión!$A$2:$L$703,6,FALSE)</f>
        <v>#N/A</v>
      </c>
      <c r="I2316" s="4" t="e">
        <f>VLOOKUP(A2316,Revisión!$A$2:$L$703,7,FALSE)</f>
        <v>#N/A</v>
      </c>
      <c r="J2316" s="4" t="e">
        <f>VLOOKUP(A2316,Revisión!$A$2:$L$703,8,FALSE)</f>
        <v>#N/A</v>
      </c>
      <c r="K2316" s="4" t="e">
        <f>VLOOKUP(A2316,Revisión!$A$2:$L$703,9,FALSE)</f>
        <v>#N/A</v>
      </c>
      <c r="L2316" s="4" t="e">
        <f>VLOOKUP(A2316,Revisión!$A$2:$L$703,10,FALSE)</f>
        <v>#N/A</v>
      </c>
      <c r="M2316" s="18" t="e">
        <f>VLOOKUP(A2316,Revisión!$A$2:$L$703,11,FALSE)</f>
        <v>#N/A</v>
      </c>
      <c r="N2316" s="30" t="str">
        <f>IF(E2316="Coinciden",D2316,IF(E2316="Revisar",VLOOKUP(A2316,Revisión!$A$2:$L$703,12,FALSE),""))</f>
        <v>Vernonia echioides</v>
      </c>
    </row>
    <row r="2317" spans="1:14" x14ac:dyDescent="0.3">
      <c r="A2317" t="s">
        <v>4753</v>
      </c>
      <c r="E2317" t="s">
        <v>8</v>
      </c>
      <c r="F2317" t="s">
        <v>11</v>
      </c>
      <c r="H2317" s="23" t="e">
        <f>VLOOKUP(A2317,Revisión!$A$2:$L$703,6,FALSE)</f>
        <v>#N/A</v>
      </c>
      <c r="I2317" s="4" t="e">
        <f>VLOOKUP(A2317,Revisión!$A$2:$L$703,7,FALSE)</f>
        <v>#N/A</v>
      </c>
      <c r="J2317" s="4" t="e">
        <f>VLOOKUP(A2317,Revisión!$A$2:$L$703,8,FALSE)</f>
        <v>#N/A</v>
      </c>
      <c r="K2317" s="4" t="e">
        <f>VLOOKUP(A2317,Revisión!$A$2:$L$703,9,FALSE)</f>
        <v>#N/A</v>
      </c>
      <c r="L2317" s="4" t="e">
        <f>VLOOKUP(A2317,Revisión!$A$2:$L$703,10,FALSE)</f>
        <v>#N/A</v>
      </c>
      <c r="M2317" s="18" t="e">
        <f>VLOOKUP(A2317,Revisión!$A$2:$L$703,11,FALSE)</f>
        <v>#N/A</v>
      </c>
      <c r="N2317" s="30" t="e">
        <f>IF(E2317="Coinciden",D2317,IF(E2317="Revisar",VLOOKUP(A2317,Revisión!$A$2:$L$703,12,FALSE),""))</f>
        <v>#N/A</v>
      </c>
    </row>
    <row r="2318" spans="1:14" x14ac:dyDescent="0.3">
      <c r="A2318" t="s">
        <v>4754</v>
      </c>
      <c r="B2318" t="s">
        <v>4755</v>
      </c>
      <c r="D2318" t="s">
        <v>4755</v>
      </c>
      <c r="E2318" t="s">
        <v>8</v>
      </c>
      <c r="F2318" t="s">
        <v>34</v>
      </c>
      <c r="H2318" s="23" t="str">
        <f>VLOOKUP(A2318,Revisión!$A$2:$L$703,6,FALSE)</f>
        <v>Vernonia fasciculata</v>
      </c>
      <c r="I2318" s="4" t="str">
        <f>VLOOKUP(A2318,Revisión!$A$2:$L$703,7,FALSE)</f>
        <v>-</v>
      </c>
      <c r="J2318" s="4" t="str">
        <f>VLOOKUP(A2318,Revisión!$A$2:$L$703,8,FALSE)</f>
        <v>Vernonia fasciculata</v>
      </c>
      <c r="K2318" s="4" t="str">
        <f>VLOOKUP(A2318,Revisión!$A$2:$L$703,9,FALSE)</f>
        <v>Vernonia fasciculata</v>
      </c>
      <c r="L2318" s="4" t="str">
        <f>VLOOKUP(A2318,Revisión!$A$2:$L$703,10,FALSE)</f>
        <v>Vernonia fasciculata</v>
      </c>
      <c r="M2318" s="18">
        <f>VLOOKUP(A2318,Revisión!$A$2:$L$703,11,FALSE)</f>
        <v>5</v>
      </c>
      <c r="N2318" s="30" t="str">
        <f>IF(E2318="Coinciden",D2318,IF(E2318="Revisar",VLOOKUP(A2318,Revisión!$A$2:$L$703,12,FALSE),""))</f>
        <v>Vernonia fasciculata</v>
      </c>
    </row>
    <row r="2319" spans="1:14" x14ac:dyDescent="0.3">
      <c r="A2319" t="s">
        <v>4756</v>
      </c>
      <c r="B2319" t="s">
        <v>4757</v>
      </c>
      <c r="C2319" t="s">
        <v>4757</v>
      </c>
      <c r="D2319" t="s">
        <v>4757</v>
      </c>
      <c r="E2319" t="s">
        <v>18</v>
      </c>
      <c r="F2319" t="s">
        <v>19</v>
      </c>
      <c r="H2319" s="23" t="e">
        <f>VLOOKUP(A2319,Revisión!$A$2:$L$703,6,FALSE)</f>
        <v>#N/A</v>
      </c>
      <c r="I2319" s="4" t="e">
        <f>VLOOKUP(A2319,Revisión!$A$2:$L$703,7,FALSE)</f>
        <v>#N/A</v>
      </c>
      <c r="J2319" s="4" t="e">
        <f>VLOOKUP(A2319,Revisión!$A$2:$L$703,8,FALSE)</f>
        <v>#N/A</v>
      </c>
      <c r="K2319" s="4" t="e">
        <f>VLOOKUP(A2319,Revisión!$A$2:$L$703,9,FALSE)</f>
        <v>#N/A</v>
      </c>
      <c r="L2319" s="4" t="e">
        <f>VLOOKUP(A2319,Revisión!$A$2:$L$703,10,FALSE)</f>
        <v>#N/A</v>
      </c>
      <c r="M2319" s="18" t="e">
        <f>VLOOKUP(A2319,Revisión!$A$2:$L$703,11,FALSE)</f>
        <v>#N/A</v>
      </c>
      <c r="N2319" s="30" t="str">
        <f>IF(E2319="Coinciden",D2319,IF(E2319="Revisar",VLOOKUP(A2319,Revisión!$A$2:$L$703,12,FALSE),""))</f>
        <v>Cyanthillium cinereum</v>
      </c>
    </row>
    <row r="2320" spans="1:14" x14ac:dyDescent="0.3">
      <c r="A2320" t="s">
        <v>4758</v>
      </c>
      <c r="B2320" t="s">
        <v>4759</v>
      </c>
      <c r="C2320" t="s">
        <v>4759</v>
      </c>
      <c r="D2320" t="s">
        <v>4759</v>
      </c>
      <c r="E2320" t="s">
        <v>18</v>
      </c>
      <c r="F2320" t="s">
        <v>19</v>
      </c>
      <c r="H2320" s="23" t="e">
        <f>VLOOKUP(A2320,Revisión!$A$2:$L$703,6,FALSE)</f>
        <v>#N/A</v>
      </c>
      <c r="I2320" s="4" t="e">
        <f>VLOOKUP(A2320,Revisión!$A$2:$L$703,7,FALSE)</f>
        <v>#N/A</v>
      </c>
      <c r="J2320" s="4" t="e">
        <f>VLOOKUP(A2320,Revisión!$A$2:$L$703,8,FALSE)</f>
        <v>#N/A</v>
      </c>
      <c r="K2320" s="4" t="e">
        <f>VLOOKUP(A2320,Revisión!$A$2:$L$703,9,FALSE)</f>
        <v>#N/A</v>
      </c>
      <c r="L2320" s="4" t="e">
        <f>VLOOKUP(A2320,Revisión!$A$2:$L$703,10,FALSE)</f>
        <v>#N/A</v>
      </c>
      <c r="M2320" s="18" t="e">
        <f>VLOOKUP(A2320,Revisión!$A$2:$L$703,11,FALSE)</f>
        <v>#N/A</v>
      </c>
      <c r="N2320" s="30" t="str">
        <f>IF(E2320="Coinciden",D2320,IF(E2320="Revisar",VLOOKUP(A2320,Revisión!$A$2:$L$703,12,FALSE),""))</f>
        <v>Veronica persica</v>
      </c>
    </row>
    <row r="2321" spans="1:14" x14ac:dyDescent="0.3">
      <c r="A2321" t="s">
        <v>4760</v>
      </c>
      <c r="B2321" t="s">
        <v>4761</v>
      </c>
      <c r="C2321" t="s">
        <v>4761</v>
      </c>
      <c r="D2321" t="s">
        <v>4761</v>
      </c>
      <c r="E2321" t="s">
        <v>18</v>
      </c>
      <c r="F2321" t="s">
        <v>19</v>
      </c>
      <c r="H2321" s="23" t="e">
        <f>VLOOKUP(A2321,Revisión!$A$2:$L$703,6,FALSE)</f>
        <v>#N/A</v>
      </c>
      <c r="I2321" s="4" t="e">
        <f>VLOOKUP(A2321,Revisión!$A$2:$L$703,7,FALSE)</f>
        <v>#N/A</v>
      </c>
      <c r="J2321" s="4" t="e">
        <f>VLOOKUP(A2321,Revisión!$A$2:$L$703,8,FALSE)</f>
        <v>#N/A</v>
      </c>
      <c r="K2321" s="4" t="e">
        <f>VLOOKUP(A2321,Revisión!$A$2:$L$703,9,FALSE)</f>
        <v>#N/A</v>
      </c>
      <c r="L2321" s="4" t="e">
        <f>VLOOKUP(A2321,Revisión!$A$2:$L$703,10,FALSE)</f>
        <v>#N/A</v>
      </c>
      <c r="M2321" s="18" t="e">
        <f>VLOOKUP(A2321,Revisión!$A$2:$L$703,11,FALSE)</f>
        <v>#N/A</v>
      </c>
      <c r="N2321" s="30" t="str">
        <f>IF(E2321="Coinciden",D2321,IF(E2321="Revisar",VLOOKUP(A2321,Revisión!$A$2:$L$703,12,FALSE),""))</f>
        <v>Veronica agrestis</v>
      </c>
    </row>
    <row r="2322" spans="1:14" x14ac:dyDescent="0.3">
      <c r="A2322" t="s">
        <v>4762</v>
      </c>
      <c r="B2322" t="s">
        <v>4763</v>
      </c>
      <c r="C2322" t="s">
        <v>4763</v>
      </c>
      <c r="D2322" t="s">
        <v>4763</v>
      </c>
      <c r="E2322" t="s">
        <v>18</v>
      </c>
      <c r="F2322" t="s">
        <v>19</v>
      </c>
      <c r="H2322" s="23" t="e">
        <f>VLOOKUP(A2322,Revisión!$A$2:$L$703,6,FALSE)</f>
        <v>#N/A</v>
      </c>
      <c r="I2322" s="4" t="e">
        <f>VLOOKUP(A2322,Revisión!$A$2:$L$703,7,FALSE)</f>
        <v>#N/A</v>
      </c>
      <c r="J2322" s="4" t="e">
        <f>VLOOKUP(A2322,Revisión!$A$2:$L$703,8,FALSE)</f>
        <v>#N/A</v>
      </c>
      <c r="K2322" s="4" t="e">
        <f>VLOOKUP(A2322,Revisión!$A$2:$L$703,9,FALSE)</f>
        <v>#N/A</v>
      </c>
      <c r="L2322" s="4" t="e">
        <f>VLOOKUP(A2322,Revisión!$A$2:$L$703,10,FALSE)</f>
        <v>#N/A</v>
      </c>
      <c r="M2322" s="18" t="e">
        <f>VLOOKUP(A2322,Revisión!$A$2:$L$703,11,FALSE)</f>
        <v>#N/A</v>
      </c>
      <c r="N2322" s="30" t="str">
        <f>IF(E2322="Coinciden",D2322,IF(E2322="Revisar",VLOOKUP(A2322,Revisión!$A$2:$L$703,12,FALSE),""))</f>
        <v>Veronica chamaedrys</v>
      </c>
    </row>
    <row r="2323" spans="1:14" x14ac:dyDescent="0.3">
      <c r="A2323" t="s">
        <v>4764</v>
      </c>
      <c r="B2323" t="s">
        <v>4765</v>
      </c>
      <c r="C2323" t="s">
        <v>4765</v>
      </c>
      <c r="D2323" t="s">
        <v>4765</v>
      </c>
      <c r="E2323" t="s">
        <v>18</v>
      </c>
      <c r="F2323" t="s">
        <v>19</v>
      </c>
      <c r="H2323" s="23" t="e">
        <f>VLOOKUP(A2323,Revisión!$A$2:$L$703,6,FALSE)</f>
        <v>#N/A</v>
      </c>
      <c r="I2323" s="4" t="e">
        <f>VLOOKUP(A2323,Revisión!$A$2:$L$703,7,FALSE)</f>
        <v>#N/A</v>
      </c>
      <c r="J2323" s="4" t="e">
        <f>VLOOKUP(A2323,Revisión!$A$2:$L$703,8,FALSE)</f>
        <v>#N/A</v>
      </c>
      <c r="K2323" s="4" t="e">
        <f>VLOOKUP(A2323,Revisión!$A$2:$L$703,9,FALSE)</f>
        <v>#N/A</v>
      </c>
      <c r="L2323" s="4" t="e">
        <f>VLOOKUP(A2323,Revisión!$A$2:$L$703,10,FALSE)</f>
        <v>#N/A</v>
      </c>
      <c r="M2323" s="18" t="e">
        <f>VLOOKUP(A2323,Revisión!$A$2:$L$703,11,FALSE)</f>
        <v>#N/A</v>
      </c>
      <c r="N2323" s="30" t="str">
        <f>IF(E2323="Coinciden",D2323,IF(E2323="Revisar",VLOOKUP(A2323,Revisión!$A$2:$L$703,12,FALSE),""))</f>
        <v>Veronica rotunda</v>
      </c>
    </row>
    <row r="2324" spans="1:14" x14ac:dyDescent="0.3">
      <c r="A2324" t="s">
        <v>4766</v>
      </c>
      <c r="B2324" t="s">
        <v>4767</v>
      </c>
      <c r="C2324" t="s">
        <v>4767</v>
      </c>
      <c r="D2324" t="s">
        <v>4767</v>
      </c>
      <c r="E2324" t="s">
        <v>18</v>
      </c>
      <c r="F2324" t="s">
        <v>19</v>
      </c>
      <c r="H2324" s="23" t="e">
        <f>VLOOKUP(A2324,Revisión!$A$2:$L$703,6,FALSE)</f>
        <v>#N/A</v>
      </c>
      <c r="I2324" s="4" t="e">
        <f>VLOOKUP(A2324,Revisión!$A$2:$L$703,7,FALSE)</f>
        <v>#N/A</v>
      </c>
      <c r="J2324" s="4" t="e">
        <f>VLOOKUP(A2324,Revisión!$A$2:$L$703,8,FALSE)</f>
        <v>#N/A</v>
      </c>
      <c r="K2324" s="4" t="e">
        <f>VLOOKUP(A2324,Revisión!$A$2:$L$703,9,FALSE)</f>
        <v>#N/A</v>
      </c>
      <c r="L2324" s="4" t="e">
        <f>VLOOKUP(A2324,Revisión!$A$2:$L$703,10,FALSE)</f>
        <v>#N/A</v>
      </c>
      <c r="M2324" s="18" t="e">
        <f>VLOOKUP(A2324,Revisión!$A$2:$L$703,11,FALSE)</f>
        <v>#N/A</v>
      </c>
      <c r="N2324" s="30" t="str">
        <f>IF(E2324="Coinciden",D2324,IF(E2324="Revisar",VLOOKUP(A2324,Revisión!$A$2:$L$703,12,FALSE),""))</f>
        <v>Veronica peregrina</v>
      </c>
    </row>
    <row r="2325" spans="1:14" x14ac:dyDescent="0.3">
      <c r="A2325" t="s">
        <v>4768</v>
      </c>
      <c r="B2325" t="s">
        <v>4769</v>
      </c>
      <c r="C2325" t="s">
        <v>4769</v>
      </c>
      <c r="D2325" t="s">
        <v>4769</v>
      </c>
      <c r="E2325" t="s">
        <v>18</v>
      </c>
      <c r="F2325" t="s">
        <v>19</v>
      </c>
      <c r="H2325" s="23" t="e">
        <f>VLOOKUP(A2325,Revisión!$A$2:$L$703,6,FALSE)</f>
        <v>#N/A</v>
      </c>
      <c r="I2325" s="4" t="e">
        <f>VLOOKUP(A2325,Revisión!$A$2:$L$703,7,FALSE)</f>
        <v>#N/A</v>
      </c>
      <c r="J2325" s="4" t="e">
        <f>VLOOKUP(A2325,Revisión!$A$2:$L$703,8,FALSE)</f>
        <v>#N/A</v>
      </c>
      <c r="K2325" s="4" t="e">
        <f>VLOOKUP(A2325,Revisión!$A$2:$L$703,9,FALSE)</f>
        <v>#N/A</v>
      </c>
      <c r="L2325" s="4" t="e">
        <f>VLOOKUP(A2325,Revisión!$A$2:$L$703,10,FALSE)</f>
        <v>#N/A</v>
      </c>
      <c r="M2325" s="18" t="e">
        <f>VLOOKUP(A2325,Revisión!$A$2:$L$703,11,FALSE)</f>
        <v>#N/A</v>
      </c>
      <c r="N2325" s="30" t="str">
        <f>IF(E2325="Coinciden",D2325,IF(E2325="Revisar",VLOOKUP(A2325,Revisión!$A$2:$L$703,12,FALSE),""))</f>
        <v>Veronicastrum virginicum</v>
      </c>
    </row>
    <row r="2326" spans="1:14" x14ac:dyDescent="0.3">
      <c r="A2326" t="s">
        <v>4770</v>
      </c>
      <c r="B2326" t="s">
        <v>4771</v>
      </c>
      <c r="C2326" t="s">
        <v>4771</v>
      </c>
      <c r="D2326" t="s">
        <v>4771</v>
      </c>
      <c r="E2326" t="s">
        <v>18</v>
      </c>
      <c r="F2326" t="s">
        <v>19</v>
      </c>
      <c r="H2326" s="23" t="e">
        <f>VLOOKUP(A2326,Revisión!$A$2:$L$703,6,FALSE)</f>
        <v>#N/A</v>
      </c>
      <c r="I2326" s="4" t="e">
        <f>VLOOKUP(A2326,Revisión!$A$2:$L$703,7,FALSE)</f>
        <v>#N/A</v>
      </c>
      <c r="J2326" s="4" t="e">
        <f>VLOOKUP(A2326,Revisión!$A$2:$L$703,8,FALSE)</f>
        <v>#N/A</v>
      </c>
      <c r="K2326" s="4" t="e">
        <f>VLOOKUP(A2326,Revisión!$A$2:$L$703,9,FALSE)</f>
        <v>#N/A</v>
      </c>
      <c r="L2326" s="4" t="e">
        <f>VLOOKUP(A2326,Revisión!$A$2:$L$703,10,FALSE)</f>
        <v>#N/A</v>
      </c>
      <c r="M2326" s="18" t="e">
        <f>VLOOKUP(A2326,Revisión!$A$2:$L$703,11,FALSE)</f>
        <v>#N/A</v>
      </c>
      <c r="N2326" s="30" t="str">
        <f>IF(E2326="Coinciden",D2326,IF(E2326="Revisar",VLOOKUP(A2326,Revisión!$A$2:$L$703,12,FALSE),""))</f>
        <v>Veronica beccabunga</v>
      </c>
    </row>
    <row r="2327" spans="1:14" x14ac:dyDescent="0.3">
      <c r="A2327" t="s">
        <v>4772</v>
      </c>
      <c r="B2327" t="s">
        <v>4773</v>
      </c>
      <c r="C2327" t="s">
        <v>4773</v>
      </c>
      <c r="D2327" t="s">
        <v>4773</v>
      </c>
      <c r="E2327" t="s">
        <v>18</v>
      </c>
      <c r="F2327" t="s">
        <v>19</v>
      </c>
      <c r="H2327" s="23" t="e">
        <f>VLOOKUP(A2327,Revisión!$A$2:$L$703,6,FALSE)</f>
        <v>#N/A</v>
      </c>
      <c r="I2327" s="4" t="e">
        <f>VLOOKUP(A2327,Revisión!$A$2:$L$703,7,FALSE)</f>
        <v>#N/A</v>
      </c>
      <c r="J2327" s="4" t="e">
        <f>VLOOKUP(A2327,Revisión!$A$2:$L$703,8,FALSE)</f>
        <v>#N/A</v>
      </c>
      <c r="K2327" s="4" t="e">
        <f>VLOOKUP(A2327,Revisión!$A$2:$L$703,9,FALSE)</f>
        <v>#N/A</v>
      </c>
      <c r="L2327" s="4" t="e">
        <f>VLOOKUP(A2327,Revisión!$A$2:$L$703,10,FALSE)</f>
        <v>#N/A</v>
      </c>
      <c r="M2327" s="18" t="e">
        <f>VLOOKUP(A2327,Revisión!$A$2:$L$703,11,FALSE)</f>
        <v>#N/A</v>
      </c>
      <c r="N2327" s="30" t="str">
        <f>IF(E2327="Coinciden",D2327,IF(E2327="Revisar",VLOOKUP(A2327,Revisión!$A$2:$L$703,12,FALSE),""))</f>
        <v>Veronica arvensis</v>
      </c>
    </row>
    <row r="2328" spans="1:14" x14ac:dyDescent="0.3">
      <c r="A2328" t="s">
        <v>4774</v>
      </c>
      <c r="B2328" t="s">
        <v>4775</v>
      </c>
      <c r="C2328" t="s">
        <v>4775</v>
      </c>
      <c r="D2328" t="s">
        <v>4775</v>
      </c>
      <c r="E2328" t="s">
        <v>18</v>
      </c>
      <c r="F2328" t="s">
        <v>19</v>
      </c>
      <c r="H2328" s="23" t="e">
        <f>VLOOKUP(A2328,Revisión!$A$2:$L$703,6,FALSE)</f>
        <v>#N/A</v>
      </c>
      <c r="I2328" s="4" t="e">
        <f>VLOOKUP(A2328,Revisión!$A$2:$L$703,7,FALSE)</f>
        <v>#N/A</v>
      </c>
      <c r="J2328" s="4" t="e">
        <f>VLOOKUP(A2328,Revisión!$A$2:$L$703,8,FALSE)</f>
        <v>#N/A</v>
      </c>
      <c r="K2328" s="4" t="e">
        <f>VLOOKUP(A2328,Revisión!$A$2:$L$703,9,FALSE)</f>
        <v>#N/A</v>
      </c>
      <c r="L2328" s="4" t="e">
        <f>VLOOKUP(A2328,Revisión!$A$2:$L$703,10,FALSE)</f>
        <v>#N/A</v>
      </c>
      <c r="M2328" s="18" t="e">
        <f>VLOOKUP(A2328,Revisión!$A$2:$L$703,11,FALSE)</f>
        <v>#N/A</v>
      </c>
      <c r="N2328" s="30" t="str">
        <f>IF(E2328="Coinciden",D2328,IF(E2328="Revisar",VLOOKUP(A2328,Revisión!$A$2:$L$703,12,FALSE),""))</f>
        <v>Veronica serpyllifolia</v>
      </c>
    </row>
    <row r="2329" spans="1:14" x14ac:dyDescent="0.3">
      <c r="A2329" t="s">
        <v>4776</v>
      </c>
      <c r="B2329" t="s">
        <v>4777</v>
      </c>
      <c r="C2329" t="s">
        <v>4777</v>
      </c>
      <c r="D2329" t="s">
        <v>4777</v>
      </c>
      <c r="E2329" t="s">
        <v>18</v>
      </c>
      <c r="F2329" t="s">
        <v>19</v>
      </c>
      <c r="H2329" s="23" t="e">
        <f>VLOOKUP(A2329,Revisión!$A$2:$L$703,6,FALSE)</f>
        <v>#N/A</v>
      </c>
      <c r="I2329" s="4" t="e">
        <f>VLOOKUP(A2329,Revisión!$A$2:$L$703,7,FALSE)</f>
        <v>#N/A</v>
      </c>
      <c r="J2329" s="4" t="e">
        <f>VLOOKUP(A2329,Revisión!$A$2:$L$703,8,FALSE)</f>
        <v>#N/A</v>
      </c>
      <c r="K2329" s="4" t="e">
        <f>VLOOKUP(A2329,Revisión!$A$2:$L$703,9,FALSE)</f>
        <v>#N/A</v>
      </c>
      <c r="L2329" s="4" t="e">
        <f>VLOOKUP(A2329,Revisión!$A$2:$L$703,10,FALSE)</f>
        <v>#N/A</v>
      </c>
      <c r="M2329" s="18" t="e">
        <f>VLOOKUP(A2329,Revisión!$A$2:$L$703,11,FALSE)</f>
        <v>#N/A</v>
      </c>
      <c r="N2329" s="30" t="str">
        <f>IF(E2329="Coinciden",D2329,IF(E2329="Revisar",VLOOKUP(A2329,Revisión!$A$2:$L$703,12,FALSE),""))</f>
        <v>Veronicastrum sibiricum</v>
      </c>
    </row>
    <row r="2330" spans="1:14" x14ac:dyDescent="0.3">
      <c r="A2330" t="s">
        <v>4778</v>
      </c>
      <c r="B2330" t="s">
        <v>4779</v>
      </c>
      <c r="C2330" t="s">
        <v>4780</v>
      </c>
      <c r="D2330" t="s">
        <v>4777</v>
      </c>
      <c r="E2330" t="s">
        <v>8</v>
      </c>
      <c r="F2330" t="s">
        <v>295</v>
      </c>
      <c r="H2330" s="23" t="str">
        <f>VLOOKUP(A2330,Revisión!$A$2:$L$703,6,FALSE)</f>
        <v>Veronicastrum sibiricum</v>
      </c>
      <c r="I2330" s="4" t="str">
        <f>VLOOKUP(A2330,Revisión!$A$2:$L$703,7,FALSE)</f>
        <v>-</v>
      </c>
      <c r="J2330" s="4" t="str">
        <f>VLOOKUP(A2330,Revisión!$A$2:$L$703,8,FALSE)</f>
        <v>Veronicastrum sibiricum f. glabratum</v>
      </c>
      <c r="K2330" s="4" t="str">
        <f>VLOOKUP(A2330,Revisión!$A$2:$L$703,9,FALSE)</f>
        <v>Veronicastrum sibiricum</v>
      </c>
      <c r="L2330" s="4" t="str">
        <f>VLOOKUP(A2330,Revisión!$A$2:$L$703,10,FALSE)</f>
        <v>Veronicastrum sibiricum</v>
      </c>
      <c r="M2330" s="18">
        <f>VLOOKUP(A2330,Revisión!$A$2:$L$703,11,FALSE)</f>
        <v>4</v>
      </c>
      <c r="N2330" s="30" t="str">
        <f>IF(E2330="Coinciden",D2330,IF(E2330="Revisar",VLOOKUP(A2330,Revisión!$A$2:$L$703,12,FALSE),""))</f>
        <v>Veronicastrum sibiricum</v>
      </c>
    </row>
    <row r="2331" spans="1:14" x14ac:dyDescent="0.3">
      <c r="A2331" t="s">
        <v>4781</v>
      </c>
      <c r="B2331" t="s">
        <v>4782</v>
      </c>
      <c r="C2331" t="s">
        <v>4782</v>
      </c>
      <c r="D2331" t="s">
        <v>4782</v>
      </c>
      <c r="E2331" t="s">
        <v>18</v>
      </c>
      <c r="F2331" t="s">
        <v>19</v>
      </c>
      <c r="H2331" s="23" t="e">
        <f>VLOOKUP(A2331,Revisión!$A$2:$L$703,6,FALSE)</f>
        <v>#N/A</v>
      </c>
      <c r="I2331" s="4" t="e">
        <f>VLOOKUP(A2331,Revisión!$A$2:$L$703,7,FALSE)</f>
        <v>#N/A</v>
      </c>
      <c r="J2331" s="4" t="e">
        <f>VLOOKUP(A2331,Revisión!$A$2:$L$703,8,FALSE)</f>
        <v>#N/A</v>
      </c>
      <c r="K2331" s="4" t="e">
        <f>VLOOKUP(A2331,Revisión!$A$2:$L$703,9,FALSE)</f>
        <v>#N/A</v>
      </c>
      <c r="L2331" s="4" t="e">
        <f>VLOOKUP(A2331,Revisión!$A$2:$L$703,10,FALSE)</f>
        <v>#N/A</v>
      </c>
      <c r="M2331" s="18" t="e">
        <f>VLOOKUP(A2331,Revisión!$A$2:$L$703,11,FALSE)</f>
        <v>#N/A</v>
      </c>
      <c r="N2331" s="30" t="str">
        <f>IF(E2331="Coinciden",D2331,IF(E2331="Revisar",VLOOKUP(A2331,Revisión!$A$2:$L$703,12,FALSE),""))</f>
        <v>Viburnum suspensum</v>
      </c>
    </row>
    <row r="2332" spans="1:14" x14ac:dyDescent="0.3">
      <c r="A2332" t="s">
        <v>4783</v>
      </c>
      <c r="B2332" t="s">
        <v>4784</v>
      </c>
      <c r="C2332" t="s">
        <v>4784</v>
      </c>
      <c r="D2332" t="s">
        <v>4784</v>
      </c>
      <c r="E2332" t="s">
        <v>18</v>
      </c>
      <c r="F2332" t="s">
        <v>19</v>
      </c>
      <c r="H2332" s="23" t="e">
        <f>VLOOKUP(A2332,Revisión!$A$2:$L$703,6,FALSE)</f>
        <v>#N/A</v>
      </c>
      <c r="I2332" s="4" t="e">
        <f>VLOOKUP(A2332,Revisión!$A$2:$L$703,7,FALSE)</f>
        <v>#N/A</v>
      </c>
      <c r="J2332" s="4" t="e">
        <f>VLOOKUP(A2332,Revisión!$A$2:$L$703,8,FALSE)</f>
        <v>#N/A</v>
      </c>
      <c r="K2332" s="4" t="e">
        <f>VLOOKUP(A2332,Revisión!$A$2:$L$703,9,FALSE)</f>
        <v>#N/A</v>
      </c>
      <c r="L2332" s="4" t="e">
        <f>VLOOKUP(A2332,Revisión!$A$2:$L$703,10,FALSE)</f>
        <v>#N/A</v>
      </c>
      <c r="M2332" s="18" t="e">
        <f>VLOOKUP(A2332,Revisión!$A$2:$L$703,11,FALSE)</f>
        <v>#N/A</v>
      </c>
      <c r="N2332" s="30" t="str">
        <f>IF(E2332="Coinciden",D2332,IF(E2332="Revisar",VLOOKUP(A2332,Revisión!$A$2:$L$703,12,FALSE),""))</f>
        <v>Viburnum furcatum</v>
      </c>
    </row>
    <row r="2333" spans="1:14" x14ac:dyDescent="0.3">
      <c r="A2333" t="s">
        <v>4785</v>
      </c>
      <c r="B2333" t="s">
        <v>4786</v>
      </c>
      <c r="C2333" t="s">
        <v>4786</v>
      </c>
      <c r="D2333" t="s">
        <v>4786</v>
      </c>
      <c r="E2333" t="s">
        <v>18</v>
      </c>
      <c r="F2333" t="s">
        <v>19</v>
      </c>
      <c r="H2333" s="23" t="e">
        <f>VLOOKUP(A2333,Revisión!$A$2:$L$703,6,FALSE)</f>
        <v>#N/A</v>
      </c>
      <c r="I2333" s="4" t="e">
        <f>VLOOKUP(A2333,Revisión!$A$2:$L$703,7,FALSE)</f>
        <v>#N/A</v>
      </c>
      <c r="J2333" s="4" t="e">
        <f>VLOOKUP(A2333,Revisión!$A$2:$L$703,8,FALSE)</f>
        <v>#N/A</v>
      </c>
      <c r="K2333" s="4" t="e">
        <f>VLOOKUP(A2333,Revisión!$A$2:$L$703,9,FALSE)</f>
        <v>#N/A</v>
      </c>
      <c r="L2333" s="4" t="e">
        <f>VLOOKUP(A2333,Revisión!$A$2:$L$703,10,FALSE)</f>
        <v>#N/A</v>
      </c>
      <c r="M2333" s="18" t="e">
        <f>VLOOKUP(A2333,Revisión!$A$2:$L$703,11,FALSE)</f>
        <v>#N/A</v>
      </c>
      <c r="N2333" s="30" t="str">
        <f>IF(E2333="Coinciden",D2333,IF(E2333="Revisar",VLOOKUP(A2333,Revisión!$A$2:$L$703,12,FALSE),""))</f>
        <v>Viburnum prunifolium</v>
      </c>
    </row>
    <row r="2334" spans="1:14" x14ac:dyDescent="0.3">
      <c r="A2334" t="s">
        <v>4787</v>
      </c>
      <c r="B2334" t="s">
        <v>4788</v>
      </c>
      <c r="C2334" t="s">
        <v>4788</v>
      </c>
      <c r="D2334" t="s">
        <v>4788</v>
      </c>
      <c r="E2334" t="s">
        <v>18</v>
      </c>
      <c r="F2334" t="s">
        <v>19</v>
      </c>
      <c r="H2334" s="23" t="e">
        <f>VLOOKUP(A2334,Revisión!$A$2:$L$703,6,FALSE)</f>
        <v>#N/A</v>
      </c>
      <c r="I2334" s="4" t="e">
        <f>VLOOKUP(A2334,Revisión!$A$2:$L$703,7,FALSE)</f>
        <v>#N/A</v>
      </c>
      <c r="J2334" s="4" t="e">
        <f>VLOOKUP(A2334,Revisión!$A$2:$L$703,8,FALSE)</f>
        <v>#N/A</v>
      </c>
      <c r="K2334" s="4" t="e">
        <f>VLOOKUP(A2334,Revisión!$A$2:$L$703,9,FALSE)</f>
        <v>#N/A</v>
      </c>
      <c r="L2334" s="4" t="e">
        <f>VLOOKUP(A2334,Revisión!$A$2:$L$703,10,FALSE)</f>
        <v>#N/A</v>
      </c>
      <c r="M2334" s="18" t="e">
        <f>VLOOKUP(A2334,Revisión!$A$2:$L$703,11,FALSE)</f>
        <v>#N/A</v>
      </c>
      <c r="N2334" s="30" t="str">
        <f>IF(E2334="Coinciden",D2334,IF(E2334="Revisar",VLOOKUP(A2334,Revisión!$A$2:$L$703,12,FALSE),""))</f>
        <v>Viburnum dilatatum</v>
      </c>
    </row>
    <row r="2335" spans="1:14" x14ac:dyDescent="0.3">
      <c r="A2335" t="s">
        <v>4789</v>
      </c>
      <c r="C2335" t="s">
        <v>4790</v>
      </c>
      <c r="D2335" t="s">
        <v>4790</v>
      </c>
      <c r="E2335" t="s">
        <v>8</v>
      </c>
      <c r="F2335" t="s">
        <v>49</v>
      </c>
      <c r="H2335" s="23" t="str">
        <f>VLOOKUP(A2335,Revisión!$A$2:$L$703,6,FALSE)</f>
        <v>Viburnum phlebotrichum</v>
      </c>
      <c r="I2335" s="4" t="str">
        <f>VLOOKUP(A2335,Revisión!$A$2:$L$703,7,FALSE)</f>
        <v>-</v>
      </c>
      <c r="J2335" s="4" t="str">
        <f>VLOOKUP(A2335,Revisión!$A$2:$L$703,8,FALSE)</f>
        <v>Viburnum phlebotrichum</v>
      </c>
      <c r="K2335" s="4" t="str">
        <f>VLOOKUP(A2335,Revisión!$A$2:$L$703,9,FALSE)</f>
        <v>Viburnum phlebotrichum</v>
      </c>
      <c r="L2335" s="4" t="str">
        <f>VLOOKUP(A2335,Revisión!$A$2:$L$703,10,FALSE)</f>
        <v>Viburnum phlebotrichum</v>
      </c>
      <c r="M2335" s="18">
        <f>VLOOKUP(A2335,Revisión!$A$2:$L$703,11,FALSE)</f>
        <v>5</v>
      </c>
      <c r="N2335" s="30" t="str">
        <f>IF(E2335="Coinciden",D2335,IF(E2335="Revisar",VLOOKUP(A2335,Revisión!$A$2:$L$703,12,FALSE),""))</f>
        <v>Viburnum phlebotrichum</v>
      </c>
    </row>
    <row r="2336" spans="1:14" x14ac:dyDescent="0.3">
      <c r="A2336" t="s">
        <v>4791</v>
      </c>
      <c r="B2336" t="s">
        <v>4792</v>
      </c>
      <c r="C2336" t="s">
        <v>4792</v>
      </c>
      <c r="D2336" t="s">
        <v>4792</v>
      </c>
      <c r="E2336" t="s">
        <v>18</v>
      </c>
      <c r="F2336" t="s">
        <v>19</v>
      </c>
      <c r="H2336" s="23" t="e">
        <f>VLOOKUP(A2336,Revisión!$A$2:$L$703,6,FALSE)</f>
        <v>#N/A</v>
      </c>
      <c r="I2336" s="4" t="e">
        <f>VLOOKUP(A2336,Revisión!$A$2:$L$703,7,FALSE)</f>
        <v>#N/A</v>
      </c>
      <c r="J2336" s="4" t="e">
        <f>VLOOKUP(A2336,Revisión!$A$2:$L$703,8,FALSE)</f>
        <v>#N/A</v>
      </c>
      <c r="K2336" s="4" t="e">
        <f>VLOOKUP(A2336,Revisión!$A$2:$L$703,9,FALSE)</f>
        <v>#N/A</v>
      </c>
      <c r="L2336" s="4" t="e">
        <f>VLOOKUP(A2336,Revisión!$A$2:$L$703,10,FALSE)</f>
        <v>#N/A</v>
      </c>
      <c r="M2336" s="18" t="e">
        <f>VLOOKUP(A2336,Revisión!$A$2:$L$703,11,FALSE)</f>
        <v>#N/A</v>
      </c>
      <c r="N2336" s="30" t="str">
        <f>IF(E2336="Coinciden",D2336,IF(E2336="Revisar",VLOOKUP(A2336,Revisión!$A$2:$L$703,12,FALSE),""))</f>
        <v>Viburnum erosum</v>
      </c>
    </row>
    <row r="2337" spans="1:14" x14ac:dyDescent="0.3">
      <c r="A2337" t="s">
        <v>4793</v>
      </c>
      <c r="B2337" t="s">
        <v>4794</v>
      </c>
      <c r="C2337" t="s">
        <v>4794</v>
      </c>
      <c r="D2337" t="s">
        <v>4794</v>
      </c>
      <c r="E2337" t="s">
        <v>18</v>
      </c>
      <c r="F2337" t="s">
        <v>19</v>
      </c>
      <c r="H2337" s="23" t="e">
        <f>VLOOKUP(A2337,Revisión!$A$2:$L$703,6,FALSE)</f>
        <v>#N/A</v>
      </c>
      <c r="I2337" s="4" t="e">
        <f>VLOOKUP(A2337,Revisión!$A$2:$L$703,7,FALSE)</f>
        <v>#N/A</v>
      </c>
      <c r="J2337" s="4" t="e">
        <f>VLOOKUP(A2337,Revisión!$A$2:$L$703,8,FALSE)</f>
        <v>#N/A</v>
      </c>
      <c r="K2337" s="4" t="e">
        <f>VLOOKUP(A2337,Revisión!$A$2:$L$703,9,FALSE)</f>
        <v>#N/A</v>
      </c>
      <c r="L2337" s="4" t="e">
        <f>VLOOKUP(A2337,Revisión!$A$2:$L$703,10,FALSE)</f>
        <v>#N/A</v>
      </c>
      <c r="M2337" s="18" t="e">
        <f>VLOOKUP(A2337,Revisión!$A$2:$L$703,11,FALSE)</f>
        <v>#N/A</v>
      </c>
      <c r="N2337" s="30" t="str">
        <f>IF(E2337="Coinciden",D2337,IF(E2337="Revisar",VLOOKUP(A2337,Revisión!$A$2:$L$703,12,FALSE),""))</f>
        <v>Viburnum opulus</v>
      </c>
    </row>
    <row r="2338" spans="1:14" x14ac:dyDescent="0.3">
      <c r="A2338" t="s">
        <v>4795</v>
      </c>
      <c r="B2338" t="s">
        <v>4796</v>
      </c>
      <c r="C2338" t="s">
        <v>4796</v>
      </c>
      <c r="D2338" t="s">
        <v>4796</v>
      </c>
      <c r="E2338" t="s">
        <v>18</v>
      </c>
      <c r="F2338" t="s">
        <v>19</v>
      </c>
      <c r="H2338" s="23" t="e">
        <f>VLOOKUP(A2338,Revisión!$A$2:$L$703,6,FALSE)</f>
        <v>#N/A</v>
      </c>
      <c r="I2338" s="4" t="e">
        <f>VLOOKUP(A2338,Revisión!$A$2:$L$703,7,FALSE)</f>
        <v>#N/A</v>
      </c>
      <c r="J2338" s="4" t="e">
        <f>VLOOKUP(A2338,Revisión!$A$2:$L$703,8,FALSE)</f>
        <v>#N/A</v>
      </c>
      <c r="K2338" s="4" t="e">
        <f>VLOOKUP(A2338,Revisión!$A$2:$L$703,9,FALSE)</f>
        <v>#N/A</v>
      </c>
      <c r="L2338" s="4" t="e">
        <f>VLOOKUP(A2338,Revisión!$A$2:$L$703,10,FALSE)</f>
        <v>#N/A</v>
      </c>
      <c r="M2338" s="18" t="e">
        <f>VLOOKUP(A2338,Revisión!$A$2:$L$703,11,FALSE)</f>
        <v>#N/A</v>
      </c>
      <c r="N2338" s="30" t="str">
        <f>IF(E2338="Coinciden",D2338,IF(E2338="Revisar",VLOOKUP(A2338,Revisión!$A$2:$L$703,12,FALSE),""))</f>
        <v>Viburnum plicatum</v>
      </c>
    </row>
    <row r="2339" spans="1:14" x14ac:dyDescent="0.3">
      <c r="A2339" t="s">
        <v>4797</v>
      </c>
      <c r="B2339" t="s">
        <v>4798</v>
      </c>
      <c r="C2339" t="s">
        <v>4798</v>
      </c>
      <c r="D2339" t="s">
        <v>4798</v>
      </c>
      <c r="E2339" t="s">
        <v>18</v>
      </c>
      <c r="F2339" t="s">
        <v>19</v>
      </c>
      <c r="H2339" s="23" t="e">
        <f>VLOOKUP(A2339,Revisión!$A$2:$L$703,6,FALSE)</f>
        <v>#N/A</v>
      </c>
      <c r="I2339" s="4" t="e">
        <f>VLOOKUP(A2339,Revisión!$A$2:$L$703,7,FALSE)</f>
        <v>#N/A</v>
      </c>
      <c r="J2339" s="4" t="e">
        <f>VLOOKUP(A2339,Revisión!$A$2:$L$703,8,FALSE)</f>
        <v>#N/A</v>
      </c>
      <c r="K2339" s="4" t="e">
        <f>VLOOKUP(A2339,Revisión!$A$2:$L$703,9,FALSE)</f>
        <v>#N/A</v>
      </c>
      <c r="L2339" s="4" t="e">
        <f>VLOOKUP(A2339,Revisión!$A$2:$L$703,10,FALSE)</f>
        <v>#N/A</v>
      </c>
      <c r="M2339" s="18" t="e">
        <f>VLOOKUP(A2339,Revisión!$A$2:$L$703,11,FALSE)</f>
        <v>#N/A</v>
      </c>
      <c r="N2339" s="30" t="str">
        <f>IF(E2339="Coinciden",D2339,IF(E2339="Revisar",VLOOKUP(A2339,Revisión!$A$2:$L$703,12,FALSE),""))</f>
        <v>Viburnum dentatum</v>
      </c>
    </row>
    <row r="2340" spans="1:14" x14ac:dyDescent="0.3">
      <c r="A2340" t="s">
        <v>4799</v>
      </c>
      <c r="D2340" t="s">
        <v>4800</v>
      </c>
      <c r="E2340" t="s">
        <v>8</v>
      </c>
      <c r="F2340" t="s">
        <v>9</v>
      </c>
      <c r="H2340" s="23" t="str">
        <f>VLOOKUP(A2340,Revisión!$A$2:$L$703,6,FALSE)</f>
        <v>Vicia lutea</v>
      </c>
      <c r="I2340" s="4" t="str">
        <f>VLOOKUP(A2340,Revisión!$A$2:$L$703,7,FALSE)</f>
        <v>-</v>
      </c>
      <c r="J2340" s="4" t="str">
        <f>VLOOKUP(A2340,Revisión!$A$2:$L$703,8,FALSE)</f>
        <v>Vicia lutea</v>
      </c>
      <c r="K2340" s="4" t="str">
        <f>VLOOKUP(A2340,Revisión!$A$2:$L$703,9,FALSE)</f>
        <v>Vicia lutea</v>
      </c>
      <c r="L2340" s="4" t="str">
        <f>VLOOKUP(A2340,Revisión!$A$2:$L$703,10,FALSE)</f>
        <v>Vicia lutea</v>
      </c>
      <c r="M2340" s="18">
        <f>VLOOKUP(A2340,Revisión!$A$2:$L$703,11,FALSE)</f>
        <v>5</v>
      </c>
      <c r="N2340" s="30" t="str">
        <f>IF(E2340="Coinciden",D2340,IF(E2340="Revisar",VLOOKUP(A2340,Revisión!$A$2:$L$703,12,FALSE),""))</f>
        <v>Vicia lutea</v>
      </c>
    </row>
    <row r="2341" spans="1:14" x14ac:dyDescent="0.3">
      <c r="A2341" t="s">
        <v>4801</v>
      </c>
      <c r="B2341" t="s">
        <v>4802</v>
      </c>
      <c r="C2341" t="s">
        <v>4802</v>
      </c>
      <c r="D2341" t="s">
        <v>4802</v>
      </c>
      <c r="E2341" t="s">
        <v>18</v>
      </c>
      <c r="F2341" t="s">
        <v>19</v>
      </c>
      <c r="H2341" s="23" t="e">
        <f>VLOOKUP(A2341,Revisión!$A$2:$L$703,6,FALSE)</f>
        <v>#N/A</v>
      </c>
      <c r="I2341" s="4" t="e">
        <f>VLOOKUP(A2341,Revisión!$A$2:$L$703,7,FALSE)</f>
        <v>#N/A</v>
      </c>
      <c r="J2341" s="4" t="e">
        <f>VLOOKUP(A2341,Revisión!$A$2:$L$703,8,FALSE)</f>
        <v>#N/A</v>
      </c>
      <c r="K2341" s="4" t="e">
        <f>VLOOKUP(A2341,Revisión!$A$2:$L$703,9,FALSE)</f>
        <v>#N/A</v>
      </c>
      <c r="L2341" s="4" t="e">
        <f>VLOOKUP(A2341,Revisión!$A$2:$L$703,10,FALSE)</f>
        <v>#N/A</v>
      </c>
      <c r="M2341" s="18" t="e">
        <f>VLOOKUP(A2341,Revisión!$A$2:$L$703,11,FALSE)</f>
        <v>#N/A</v>
      </c>
      <c r="N2341" s="30" t="str">
        <f>IF(E2341="Coinciden",D2341,IF(E2341="Revisar",VLOOKUP(A2341,Revisión!$A$2:$L$703,12,FALSE),""))</f>
        <v>Vicia hirsuta</v>
      </c>
    </row>
    <row r="2342" spans="1:14" x14ac:dyDescent="0.3">
      <c r="A2342" t="s">
        <v>4803</v>
      </c>
      <c r="B2342" t="s">
        <v>4804</v>
      </c>
      <c r="C2342" t="s">
        <v>4804</v>
      </c>
      <c r="D2342" t="s">
        <v>4804</v>
      </c>
      <c r="E2342" t="s">
        <v>18</v>
      </c>
      <c r="F2342" t="s">
        <v>19</v>
      </c>
      <c r="H2342" s="23" t="e">
        <f>VLOOKUP(A2342,Revisión!$A$2:$L$703,6,FALSE)</f>
        <v>#N/A</v>
      </c>
      <c r="I2342" s="4" t="e">
        <f>VLOOKUP(A2342,Revisión!$A$2:$L$703,7,FALSE)</f>
        <v>#N/A</v>
      </c>
      <c r="J2342" s="4" t="e">
        <f>VLOOKUP(A2342,Revisión!$A$2:$L$703,8,FALSE)</f>
        <v>#N/A</v>
      </c>
      <c r="K2342" s="4" t="e">
        <f>VLOOKUP(A2342,Revisión!$A$2:$L$703,9,FALSE)</f>
        <v>#N/A</v>
      </c>
      <c r="L2342" s="4" t="e">
        <f>VLOOKUP(A2342,Revisión!$A$2:$L$703,10,FALSE)</f>
        <v>#N/A</v>
      </c>
      <c r="M2342" s="18" t="e">
        <f>VLOOKUP(A2342,Revisión!$A$2:$L$703,11,FALSE)</f>
        <v>#N/A</v>
      </c>
      <c r="N2342" s="30" t="str">
        <f>IF(E2342="Coinciden",D2342,IF(E2342="Revisar",VLOOKUP(A2342,Revisión!$A$2:$L$703,12,FALSE),""))</f>
        <v>Vicia sepium</v>
      </c>
    </row>
    <row r="2343" spans="1:14" x14ac:dyDescent="0.3">
      <c r="A2343" t="s">
        <v>4805</v>
      </c>
      <c r="B2343" t="s">
        <v>4806</v>
      </c>
      <c r="D2343" t="s">
        <v>4806</v>
      </c>
      <c r="E2343" t="s">
        <v>8</v>
      </c>
      <c r="F2343" t="s">
        <v>34</v>
      </c>
      <c r="H2343" s="23" t="str">
        <f>VLOOKUP(A2343,Revisión!$A$2:$L$703,6,FALSE)</f>
        <v>Vicia nigricans</v>
      </c>
      <c r="I2343" s="4" t="str">
        <f>VLOOKUP(A2343,Revisión!$A$2:$L$703,7,FALSE)</f>
        <v>-</v>
      </c>
      <c r="J2343" s="4" t="str">
        <f>VLOOKUP(A2343,Revisión!$A$2:$L$703,8,FALSE)</f>
        <v>Vicia nigricans</v>
      </c>
      <c r="K2343" s="4" t="str">
        <f>VLOOKUP(A2343,Revisión!$A$2:$L$703,9,FALSE)</f>
        <v>Vicia nigricans</v>
      </c>
      <c r="L2343" s="4" t="str">
        <f>VLOOKUP(A2343,Revisión!$A$2:$L$703,10,FALSE)</f>
        <v>Vicia nigricans</v>
      </c>
      <c r="M2343" s="18">
        <f>VLOOKUP(A2343,Revisión!$A$2:$L$703,11,FALSE)</f>
        <v>4</v>
      </c>
      <c r="N2343" s="30" t="str">
        <f>IF(E2343="Coinciden",D2343,IF(E2343="Revisar",VLOOKUP(A2343,Revisión!$A$2:$L$703,12,FALSE),""))</f>
        <v>Vicia nigricans</v>
      </c>
    </row>
    <row r="2344" spans="1:14" x14ac:dyDescent="0.3">
      <c r="A2344" t="s">
        <v>4807</v>
      </c>
      <c r="B2344" t="s">
        <v>4808</v>
      </c>
      <c r="C2344" t="s">
        <v>4808</v>
      </c>
      <c r="D2344" t="s">
        <v>4808</v>
      </c>
      <c r="E2344" t="s">
        <v>18</v>
      </c>
      <c r="F2344" t="s">
        <v>19</v>
      </c>
      <c r="H2344" s="23" t="e">
        <f>VLOOKUP(A2344,Revisión!$A$2:$L$703,6,FALSE)</f>
        <v>#N/A</v>
      </c>
      <c r="I2344" s="4" t="e">
        <f>VLOOKUP(A2344,Revisión!$A$2:$L$703,7,FALSE)</f>
        <v>#N/A</v>
      </c>
      <c r="J2344" s="4" t="e">
        <f>VLOOKUP(A2344,Revisión!$A$2:$L$703,8,FALSE)</f>
        <v>#N/A</v>
      </c>
      <c r="K2344" s="4" t="e">
        <f>VLOOKUP(A2344,Revisión!$A$2:$L$703,9,FALSE)</f>
        <v>#N/A</v>
      </c>
      <c r="L2344" s="4" t="e">
        <f>VLOOKUP(A2344,Revisión!$A$2:$L$703,10,FALSE)</f>
        <v>#N/A</v>
      </c>
      <c r="M2344" s="18" t="e">
        <f>VLOOKUP(A2344,Revisión!$A$2:$L$703,11,FALSE)</f>
        <v>#N/A</v>
      </c>
      <c r="N2344" s="30" t="str">
        <f>IF(E2344="Coinciden",D2344,IF(E2344="Revisar",VLOOKUP(A2344,Revisión!$A$2:$L$703,12,FALSE),""))</f>
        <v>Vicia cracca</v>
      </c>
    </row>
    <row r="2345" spans="1:14" x14ac:dyDescent="0.3">
      <c r="A2345" t="s">
        <v>4809</v>
      </c>
      <c r="B2345" t="s">
        <v>4810</v>
      </c>
      <c r="C2345" t="s">
        <v>4810</v>
      </c>
      <c r="D2345" t="s">
        <v>4810</v>
      </c>
      <c r="E2345" t="s">
        <v>18</v>
      </c>
      <c r="F2345" t="s">
        <v>19</v>
      </c>
      <c r="H2345" s="23" t="e">
        <f>VLOOKUP(A2345,Revisión!$A$2:$L$703,6,FALSE)</f>
        <v>#N/A</v>
      </c>
      <c r="I2345" s="4" t="e">
        <f>VLOOKUP(A2345,Revisión!$A$2:$L$703,7,FALSE)</f>
        <v>#N/A</v>
      </c>
      <c r="J2345" s="4" t="e">
        <f>VLOOKUP(A2345,Revisión!$A$2:$L$703,8,FALSE)</f>
        <v>#N/A</v>
      </c>
      <c r="K2345" s="4" t="e">
        <f>VLOOKUP(A2345,Revisión!$A$2:$L$703,9,FALSE)</f>
        <v>#N/A</v>
      </c>
      <c r="L2345" s="4" t="e">
        <f>VLOOKUP(A2345,Revisión!$A$2:$L$703,10,FALSE)</f>
        <v>#N/A</v>
      </c>
      <c r="M2345" s="18" t="e">
        <f>VLOOKUP(A2345,Revisión!$A$2:$L$703,11,FALSE)</f>
        <v>#N/A</v>
      </c>
      <c r="N2345" s="30" t="str">
        <f>IF(E2345="Coinciden",D2345,IF(E2345="Revisar",VLOOKUP(A2345,Revisión!$A$2:$L$703,12,FALSE),""))</f>
        <v>Vicia venosa</v>
      </c>
    </row>
    <row r="2346" spans="1:14" x14ac:dyDescent="0.3">
      <c r="A2346" t="s">
        <v>4811</v>
      </c>
      <c r="B2346" t="s">
        <v>4812</v>
      </c>
      <c r="C2346" t="s">
        <v>4812</v>
      </c>
      <c r="D2346" t="s">
        <v>4812</v>
      </c>
      <c r="E2346" t="s">
        <v>18</v>
      </c>
      <c r="F2346" t="s">
        <v>19</v>
      </c>
      <c r="H2346" s="23" t="e">
        <f>VLOOKUP(A2346,Revisión!$A$2:$L$703,6,FALSE)</f>
        <v>#N/A</v>
      </c>
      <c r="I2346" s="4" t="e">
        <f>VLOOKUP(A2346,Revisión!$A$2:$L$703,7,FALSE)</f>
        <v>#N/A</v>
      </c>
      <c r="J2346" s="4" t="e">
        <f>VLOOKUP(A2346,Revisión!$A$2:$L$703,8,FALSE)</f>
        <v>#N/A</v>
      </c>
      <c r="K2346" s="4" t="e">
        <f>VLOOKUP(A2346,Revisión!$A$2:$L$703,9,FALSE)</f>
        <v>#N/A</v>
      </c>
      <c r="L2346" s="4" t="e">
        <f>VLOOKUP(A2346,Revisión!$A$2:$L$703,10,FALSE)</f>
        <v>#N/A</v>
      </c>
      <c r="M2346" s="18" t="e">
        <f>VLOOKUP(A2346,Revisión!$A$2:$L$703,11,FALSE)</f>
        <v>#N/A</v>
      </c>
      <c r="N2346" s="30" t="str">
        <f>IF(E2346="Coinciden",D2346,IF(E2346="Revisar",VLOOKUP(A2346,Revisión!$A$2:$L$703,12,FALSE),""))</f>
        <v>Vicia unijuga</v>
      </c>
    </row>
    <row r="2347" spans="1:14" x14ac:dyDescent="0.3">
      <c r="A2347" t="s">
        <v>4813</v>
      </c>
      <c r="B2347" t="s">
        <v>4814</v>
      </c>
      <c r="C2347" t="s">
        <v>4814</v>
      </c>
      <c r="D2347" t="s">
        <v>4814</v>
      </c>
      <c r="E2347" t="s">
        <v>18</v>
      </c>
      <c r="F2347" t="s">
        <v>19</v>
      </c>
      <c r="H2347" s="23" t="e">
        <f>VLOOKUP(A2347,Revisión!$A$2:$L$703,6,FALSE)</f>
        <v>#N/A</v>
      </c>
      <c r="I2347" s="4" t="e">
        <f>VLOOKUP(A2347,Revisión!$A$2:$L$703,7,FALSE)</f>
        <v>#N/A</v>
      </c>
      <c r="J2347" s="4" t="e">
        <f>VLOOKUP(A2347,Revisión!$A$2:$L$703,8,FALSE)</f>
        <v>#N/A</v>
      </c>
      <c r="K2347" s="4" t="e">
        <f>VLOOKUP(A2347,Revisión!$A$2:$L$703,9,FALSE)</f>
        <v>#N/A</v>
      </c>
      <c r="L2347" s="4" t="e">
        <f>VLOOKUP(A2347,Revisión!$A$2:$L$703,10,FALSE)</f>
        <v>#N/A</v>
      </c>
      <c r="M2347" s="18" t="e">
        <f>VLOOKUP(A2347,Revisión!$A$2:$L$703,11,FALSE)</f>
        <v>#N/A</v>
      </c>
      <c r="N2347" s="30" t="str">
        <f>IF(E2347="Coinciden",D2347,IF(E2347="Revisar",VLOOKUP(A2347,Revisión!$A$2:$L$703,12,FALSE),""))</f>
        <v>Vicia sativa</v>
      </c>
    </row>
    <row r="2348" spans="1:14" x14ac:dyDescent="0.3">
      <c r="A2348" t="s">
        <v>4815</v>
      </c>
      <c r="B2348" t="s">
        <v>4816</v>
      </c>
      <c r="C2348" t="s">
        <v>4816</v>
      </c>
      <c r="D2348" t="s">
        <v>4816</v>
      </c>
      <c r="E2348" t="s">
        <v>18</v>
      </c>
      <c r="F2348" t="s">
        <v>19</v>
      </c>
      <c r="H2348" s="23" t="e">
        <f>VLOOKUP(A2348,Revisión!$A$2:$L$703,6,FALSE)</f>
        <v>#N/A</v>
      </c>
      <c r="I2348" s="4" t="e">
        <f>VLOOKUP(A2348,Revisión!$A$2:$L$703,7,FALSE)</f>
        <v>#N/A</v>
      </c>
      <c r="J2348" s="4" t="e">
        <f>VLOOKUP(A2348,Revisión!$A$2:$L$703,8,FALSE)</f>
        <v>#N/A</v>
      </c>
      <c r="K2348" s="4" t="e">
        <f>VLOOKUP(A2348,Revisión!$A$2:$L$703,9,FALSE)</f>
        <v>#N/A</v>
      </c>
      <c r="L2348" s="4" t="e">
        <f>VLOOKUP(A2348,Revisión!$A$2:$L$703,10,FALSE)</f>
        <v>#N/A</v>
      </c>
      <c r="M2348" s="18" t="e">
        <f>VLOOKUP(A2348,Revisión!$A$2:$L$703,11,FALSE)</f>
        <v>#N/A</v>
      </c>
      <c r="N2348" s="30" t="str">
        <f>IF(E2348="Coinciden",D2348,IF(E2348="Revisar",VLOOKUP(A2348,Revisión!$A$2:$L$703,12,FALSE),""))</f>
        <v>Vigna luteola</v>
      </c>
    </row>
    <row r="2349" spans="1:14" x14ac:dyDescent="0.3">
      <c r="A2349" t="s">
        <v>4817</v>
      </c>
      <c r="B2349" t="s">
        <v>4818</v>
      </c>
      <c r="C2349" t="s">
        <v>4818</v>
      </c>
      <c r="D2349" t="s">
        <v>4818</v>
      </c>
      <c r="E2349" t="s">
        <v>18</v>
      </c>
      <c r="F2349" t="s">
        <v>19</v>
      </c>
      <c r="H2349" s="23" t="e">
        <f>VLOOKUP(A2349,Revisión!$A$2:$L$703,6,FALSE)</f>
        <v>#N/A</v>
      </c>
      <c r="I2349" s="4" t="e">
        <f>VLOOKUP(A2349,Revisión!$A$2:$L$703,7,FALSE)</f>
        <v>#N/A</v>
      </c>
      <c r="J2349" s="4" t="e">
        <f>VLOOKUP(A2349,Revisión!$A$2:$L$703,8,FALSE)</f>
        <v>#N/A</v>
      </c>
      <c r="K2349" s="4" t="e">
        <f>VLOOKUP(A2349,Revisión!$A$2:$L$703,9,FALSE)</f>
        <v>#N/A</v>
      </c>
      <c r="L2349" s="4" t="e">
        <f>VLOOKUP(A2349,Revisión!$A$2:$L$703,10,FALSE)</f>
        <v>#N/A</v>
      </c>
      <c r="M2349" s="18" t="e">
        <f>VLOOKUP(A2349,Revisión!$A$2:$L$703,11,FALSE)</f>
        <v>#N/A</v>
      </c>
      <c r="N2349" s="30" t="str">
        <f>IF(E2349="Coinciden",D2349,IF(E2349="Revisar",VLOOKUP(A2349,Revisión!$A$2:$L$703,12,FALSE),""))</f>
        <v>Vigna marina</v>
      </c>
    </row>
    <row r="2350" spans="1:14" x14ac:dyDescent="0.3">
      <c r="A2350" t="s">
        <v>4819</v>
      </c>
      <c r="B2350" t="s">
        <v>4820</v>
      </c>
      <c r="C2350" t="s">
        <v>4820</v>
      </c>
      <c r="D2350" t="s">
        <v>4820</v>
      </c>
      <c r="E2350" t="s">
        <v>18</v>
      </c>
      <c r="F2350" t="s">
        <v>19</v>
      </c>
      <c r="H2350" s="23" t="e">
        <f>VLOOKUP(A2350,Revisión!$A$2:$L$703,6,FALSE)</f>
        <v>#N/A</v>
      </c>
      <c r="I2350" s="4" t="e">
        <f>VLOOKUP(A2350,Revisión!$A$2:$L$703,7,FALSE)</f>
        <v>#N/A</v>
      </c>
      <c r="J2350" s="4" t="e">
        <f>VLOOKUP(A2350,Revisión!$A$2:$L$703,8,FALSE)</f>
        <v>#N/A</v>
      </c>
      <c r="K2350" s="4" t="e">
        <f>VLOOKUP(A2350,Revisión!$A$2:$L$703,9,FALSE)</f>
        <v>#N/A</v>
      </c>
      <c r="L2350" s="4" t="e">
        <f>VLOOKUP(A2350,Revisión!$A$2:$L$703,10,FALSE)</f>
        <v>#N/A</v>
      </c>
      <c r="M2350" s="18" t="e">
        <f>VLOOKUP(A2350,Revisión!$A$2:$L$703,11,FALSE)</f>
        <v>#N/A</v>
      </c>
      <c r="N2350" s="30" t="str">
        <f>IF(E2350="Coinciden",D2350,IF(E2350="Revisar",VLOOKUP(A2350,Revisión!$A$2:$L$703,12,FALSE),""))</f>
        <v>Viola riviniana</v>
      </c>
    </row>
    <row r="2351" spans="1:14" x14ac:dyDescent="0.3">
      <c r="A2351" t="s">
        <v>4821</v>
      </c>
      <c r="B2351" t="s">
        <v>4822</v>
      </c>
      <c r="C2351" t="s">
        <v>4822</v>
      </c>
      <c r="D2351" t="s">
        <v>4822</v>
      </c>
      <c r="E2351" t="s">
        <v>18</v>
      </c>
      <c r="F2351" t="s">
        <v>19</v>
      </c>
      <c r="H2351" s="23" t="e">
        <f>VLOOKUP(A2351,Revisión!$A$2:$L$703,6,FALSE)</f>
        <v>#N/A</v>
      </c>
      <c r="I2351" s="4" t="e">
        <f>VLOOKUP(A2351,Revisión!$A$2:$L$703,7,FALSE)</f>
        <v>#N/A</v>
      </c>
      <c r="J2351" s="4" t="e">
        <f>VLOOKUP(A2351,Revisión!$A$2:$L$703,8,FALSE)</f>
        <v>#N/A</v>
      </c>
      <c r="K2351" s="4" t="e">
        <f>VLOOKUP(A2351,Revisión!$A$2:$L$703,9,FALSE)</f>
        <v>#N/A</v>
      </c>
      <c r="L2351" s="4" t="e">
        <f>VLOOKUP(A2351,Revisión!$A$2:$L$703,10,FALSE)</f>
        <v>#N/A</v>
      </c>
      <c r="M2351" s="18" t="e">
        <f>VLOOKUP(A2351,Revisión!$A$2:$L$703,11,FALSE)</f>
        <v>#N/A</v>
      </c>
      <c r="N2351" s="30" t="str">
        <f>IF(E2351="Coinciden",D2351,IF(E2351="Revisar",VLOOKUP(A2351,Revisión!$A$2:$L$703,12,FALSE),""))</f>
        <v>Viola pedatifida</v>
      </c>
    </row>
    <row r="2352" spans="1:14" x14ac:dyDescent="0.3">
      <c r="A2352" t="s">
        <v>4823</v>
      </c>
      <c r="B2352" t="s">
        <v>4824</v>
      </c>
      <c r="C2352" t="s">
        <v>4824</v>
      </c>
      <c r="D2352" t="s">
        <v>4824</v>
      </c>
      <c r="E2352" t="s">
        <v>18</v>
      </c>
      <c r="F2352" t="s">
        <v>19</v>
      </c>
      <c r="H2352" s="23" t="e">
        <f>VLOOKUP(A2352,Revisión!$A$2:$L$703,6,FALSE)</f>
        <v>#N/A</v>
      </c>
      <c r="I2352" s="4" t="e">
        <f>VLOOKUP(A2352,Revisión!$A$2:$L$703,7,FALSE)</f>
        <v>#N/A</v>
      </c>
      <c r="J2352" s="4" t="e">
        <f>VLOOKUP(A2352,Revisión!$A$2:$L$703,8,FALSE)</f>
        <v>#N/A</v>
      </c>
      <c r="K2352" s="4" t="e">
        <f>VLOOKUP(A2352,Revisión!$A$2:$L$703,9,FALSE)</f>
        <v>#N/A</v>
      </c>
      <c r="L2352" s="4" t="e">
        <f>VLOOKUP(A2352,Revisión!$A$2:$L$703,10,FALSE)</f>
        <v>#N/A</v>
      </c>
      <c r="M2352" s="18" t="e">
        <f>VLOOKUP(A2352,Revisión!$A$2:$L$703,11,FALSE)</f>
        <v>#N/A</v>
      </c>
      <c r="N2352" s="30" t="str">
        <f>IF(E2352="Coinciden",D2352,IF(E2352="Revisar",VLOOKUP(A2352,Revisión!$A$2:$L$703,12,FALSE),""))</f>
        <v>Viola vaginata</v>
      </c>
    </row>
    <row r="2353" spans="1:14" x14ac:dyDescent="0.3">
      <c r="A2353" t="s">
        <v>4825</v>
      </c>
      <c r="B2353" t="s">
        <v>4826</v>
      </c>
      <c r="C2353" t="s">
        <v>4827</v>
      </c>
      <c r="E2353" t="s">
        <v>8</v>
      </c>
      <c r="F2353" t="s">
        <v>9</v>
      </c>
      <c r="H2353" s="23" t="str">
        <f>VLOOKUP(A2353,Revisión!$A$2:$L$703,6,FALSE)</f>
        <v>Viola microphylla </v>
      </c>
      <c r="I2353" s="4" t="str">
        <f>VLOOKUP(A2353,Revisión!$A$2:$L$703,7,FALSE)</f>
        <v>-</v>
      </c>
      <c r="J2353" s="4" t="str">
        <f>VLOOKUP(A2353,Revisión!$A$2:$L$703,8,FALSE)</f>
        <v>Viola microphylla</v>
      </c>
      <c r="K2353" s="4" t="str">
        <f>VLOOKUP(A2353,Revisión!$A$2:$L$703,9,FALSE)</f>
        <v>Viola microphylla </v>
      </c>
      <c r="L2353" s="4" t="str">
        <f>VLOOKUP(A2353,Revisión!$A$2:$L$703,10,FALSE)</f>
        <v>Viola microphylla </v>
      </c>
      <c r="M2353" s="18">
        <f>VLOOKUP(A2353,Revisión!$A$2:$L$703,11,FALSE)</f>
        <v>4</v>
      </c>
      <c r="N2353" s="30" t="str">
        <f>IF(E2353="Coinciden",D2353,IF(E2353="Revisar",VLOOKUP(A2353,Revisión!$A$2:$L$703,12,FALSE),""))</f>
        <v>Viola microphylla </v>
      </c>
    </row>
    <row r="2354" spans="1:14" x14ac:dyDescent="0.3">
      <c r="A2354" t="s">
        <v>4828</v>
      </c>
      <c r="B2354" t="s">
        <v>4829</v>
      </c>
      <c r="C2354" t="s">
        <v>4830</v>
      </c>
      <c r="D2354" t="s">
        <v>4829</v>
      </c>
      <c r="E2354" t="s">
        <v>8</v>
      </c>
      <c r="F2354" t="s">
        <v>493</v>
      </c>
      <c r="H2354" s="23" t="str">
        <f>VLOOKUP(A2354,Revisión!$A$2:$L$703,6,FALSE)</f>
        <v>Viola sororia</v>
      </c>
      <c r="I2354" s="4" t="str">
        <f>VLOOKUP(A2354,Revisión!$A$2:$L$703,7,FALSE)</f>
        <v>-</v>
      </c>
      <c r="J2354" s="4" t="str">
        <f>VLOOKUP(A2354,Revisión!$A$2:$L$703,8,FALSE)</f>
        <v>Viola affinis</v>
      </c>
      <c r="K2354" s="4" t="str">
        <f>VLOOKUP(A2354,Revisión!$A$2:$L$703,9,FALSE)</f>
        <v>Viola sororia </v>
      </c>
      <c r="L2354" s="4" t="str">
        <f>VLOOKUP(A2354,Revisión!$A$2:$L$703,10,FALSE)</f>
        <v>Viola sororia </v>
      </c>
      <c r="M2354" s="18">
        <f>VLOOKUP(A2354,Revisión!$A$2:$L$703,11,FALSE)</f>
        <v>4</v>
      </c>
      <c r="N2354" s="30" t="str">
        <f>IF(E2354="Coinciden",D2354,IF(E2354="Revisar",VLOOKUP(A2354,Revisión!$A$2:$L$703,12,FALSE),""))</f>
        <v>Viola sororia </v>
      </c>
    </row>
    <row r="2355" spans="1:14" x14ac:dyDescent="0.3">
      <c r="A2355" t="s">
        <v>4831</v>
      </c>
      <c r="B2355" t="s">
        <v>4832</v>
      </c>
      <c r="C2355" t="s">
        <v>4832</v>
      </c>
      <c r="D2355" t="s">
        <v>4832</v>
      </c>
      <c r="E2355" t="s">
        <v>18</v>
      </c>
      <c r="F2355" t="s">
        <v>19</v>
      </c>
      <c r="H2355" s="23" t="e">
        <f>VLOOKUP(A2355,Revisión!$A$2:$L$703,6,FALSE)</f>
        <v>#N/A</v>
      </c>
      <c r="I2355" s="4" t="e">
        <f>VLOOKUP(A2355,Revisión!$A$2:$L$703,7,FALSE)</f>
        <v>#N/A</v>
      </c>
      <c r="J2355" s="4" t="e">
        <f>VLOOKUP(A2355,Revisión!$A$2:$L$703,8,FALSE)</f>
        <v>#N/A</v>
      </c>
      <c r="K2355" s="4" t="e">
        <f>VLOOKUP(A2355,Revisión!$A$2:$L$703,9,FALSE)</f>
        <v>#N/A</v>
      </c>
      <c r="L2355" s="4" t="e">
        <f>VLOOKUP(A2355,Revisión!$A$2:$L$703,10,FALSE)</f>
        <v>#N/A</v>
      </c>
      <c r="M2355" s="18" t="e">
        <f>VLOOKUP(A2355,Revisión!$A$2:$L$703,11,FALSE)</f>
        <v>#N/A</v>
      </c>
      <c r="N2355" s="30" t="str">
        <f>IF(E2355="Coinciden",D2355,IF(E2355="Revisar",VLOOKUP(A2355,Revisión!$A$2:$L$703,12,FALSE),""))</f>
        <v>Viola sagittata</v>
      </c>
    </row>
    <row r="2356" spans="1:14" x14ac:dyDescent="0.3">
      <c r="A2356" t="s">
        <v>4833</v>
      </c>
      <c r="B2356" t="s">
        <v>4834</v>
      </c>
      <c r="C2356" t="s">
        <v>4834</v>
      </c>
      <c r="D2356" t="s">
        <v>4834</v>
      </c>
      <c r="E2356" t="s">
        <v>18</v>
      </c>
      <c r="F2356" t="s">
        <v>19</v>
      </c>
      <c r="H2356" s="23" t="e">
        <f>VLOOKUP(A2356,Revisión!$A$2:$L$703,6,FALSE)</f>
        <v>#N/A</v>
      </c>
      <c r="I2356" s="4" t="e">
        <f>VLOOKUP(A2356,Revisión!$A$2:$L$703,7,FALSE)</f>
        <v>#N/A</v>
      </c>
      <c r="J2356" s="4" t="e">
        <f>VLOOKUP(A2356,Revisión!$A$2:$L$703,8,FALSE)</f>
        <v>#N/A</v>
      </c>
      <c r="K2356" s="4" t="e">
        <f>VLOOKUP(A2356,Revisión!$A$2:$L$703,9,FALSE)</f>
        <v>#N/A</v>
      </c>
      <c r="L2356" s="4" t="e">
        <f>VLOOKUP(A2356,Revisión!$A$2:$L$703,10,FALSE)</f>
        <v>#N/A</v>
      </c>
      <c r="M2356" s="18" t="e">
        <f>VLOOKUP(A2356,Revisión!$A$2:$L$703,11,FALSE)</f>
        <v>#N/A</v>
      </c>
      <c r="N2356" s="30" t="str">
        <f>IF(E2356="Coinciden",D2356,IF(E2356="Revisar",VLOOKUP(A2356,Revisión!$A$2:$L$703,12,FALSE),""))</f>
        <v>Viola grypoceras</v>
      </c>
    </row>
    <row r="2357" spans="1:14" x14ac:dyDescent="0.3">
      <c r="A2357" t="s">
        <v>4835</v>
      </c>
      <c r="B2357" t="s">
        <v>4836</v>
      </c>
      <c r="C2357" t="s">
        <v>4837</v>
      </c>
      <c r="D2357" t="s">
        <v>4837</v>
      </c>
      <c r="E2357" t="s">
        <v>8</v>
      </c>
      <c r="F2357" t="s">
        <v>23</v>
      </c>
      <c r="H2357" s="23" t="str">
        <f>VLOOKUP(A2357,Revisión!$A$2:$L$703,6,FALSE)</f>
        <v>Viola philippica subsp. philippica</v>
      </c>
      <c r="I2357" s="4" t="str">
        <f>VLOOKUP(A2357,Revisión!$A$2:$L$703,7,FALSE)</f>
        <v>-</v>
      </c>
      <c r="J2357" s="4" t="str">
        <f>VLOOKUP(A2357,Revisión!$A$2:$L$703,8,FALSE)</f>
        <v>Viola philippica var. pseudojaponica</v>
      </c>
      <c r="K2357" s="4" t="str">
        <f>VLOOKUP(A2357,Revisión!$A$2:$L$703,9,FALSE)</f>
        <v>Viola philippica subsp. philippica</v>
      </c>
      <c r="L2357" s="4" t="str">
        <f>VLOOKUP(A2357,Revisión!$A$2:$L$703,10,FALSE)</f>
        <v>Viola philippica subsp. philippica</v>
      </c>
      <c r="M2357" s="18">
        <f>VLOOKUP(A2357,Revisión!$A$2:$L$703,11,FALSE)</f>
        <v>4</v>
      </c>
      <c r="N2357" s="30" t="str">
        <f>IF(E2357="Coinciden",D2357,IF(E2357="Revisar",VLOOKUP(A2357,Revisión!$A$2:$L$703,12,FALSE),""))</f>
        <v>Viola philippica subsp. philippica</v>
      </c>
    </row>
    <row r="2358" spans="1:14" x14ac:dyDescent="0.3">
      <c r="A2358" t="s">
        <v>4838</v>
      </c>
      <c r="B2358" t="s">
        <v>4839</v>
      </c>
      <c r="C2358" t="s">
        <v>4839</v>
      </c>
      <c r="D2358" t="s">
        <v>4839</v>
      </c>
      <c r="E2358" t="s">
        <v>18</v>
      </c>
      <c r="F2358" t="s">
        <v>19</v>
      </c>
      <c r="H2358" s="23" t="e">
        <f>VLOOKUP(A2358,Revisión!$A$2:$L$703,6,FALSE)</f>
        <v>#N/A</v>
      </c>
      <c r="I2358" s="4" t="e">
        <f>VLOOKUP(A2358,Revisión!$A$2:$L$703,7,FALSE)</f>
        <v>#N/A</v>
      </c>
      <c r="J2358" s="4" t="e">
        <f>VLOOKUP(A2358,Revisión!$A$2:$L$703,8,FALSE)</f>
        <v>#N/A</v>
      </c>
      <c r="K2358" s="4" t="e">
        <f>VLOOKUP(A2358,Revisión!$A$2:$L$703,9,FALSE)</f>
        <v>#N/A</v>
      </c>
      <c r="L2358" s="4" t="e">
        <f>VLOOKUP(A2358,Revisión!$A$2:$L$703,10,FALSE)</f>
        <v>#N/A</v>
      </c>
      <c r="M2358" s="18" t="e">
        <f>VLOOKUP(A2358,Revisión!$A$2:$L$703,11,FALSE)</f>
        <v>#N/A</v>
      </c>
      <c r="N2358" s="30" t="str">
        <f>IF(E2358="Coinciden",D2358,IF(E2358="Revisar",VLOOKUP(A2358,Revisión!$A$2:$L$703,12,FALSE),""))</f>
        <v>Viola mandshurica</v>
      </c>
    </row>
    <row r="2359" spans="1:14" x14ac:dyDescent="0.3">
      <c r="A2359" t="s">
        <v>4840</v>
      </c>
      <c r="B2359" t="s">
        <v>4841</v>
      </c>
      <c r="C2359" t="s">
        <v>4841</v>
      </c>
      <c r="D2359" t="s">
        <v>4841</v>
      </c>
      <c r="E2359" t="s">
        <v>18</v>
      </c>
      <c r="F2359" t="s">
        <v>19</v>
      </c>
      <c r="H2359" s="23" t="e">
        <f>VLOOKUP(A2359,Revisión!$A$2:$L$703,6,FALSE)</f>
        <v>#N/A</v>
      </c>
      <c r="I2359" s="4" t="e">
        <f>VLOOKUP(A2359,Revisión!$A$2:$L$703,7,FALSE)</f>
        <v>#N/A</v>
      </c>
      <c r="J2359" s="4" t="e">
        <f>VLOOKUP(A2359,Revisión!$A$2:$L$703,8,FALSE)</f>
        <v>#N/A</v>
      </c>
      <c r="K2359" s="4" t="e">
        <f>VLOOKUP(A2359,Revisión!$A$2:$L$703,9,FALSE)</f>
        <v>#N/A</v>
      </c>
      <c r="L2359" s="4" t="e">
        <f>VLOOKUP(A2359,Revisión!$A$2:$L$703,10,FALSE)</f>
        <v>#N/A</v>
      </c>
      <c r="M2359" s="18" t="e">
        <f>VLOOKUP(A2359,Revisión!$A$2:$L$703,11,FALSE)</f>
        <v>#N/A</v>
      </c>
      <c r="N2359" s="30" t="str">
        <f>IF(E2359="Coinciden",D2359,IF(E2359="Revisar",VLOOKUP(A2359,Revisión!$A$2:$L$703,12,FALSE),""))</f>
        <v>Viola hondoensis</v>
      </c>
    </row>
    <row r="2360" spans="1:14" x14ac:dyDescent="0.3">
      <c r="A2360" t="s">
        <v>4842</v>
      </c>
      <c r="B2360" t="s">
        <v>4843</v>
      </c>
      <c r="C2360" t="s">
        <v>4843</v>
      </c>
      <c r="D2360" t="s">
        <v>4843</v>
      </c>
      <c r="E2360" t="s">
        <v>18</v>
      </c>
      <c r="F2360" t="s">
        <v>19</v>
      </c>
      <c r="H2360" s="23" t="e">
        <f>VLOOKUP(A2360,Revisión!$A$2:$L$703,6,FALSE)</f>
        <v>#N/A</v>
      </c>
      <c r="I2360" s="4" t="e">
        <f>VLOOKUP(A2360,Revisión!$A$2:$L$703,7,FALSE)</f>
        <v>#N/A</v>
      </c>
      <c r="J2360" s="4" t="e">
        <f>VLOOKUP(A2360,Revisión!$A$2:$L$703,8,FALSE)</f>
        <v>#N/A</v>
      </c>
      <c r="K2360" s="4" t="e">
        <f>VLOOKUP(A2360,Revisión!$A$2:$L$703,9,FALSE)</f>
        <v>#N/A</v>
      </c>
      <c r="L2360" s="4" t="e">
        <f>VLOOKUP(A2360,Revisión!$A$2:$L$703,10,FALSE)</f>
        <v>#N/A</v>
      </c>
      <c r="M2360" s="18" t="e">
        <f>VLOOKUP(A2360,Revisión!$A$2:$L$703,11,FALSE)</f>
        <v>#N/A</v>
      </c>
      <c r="N2360" s="30" t="str">
        <f>IF(E2360="Coinciden",D2360,IF(E2360="Revisar",VLOOKUP(A2360,Revisión!$A$2:$L$703,12,FALSE),""))</f>
        <v>Viola striata</v>
      </c>
    </row>
    <row r="2361" spans="1:14" x14ac:dyDescent="0.3">
      <c r="A2361" t="s">
        <v>4844</v>
      </c>
      <c r="B2361" t="s">
        <v>4845</v>
      </c>
      <c r="C2361" t="s">
        <v>4845</v>
      </c>
      <c r="D2361" t="s">
        <v>4845</v>
      </c>
      <c r="E2361" t="s">
        <v>18</v>
      </c>
      <c r="F2361" t="s">
        <v>19</v>
      </c>
      <c r="H2361" s="23" t="e">
        <f>VLOOKUP(A2361,Revisión!$A$2:$L$703,6,FALSE)</f>
        <v>#N/A</v>
      </c>
      <c r="I2361" s="4" t="e">
        <f>VLOOKUP(A2361,Revisión!$A$2:$L$703,7,FALSE)</f>
        <v>#N/A</v>
      </c>
      <c r="J2361" s="4" t="e">
        <f>VLOOKUP(A2361,Revisión!$A$2:$L$703,8,FALSE)</f>
        <v>#N/A</v>
      </c>
      <c r="K2361" s="4" t="e">
        <f>VLOOKUP(A2361,Revisión!$A$2:$L$703,9,FALSE)</f>
        <v>#N/A</v>
      </c>
      <c r="L2361" s="4" t="e">
        <f>VLOOKUP(A2361,Revisión!$A$2:$L$703,10,FALSE)</f>
        <v>#N/A</v>
      </c>
      <c r="M2361" s="18" t="e">
        <f>VLOOKUP(A2361,Revisión!$A$2:$L$703,11,FALSE)</f>
        <v>#N/A</v>
      </c>
      <c r="N2361" s="30" t="str">
        <f>IF(E2361="Coinciden",D2361,IF(E2361="Revisar",VLOOKUP(A2361,Revisión!$A$2:$L$703,12,FALSE),""))</f>
        <v>Viola cunninghamii</v>
      </c>
    </row>
    <row r="2362" spans="1:14" x14ac:dyDescent="0.3">
      <c r="A2362" t="s">
        <v>4846</v>
      </c>
      <c r="B2362" t="s">
        <v>4847</v>
      </c>
      <c r="C2362" t="s">
        <v>4847</v>
      </c>
      <c r="D2362" t="s">
        <v>4847</v>
      </c>
      <c r="E2362" t="s">
        <v>18</v>
      </c>
      <c r="F2362" t="s">
        <v>19</v>
      </c>
      <c r="H2362" s="23" t="e">
        <f>VLOOKUP(A2362,Revisión!$A$2:$L$703,6,FALSE)</f>
        <v>#N/A</v>
      </c>
      <c r="I2362" s="4" t="e">
        <f>VLOOKUP(A2362,Revisión!$A$2:$L$703,7,FALSE)</f>
        <v>#N/A</v>
      </c>
      <c r="J2362" s="4" t="e">
        <f>VLOOKUP(A2362,Revisión!$A$2:$L$703,8,FALSE)</f>
        <v>#N/A</v>
      </c>
      <c r="K2362" s="4" t="e">
        <f>VLOOKUP(A2362,Revisión!$A$2:$L$703,9,FALSE)</f>
        <v>#N/A</v>
      </c>
      <c r="L2362" s="4" t="e">
        <f>VLOOKUP(A2362,Revisión!$A$2:$L$703,10,FALSE)</f>
        <v>#N/A</v>
      </c>
      <c r="M2362" s="18" t="e">
        <f>VLOOKUP(A2362,Revisión!$A$2:$L$703,11,FALSE)</f>
        <v>#N/A</v>
      </c>
      <c r="N2362" s="30" t="str">
        <f>IF(E2362="Coinciden",D2362,IF(E2362="Revisar",VLOOKUP(A2362,Revisión!$A$2:$L$703,12,FALSE),""))</f>
        <v>Viola hamiltoniana</v>
      </c>
    </row>
    <row r="2363" spans="1:14" x14ac:dyDescent="0.3">
      <c r="A2363" t="s">
        <v>4848</v>
      </c>
      <c r="B2363" t="s">
        <v>4849</v>
      </c>
      <c r="C2363" t="s">
        <v>4849</v>
      </c>
      <c r="D2363" t="s">
        <v>4849</v>
      </c>
      <c r="E2363" t="s">
        <v>18</v>
      </c>
      <c r="F2363" t="s">
        <v>19</v>
      </c>
      <c r="H2363" s="23" t="e">
        <f>VLOOKUP(A2363,Revisión!$A$2:$L$703,6,FALSE)</f>
        <v>#N/A</v>
      </c>
      <c r="I2363" s="4" t="e">
        <f>VLOOKUP(A2363,Revisión!$A$2:$L$703,7,FALSE)</f>
        <v>#N/A</v>
      </c>
      <c r="J2363" s="4" t="e">
        <f>VLOOKUP(A2363,Revisión!$A$2:$L$703,8,FALSE)</f>
        <v>#N/A</v>
      </c>
      <c r="K2363" s="4" t="e">
        <f>VLOOKUP(A2363,Revisión!$A$2:$L$703,9,FALSE)</f>
        <v>#N/A</v>
      </c>
      <c r="L2363" s="4" t="e">
        <f>VLOOKUP(A2363,Revisión!$A$2:$L$703,10,FALSE)</f>
        <v>#N/A</v>
      </c>
      <c r="M2363" s="18" t="e">
        <f>VLOOKUP(A2363,Revisión!$A$2:$L$703,11,FALSE)</f>
        <v>#N/A</v>
      </c>
      <c r="N2363" s="30" t="str">
        <f>IF(E2363="Coinciden",D2363,IF(E2363="Revisar",VLOOKUP(A2363,Revisión!$A$2:$L$703,12,FALSE),""))</f>
        <v>Viola pubescens</v>
      </c>
    </row>
    <row r="2364" spans="1:14" x14ac:dyDescent="0.3">
      <c r="A2364" t="s">
        <v>4850</v>
      </c>
      <c r="B2364" t="s">
        <v>4851</v>
      </c>
      <c r="C2364" t="s">
        <v>4851</v>
      </c>
      <c r="D2364" t="s">
        <v>4851</v>
      </c>
      <c r="E2364" t="s">
        <v>18</v>
      </c>
      <c r="F2364" t="s">
        <v>19</v>
      </c>
      <c r="H2364" s="23" t="e">
        <f>VLOOKUP(A2364,Revisión!$A$2:$L$703,6,FALSE)</f>
        <v>#N/A</v>
      </c>
      <c r="I2364" s="4" t="e">
        <f>VLOOKUP(A2364,Revisión!$A$2:$L$703,7,FALSE)</f>
        <v>#N/A</v>
      </c>
      <c r="J2364" s="4" t="e">
        <f>VLOOKUP(A2364,Revisión!$A$2:$L$703,8,FALSE)</f>
        <v>#N/A</v>
      </c>
      <c r="K2364" s="4" t="e">
        <f>VLOOKUP(A2364,Revisión!$A$2:$L$703,9,FALSE)</f>
        <v>#N/A</v>
      </c>
      <c r="L2364" s="4" t="e">
        <f>VLOOKUP(A2364,Revisión!$A$2:$L$703,10,FALSE)</f>
        <v>#N/A</v>
      </c>
      <c r="M2364" s="18" t="e">
        <f>VLOOKUP(A2364,Revisión!$A$2:$L$703,11,FALSE)</f>
        <v>#N/A</v>
      </c>
      <c r="N2364" s="30" t="str">
        <f>IF(E2364="Coinciden",D2364,IF(E2364="Revisar",VLOOKUP(A2364,Revisión!$A$2:$L$703,12,FALSE),""))</f>
        <v>Viola montagnei</v>
      </c>
    </row>
    <row r="2365" spans="1:14" x14ac:dyDescent="0.3">
      <c r="A2365" t="s">
        <v>4852</v>
      </c>
      <c r="B2365" t="s">
        <v>4853</v>
      </c>
      <c r="C2365" t="s">
        <v>4853</v>
      </c>
      <c r="D2365" t="s">
        <v>4853</v>
      </c>
      <c r="E2365" t="s">
        <v>18</v>
      </c>
      <c r="F2365" t="s">
        <v>19</v>
      </c>
      <c r="H2365" s="23" t="e">
        <f>VLOOKUP(A2365,Revisión!$A$2:$L$703,6,FALSE)</f>
        <v>#N/A</v>
      </c>
      <c r="I2365" s="4" t="e">
        <f>VLOOKUP(A2365,Revisión!$A$2:$L$703,7,FALSE)</f>
        <v>#N/A</v>
      </c>
      <c r="J2365" s="4" t="e">
        <f>VLOOKUP(A2365,Revisión!$A$2:$L$703,8,FALSE)</f>
        <v>#N/A</v>
      </c>
      <c r="K2365" s="4" t="e">
        <f>VLOOKUP(A2365,Revisión!$A$2:$L$703,9,FALSE)</f>
        <v>#N/A</v>
      </c>
      <c r="L2365" s="4" t="e">
        <f>VLOOKUP(A2365,Revisión!$A$2:$L$703,10,FALSE)</f>
        <v>#N/A</v>
      </c>
      <c r="M2365" s="18" t="e">
        <f>VLOOKUP(A2365,Revisión!$A$2:$L$703,11,FALSE)</f>
        <v>#N/A</v>
      </c>
      <c r="N2365" s="30" t="str">
        <f>IF(E2365="Coinciden",D2365,IF(E2365="Revisar",VLOOKUP(A2365,Revisión!$A$2:$L$703,12,FALSE),""))</f>
        <v>Viola pedata</v>
      </c>
    </row>
    <row r="2366" spans="1:14" x14ac:dyDescent="0.3">
      <c r="A2366" t="s">
        <v>4854</v>
      </c>
      <c r="B2366" t="s">
        <v>4855</v>
      </c>
      <c r="C2366" t="s">
        <v>4855</v>
      </c>
      <c r="D2366" t="s">
        <v>4855</v>
      </c>
      <c r="E2366" t="s">
        <v>18</v>
      </c>
      <c r="F2366" t="s">
        <v>19</v>
      </c>
      <c r="H2366" s="23" t="e">
        <f>VLOOKUP(A2366,Revisión!$A$2:$L$703,6,FALSE)</f>
        <v>#N/A</v>
      </c>
      <c r="I2366" s="4" t="e">
        <f>VLOOKUP(A2366,Revisión!$A$2:$L$703,7,FALSE)</f>
        <v>#N/A</v>
      </c>
      <c r="J2366" s="4" t="e">
        <f>VLOOKUP(A2366,Revisión!$A$2:$L$703,8,FALSE)</f>
        <v>#N/A</v>
      </c>
      <c r="K2366" s="4" t="e">
        <f>VLOOKUP(A2366,Revisión!$A$2:$L$703,9,FALSE)</f>
        <v>#N/A</v>
      </c>
      <c r="L2366" s="4" t="e">
        <f>VLOOKUP(A2366,Revisión!$A$2:$L$703,10,FALSE)</f>
        <v>#N/A</v>
      </c>
      <c r="M2366" s="18" t="e">
        <f>VLOOKUP(A2366,Revisión!$A$2:$L$703,11,FALSE)</f>
        <v>#N/A</v>
      </c>
      <c r="N2366" s="30" t="str">
        <f>IF(E2366="Coinciden",D2366,IF(E2366="Revisar",VLOOKUP(A2366,Revisión!$A$2:$L$703,12,FALSE),""))</f>
        <v>Viola kusanoana</v>
      </c>
    </row>
    <row r="2367" spans="1:14" x14ac:dyDescent="0.3">
      <c r="A2367" t="s">
        <v>4856</v>
      </c>
      <c r="B2367" t="s">
        <v>4857</v>
      </c>
      <c r="C2367" t="s">
        <v>4857</v>
      </c>
      <c r="D2367" t="s">
        <v>4857</v>
      </c>
      <c r="E2367" t="s">
        <v>18</v>
      </c>
      <c r="F2367" t="s">
        <v>19</v>
      </c>
      <c r="H2367" s="23" t="e">
        <f>VLOOKUP(A2367,Revisión!$A$2:$L$703,6,FALSE)</f>
        <v>#N/A</v>
      </c>
      <c r="I2367" s="4" t="e">
        <f>VLOOKUP(A2367,Revisión!$A$2:$L$703,7,FALSE)</f>
        <v>#N/A</v>
      </c>
      <c r="J2367" s="4" t="e">
        <f>VLOOKUP(A2367,Revisión!$A$2:$L$703,8,FALSE)</f>
        <v>#N/A</v>
      </c>
      <c r="K2367" s="4" t="e">
        <f>VLOOKUP(A2367,Revisión!$A$2:$L$703,9,FALSE)</f>
        <v>#N/A</v>
      </c>
      <c r="L2367" s="4" t="e">
        <f>VLOOKUP(A2367,Revisión!$A$2:$L$703,10,FALSE)</f>
        <v>#N/A</v>
      </c>
      <c r="M2367" s="18" t="e">
        <f>VLOOKUP(A2367,Revisión!$A$2:$L$703,11,FALSE)</f>
        <v>#N/A</v>
      </c>
      <c r="N2367" s="30" t="str">
        <f>IF(E2367="Coinciden",D2367,IF(E2367="Revisar",VLOOKUP(A2367,Revisión!$A$2:$L$703,12,FALSE),""))</f>
        <v>Viola orientalis</v>
      </c>
    </row>
    <row r="2368" spans="1:14" x14ac:dyDescent="0.3">
      <c r="A2368" t="s">
        <v>4858</v>
      </c>
      <c r="B2368" t="s">
        <v>4859</v>
      </c>
      <c r="C2368" t="s">
        <v>4859</v>
      </c>
      <c r="D2368" t="s">
        <v>4859</v>
      </c>
      <c r="E2368" t="s">
        <v>18</v>
      </c>
      <c r="F2368" t="s">
        <v>19</v>
      </c>
      <c r="H2368" s="23" t="e">
        <f>VLOOKUP(A2368,Revisión!$A$2:$L$703,6,FALSE)</f>
        <v>#N/A</v>
      </c>
      <c r="I2368" s="4" t="e">
        <f>VLOOKUP(A2368,Revisión!$A$2:$L$703,7,FALSE)</f>
        <v>#N/A</v>
      </c>
      <c r="J2368" s="4" t="e">
        <f>VLOOKUP(A2368,Revisión!$A$2:$L$703,8,FALSE)</f>
        <v>#N/A</v>
      </c>
      <c r="K2368" s="4" t="e">
        <f>VLOOKUP(A2368,Revisión!$A$2:$L$703,9,FALSE)</f>
        <v>#N/A</v>
      </c>
      <c r="L2368" s="4" t="e">
        <f>VLOOKUP(A2368,Revisión!$A$2:$L$703,10,FALSE)</f>
        <v>#N/A</v>
      </c>
      <c r="M2368" s="18" t="e">
        <f>VLOOKUP(A2368,Revisión!$A$2:$L$703,11,FALSE)</f>
        <v>#N/A</v>
      </c>
      <c r="N2368" s="30" t="str">
        <f>IF(E2368="Coinciden",D2368,IF(E2368="Revisar",VLOOKUP(A2368,Revisión!$A$2:$L$703,12,FALSE),""))</f>
        <v>Viola cucullata</v>
      </c>
    </row>
    <row r="2369" spans="1:14" x14ac:dyDescent="0.3">
      <c r="A2369" t="s">
        <v>4860</v>
      </c>
      <c r="B2369" t="s">
        <v>4861</v>
      </c>
      <c r="C2369" t="s">
        <v>4861</v>
      </c>
      <c r="D2369" t="s">
        <v>4861</v>
      </c>
      <c r="E2369" t="s">
        <v>18</v>
      </c>
      <c r="F2369" t="s">
        <v>19</v>
      </c>
      <c r="H2369" s="23" t="e">
        <f>VLOOKUP(A2369,Revisión!$A$2:$L$703,6,FALSE)</f>
        <v>#N/A</v>
      </c>
      <c r="I2369" s="4" t="e">
        <f>VLOOKUP(A2369,Revisión!$A$2:$L$703,7,FALSE)</f>
        <v>#N/A</v>
      </c>
      <c r="J2369" s="4" t="e">
        <f>VLOOKUP(A2369,Revisión!$A$2:$L$703,8,FALSE)</f>
        <v>#N/A</v>
      </c>
      <c r="K2369" s="4" t="e">
        <f>VLOOKUP(A2369,Revisión!$A$2:$L$703,9,FALSE)</f>
        <v>#N/A</v>
      </c>
      <c r="L2369" s="4" t="e">
        <f>VLOOKUP(A2369,Revisión!$A$2:$L$703,10,FALSE)</f>
        <v>#N/A</v>
      </c>
      <c r="M2369" s="18" t="e">
        <f>VLOOKUP(A2369,Revisión!$A$2:$L$703,11,FALSE)</f>
        <v>#N/A</v>
      </c>
      <c r="N2369" s="30" t="str">
        <f>IF(E2369="Coinciden",D2369,IF(E2369="Revisar",VLOOKUP(A2369,Revisión!$A$2:$L$703,12,FALSE),""))</f>
        <v>Viola biflora</v>
      </c>
    </row>
    <row r="2370" spans="1:14" x14ac:dyDescent="0.3">
      <c r="A2370" t="s">
        <v>4862</v>
      </c>
      <c r="B2370" t="s">
        <v>4863</v>
      </c>
      <c r="D2370" t="s">
        <v>4863</v>
      </c>
      <c r="E2370" t="s">
        <v>8</v>
      </c>
      <c r="F2370" t="s">
        <v>34</v>
      </c>
      <c r="H2370" s="23" t="str">
        <f>VLOOKUP(A2370,Revisión!$A$2:$L$703,6,FALSE)</f>
        <v>Viola atropurpurea</v>
      </c>
      <c r="I2370" s="4" t="str">
        <f>VLOOKUP(A2370,Revisión!$A$2:$L$703,7,FALSE)</f>
        <v>-</v>
      </c>
      <c r="J2370" s="4" t="str">
        <f>VLOOKUP(A2370,Revisión!$A$2:$L$703,8,FALSE)</f>
        <v>Viola atropurpurea</v>
      </c>
      <c r="K2370" s="4" t="str">
        <f>VLOOKUP(A2370,Revisión!$A$2:$L$703,9,FALSE)</f>
        <v>Viola atropurpurea</v>
      </c>
      <c r="L2370" s="4" t="str">
        <f>VLOOKUP(A2370,Revisión!$A$2:$L$703,10,FALSE)</f>
        <v>Viola atropurpurea</v>
      </c>
      <c r="M2370" s="18">
        <f>VLOOKUP(A2370,Revisión!$A$2:$L$703,11,FALSE)</f>
        <v>4</v>
      </c>
      <c r="N2370" s="30" t="str">
        <f>IF(E2370="Coinciden",D2370,IF(E2370="Revisar",VLOOKUP(A2370,Revisión!$A$2:$L$703,12,FALSE),""))</f>
        <v>Viola atropurpurea</v>
      </c>
    </row>
    <row r="2371" spans="1:14" x14ac:dyDescent="0.3">
      <c r="A2371" t="s">
        <v>4864</v>
      </c>
      <c r="B2371" t="s">
        <v>4865</v>
      </c>
      <c r="C2371" t="s">
        <v>4865</v>
      </c>
      <c r="D2371" t="s">
        <v>4865</v>
      </c>
      <c r="E2371" t="s">
        <v>18</v>
      </c>
      <c r="F2371" t="s">
        <v>19</v>
      </c>
      <c r="H2371" s="23" t="e">
        <f>VLOOKUP(A2371,Revisión!$A$2:$L$703,6,FALSE)</f>
        <v>#N/A</v>
      </c>
      <c r="I2371" s="4" t="e">
        <f>VLOOKUP(A2371,Revisión!$A$2:$L$703,7,FALSE)</f>
        <v>#N/A</v>
      </c>
      <c r="J2371" s="4" t="e">
        <f>VLOOKUP(A2371,Revisión!$A$2:$L$703,8,FALSE)</f>
        <v>#N/A</v>
      </c>
      <c r="K2371" s="4" t="e">
        <f>VLOOKUP(A2371,Revisión!$A$2:$L$703,9,FALSE)</f>
        <v>#N/A</v>
      </c>
      <c r="L2371" s="4" t="e">
        <f>VLOOKUP(A2371,Revisión!$A$2:$L$703,10,FALSE)</f>
        <v>#N/A</v>
      </c>
      <c r="M2371" s="18" t="e">
        <f>VLOOKUP(A2371,Revisión!$A$2:$L$703,11,FALSE)</f>
        <v>#N/A</v>
      </c>
      <c r="N2371" s="30" t="str">
        <f>IF(E2371="Coinciden",D2371,IF(E2371="Revisar",VLOOKUP(A2371,Revisión!$A$2:$L$703,12,FALSE),""))</f>
        <v>Vismia lauriformis</v>
      </c>
    </row>
    <row r="2372" spans="1:14" x14ac:dyDescent="0.3">
      <c r="A2372" t="s">
        <v>4866</v>
      </c>
      <c r="B2372" t="s">
        <v>4867</v>
      </c>
      <c r="C2372" t="s">
        <v>4867</v>
      </c>
      <c r="D2372" t="s">
        <v>4867</v>
      </c>
      <c r="E2372" t="s">
        <v>18</v>
      </c>
      <c r="F2372" t="s">
        <v>19</v>
      </c>
      <c r="H2372" s="23" t="e">
        <f>VLOOKUP(A2372,Revisión!$A$2:$L$703,6,FALSE)</f>
        <v>#N/A</v>
      </c>
      <c r="I2372" s="4" t="e">
        <f>VLOOKUP(A2372,Revisión!$A$2:$L$703,7,FALSE)</f>
        <v>#N/A</v>
      </c>
      <c r="J2372" s="4" t="e">
        <f>VLOOKUP(A2372,Revisión!$A$2:$L$703,8,FALSE)</f>
        <v>#N/A</v>
      </c>
      <c r="K2372" s="4" t="e">
        <f>VLOOKUP(A2372,Revisión!$A$2:$L$703,9,FALSE)</f>
        <v>#N/A</v>
      </c>
      <c r="L2372" s="4" t="e">
        <f>VLOOKUP(A2372,Revisión!$A$2:$L$703,10,FALSE)</f>
        <v>#N/A</v>
      </c>
      <c r="M2372" s="18" t="e">
        <f>VLOOKUP(A2372,Revisión!$A$2:$L$703,11,FALSE)</f>
        <v>#N/A</v>
      </c>
      <c r="N2372" s="30" t="str">
        <f>IF(E2372="Coinciden",D2372,IF(E2372="Revisar",VLOOKUP(A2372,Revisión!$A$2:$L$703,12,FALSE),""))</f>
        <v>Vitex rotundifolia</v>
      </c>
    </row>
    <row r="2373" spans="1:14" x14ac:dyDescent="0.3">
      <c r="A2373" t="s">
        <v>4868</v>
      </c>
      <c r="B2373" t="s">
        <v>4869</v>
      </c>
      <c r="C2373" t="s">
        <v>4869</v>
      </c>
      <c r="D2373" t="s">
        <v>4869</v>
      </c>
      <c r="E2373" t="s">
        <v>18</v>
      </c>
      <c r="F2373" t="s">
        <v>19</v>
      </c>
      <c r="H2373" s="23" t="e">
        <f>VLOOKUP(A2373,Revisión!$A$2:$L$703,6,FALSE)</f>
        <v>#N/A</v>
      </c>
      <c r="I2373" s="4" t="e">
        <f>VLOOKUP(A2373,Revisión!$A$2:$L$703,7,FALSE)</f>
        <v>#N/A</v>
      </c>
      <c r="J2373" s="4" t="e">
        <f>VLOOKUP(A2373,Revisión!$A$2:$L$703,8,FALSE)</f>
        <v>#N/A</v>
      </c>
      <c r="K2373" s="4" t="e">
        <f>VLOOKUP(A2373,Revisión!$A$2:$L$703,9,FALSE)</f>
        <v>#N/A</v>
      </c>
      <c r="L2373" s="4" t="e">
        <f>VLOOKUP(A2373,Revisión!$A$2:$L$703,10,FALSE)</f>
        <v>#N/A</v>
      </c>
      <c r="M2373" s="18" t="e">
        <f>VLOOKUP(A2373,Revisión!$A$2:$L$703,11,FALSE)</f>
        <v>#N/A</v>
      </c>
      <c r="N2373" s="30" t="str">
        <f>IF(E2373="Coinciden",D2373,IF(E2373="Revisar",VLOOKUP(A2373,Revisión!$A$2:$L$703,12,FALSE),""))</f>
        <v>Vitex negundo var. negundo</v>
      </c>
    </row>
    <row r="2374" spans="1:14" x14ac:dyDescent="0.3">
      <c r="A2374" t="s">
        <v>4870</v>
      </c>
      <c r="B2374" t="s">
        <v>4871</v>
      </c>
      <c r="C2374" t="s">
        <v>4871</v>
      </c>
      <c r="D2374" t="s">
        <v>4871</v>
      </c>
      <c r="E2374" t="s">
        <v>18</v>
      </c>
      <c r="F2374" t="s">
        <v>19</v>
      </c>
      <c r="H2374" s="23" t="e">
        <f>VLOOKUP(A2374,Revisión!$A$2:$L$703,6,FALSE)</f>
        <v>#N/A</v>
      </c>
      <c r="I2374" s="4" t="e">
        <f>VLOOKUP(A2374,Revisión!$A$2:$L$703,7,FALSE)</f>
        <v>#N/A</v>
      </c>
      <c r="J2374" s="4" t="e">
        <f>VLOOKUP(A2374,Revisión!$A$2:$L$703,8,FALSE)</f>
        <v>#N/A</v>
      </c>
      <c r="K2374" s="4" t="e">
        <f>VLOOKUP(A2374,Revisión!$A$2:$L$703,9,FALSE)</f>
        <v>#N/A</v>
      </c>
      <c r="L2374" s="4" t="e">
        <f>VLOOKUP(A2374,Revisión!$A$2:$L$703,10,FALSE)</f>
        <v>#N/A</v>
      </c>
      <c r="M2374" s="18" t="e">
        <f>VLOOKUP(A2374,Revisión!$A$2:$L$703,11,FALSE)</f>
        <v>#N/A</v>
      </c>
      <c r="N2374" s="30" t="str">
        <f>IF(E2374="Coinciden",D2374,IF(E2374="Revisar",VLOOKUP(A2374,Revisión!$A$2:$L$703,12,FALSE),""))</f>
        <v>Vitis vulpina</v>
      </c>
    </row>
    <row r="2375" spans="1:14" x14ac:dyDescent="0.3">
      <c r="A2375" t="s">
        <v>4872</v>
      </c>
      <c r="B2375" t="s">
        <v>4873</v>
      </c>
      <c r="D2375" t="s">
        <v>4871</v>
      </c>
      <c r="E2375" t="s">
        <v>8</v>
      </c>
      <c r="F2375" t="s">
        <v>9</v>
      </c>
      <c r="H2375" s="23" t="str">
        <f>VLOOKUP(A2375,Revisión!$A$2:$L$703,6,FALSE)</f>
        <v>Vitis vulpina</v>
      </c>
      <c r="I2375" s="4" t="str">
        <f>VLOOKUP(A2375,Revisión!$A$2:$L$703,7,FALSE)</f>
        <v>-</v>
      </c>
      <c r="J2375" s="4" t="str">
        <f>VLOOKUP(A2375,Revisión!$A$2:$L$703,8,FALSE)</f>
        <v>Vitis vulpina</v>
      </c>
      <c r="K2375" s="4" t="str">
        <f>VLOOKUP(A2375,Revisión!$A$2:$L$703,9,FALSE)</f>
        <v>Vitis vulpina</v>
      </c>
      <c r="L2375" s="4" t="str">
        <f>VLOOKUP(A2375,Revisión!$A$2:$L$703,10,FALSE)</f>
        <v>Vitis vulpina</v>
      </c>
      <c r="M2375" s="18">
        <f>VLOOKUP(A2375,Revisión!$A$2:$L$703,11,FALSE)</f>
        <v>5</v>
      </c>
      <c r="N2375" s="30" t="str">
        <f>IF(E2375="Coinciden",D2375,IF(E2375="Revisar",VLOOKUP(A2375,Revisión!$A$2:$L$703,12,FALSE),""))</f>
        <v>Vitis vulpina</v>
      </c>
    </row>
    <row r="2376" spans="1:14" x14ac:dyDescent="0.3">
      <c r="A2376" t="s">
        <v>4874</v>
      </c>
      <c r="B2376" t="s">
        <v>4875</v>
      </c>
      <c r="C2376" t="s">
        <v>4875</v>
      </c>
      <c r="D2376" t="s">
        <v>4875</v>
      </c>
      <c r="E2376" t="s">
        <v>18</v>
      </c>
      <c r="F2376" t="s">
        <v>19</v>
      </c>
      <c r="H2376" s="23" t="e">
        <f>VLOOKUP(A2376,Revisión!$A$2:$L$703,6,FALSE)</f>
        <v>#N/A</v>
      </c>
      <c r="I2376" s="4" t="e">
        <f>VLOOKUP(A2376,Revisión!$A$2:$L$703,7,FALSE)</f>
        <v>#N/A</v>
      </c>
      <c r="J2376" s="4" t="e">
        <f>VLOOKUP(A2376,Revisión!$A$2:$L$703,8,FALSE)</f>
        <v>#N/A</v>
      </c>
      <c r="K2376" s="4" t="e">
        <f>VLOOKUP(A2376,Revisión!$A$2:$L$703,9,FALSE)</f>
        <v>#N/A</v>
      </c>
      <c r="L2376" s="4" t="e">
        <f>VLOOKUP(A2376,Revisión!$A$2:$L$703,10,FALSE)</f>
        <v>#N/A</v>
      </c>
      <c r="M2376" s="18" t="e">
        <f>VLOOKUP(A2376,Revisión!$A$2:$L$703,11,FALSE)</f>
        <v>#N/A</v>
      </c>
      <c r="N2376" s="30" t="str">
        <f>IF(E2376="Coinciden",D2376,IF(E2376="Revisar",VLOOKUP(A2376,Revisión!$A$2:$L$703,12,FALSE),""))</f>
        <v>Vriesea psittacina</v>
      </c>
    </row>
    <row r="2377" spans="1:14" x14ac:dyDescent="0.3">
      <c r="A2377" t="s">
        <v>4876</v>
      </c>
      <c r="B2377" t="s">
        <v>4877</v>
      </c>
      <c r="C2377" t="s">
        <v>4877</v>
      </c>
      <c r="D2377" t="s">
        <v>4877</v>
      </c>
      <c r="E2377" t="s">
        <v>18</v>
      </c>
      <c r="F2377" t="s">
        <v>19</v>
      </c>
      <c r="H2377" s="23" t="e">
        <f>VLOOKUP(A2377,Revisión!$A$2:$L$703,6,FALSE)</f>
        <v>#N/A</v>
      </c>
      <c r="I2377" s="4" t="e">
        <f>VLOOKUP(A2377,Revisión!$A$2:$L$703,7,FALSE)</f>
        <v>#N/A</v>
      </c>
      <c r="J2377" s="4" t="e">
        <f>VLOOKUP(A2377,Revisión!$A$2:$L$703,8,FALSE)</f>
        <v>#N/A</v>
      </c>
      <c r="K2377" s="4" t="e">
        <f>VLOOKUP(A2377,Revisión!$A$2:$L$703,9,FALSE)</f>
        <v>#N/A</v>
      </c>
      <c r="L2377" s="4" t="e">
        <f>VLOOKUP(A2377,Revisión!$A$2:$L$703,10,FALSE)</f>
        <v>#N/A</v>
      </c>
      <c r="M2377" s="18" t="e">
        <f>VLOOKUP(A2377,Revisión!$A$2:$L$703,11,FALSE)</f>
        <v>#N/A</v>
      </c>
      <c r="N2377" s="30" t="str">
        <f>IF(E2377="Coinciden",D2377,IF(E2377="Revisar",VLOOKUP(A2377,Revisión!$A$2:$L$703,12,FALSE),""))</f>
        <v>Vriesea heterostachys</v>
      </c>
    </row>
    <row r="2378" spans="1:14" x14ac:dyDescent="0.3">
      <c r="A2378" t="s">
        <v>4878</v>
      </c>
      <c r="B2378" t="s">
        <v>4879</v>
      </c>
      <c r="C2378" t="s">
        <v>4879</v>
      </c>
      <c r="D2378" t="s">
        <v>4879</v>
      </c>
      <c r="E2378" t="s">
        <v>18</v>
      </c>
      <c r="F2378" t="s">
        <v>19</v>
      </c>
      <c r="H2378" s="23" t="e">
        <f>VLOOKUP(A2378,Revisión!$A$2:$L$703,6,FALSE)</f>
        <v>#N/A</v>
      </c>
      <c r="I2378" s="4" t="e">
        <f>VLOOKUP(A2378,Revisión!$A$2:$L$703,7,FALSE)</f>
        <v>#N/A</v>
      </c>
      <c r="J2378" s="4" t="e">
        <f>VLOOKUP(A2378,Revisión!$A$2:$L$703,8,FALSE)</f>
        <v>#N/A</v>
      </c>
      <c r="K2378" s="4" t="e">
        <f>VLOOKUP(A2378,Revisión!$A$2:$L$703,9,FALSE)</f>
        <v>#N/A</v>
      </c>
      <c r="L2378" s="4" t="e">
        <f>VLOOKUP(A2378,Revisión!$A$2:$L$703,10,FALSE)</f>
        <v>#N/A</v>
      </c>
      <c r="M2378" s="18" t="e">
        <f>VLOOKUP(A2378,Revisión!$A$2:$L$703,11,FALSE)</f>
        <v>#N/A</v>
      </c>
      <c r="N2378" s="30" t="str">
        <f>IF(E2378="Coinciden",D2378,IF(E2378="Revisar",VLOOKUP(A2378,Revisión!$A$2:$L$703,12,FALSE),""))</f>
        <v>Vriesea platynema</v>
      </c>
    </row>
    <row r="2379" spans="1:14" x14ac:dyDescent="0.3">
      <c r="A2379" t="s">
        <v>4880</v>
      </c>
      <c r="B2379" t="s">
        <v>4881</v>
      </c>
      <c r="C2379" t="s">
        <v>4881</v>
      </c>
      <c r="D2379" t="s">
        <v>4881</v>
      </c>
      <c r="E2379" t="s">
        <v>18</v>
      </c>
      <c r="F2379" t="s">
        <v>19</v>
      </c>
      <c r="H2379" s="23" t="e">
        <f>VLOOKUP(A2379,Revisión!$A$2:$L$703,6,FALSE)</f>
        <v>#N/A</v>
      </c>
      <c r="I2379" s="4" t="e">
        <f>VLOOKUP(A2379,Revisión!$A$2:$L$703,7,FALSE)</f>
        <v>#N/A</v>
      </c>
      <c r="J2379" s="4" t="e">
        <f>VLOOKUP(A2379,Revisión!$A$2:$L$703,8,FALSE)</f>
        <v>#N/A</v>
      </c>
      <c r="K2379" s="4" t="e">
        <f>VLOOKUP(A2379,Revisión!$A$2:$L$703,9,FALSE)</f>
        <v>#N/A</v>
      </c>
      <c r="L2379" s="4" t="e">
        <f>VLOOKUP(A2379,Revisión!$A$2:$L$703,10,FALSE)</f>
        <v>#N/A</v>
      </c>
      <c r="M2379" s="18" t="e">
        <f>VLOOKUP(A2379,Revisión!$A$2:$L$703,11,FALSE)</f>
        <v>#N/A</v>
      </c>
      <c r="N2379" s="30" t="str">
        <f>IF(E2379="Coinciden",D2379,IF(E2379="Revisar",VLOOKUP(A2379,Revisión!$A$2:$L$703,12,FALSE),""))</f>
        <v>Vriesea gracilior</v>
      </c>
    </row>
    <row r="2380" spans="1:14" x14ac:dyDescent="0.3">
      <c r="A2380" t="s">
        <v>4882</v>
      </c>
      <c r="B2380" t="s">
        <v>4883</v>
      </c>
      <c r="C2380" t="s">
        <v>4883</v>
      </c>
      <c r="D2380" t="s">
        <v>4883</v>
      </c>
      <c r="E2380" t="s">
        <v>18</v>
      </c>
      <c r="F2380" t="s">
        <v>19</v>
      </c>
      <c r="H2380" s="23" t="e">
        <f>VLOOKUP(A2380,Revisión!$A$2:$L$703,6,FALSE)</f>
        <v>#N/A</v>
      </c>
      <c r="I2380" s="4" t="e">
        <f>VLOOKUP(A2380,Revisión!$A$2:$L$703,7,FALSE)</f>
        <v>#N/A</v>
      </c>
      <c r="J2380" s="4" t="e">
        <f>VLOOKUP(A2380,Revisión!$A$2:$L$703,8,FALSE)</f>
        <v>#N/A</v>
      </c>
      <c r="K2380" s="4" t="e">
        <f>VLOOKUP(A2380,Revisión!$A$2:$L$703,9,FALSE)</f>
        <v>#N/A</v>
      </c>
      <c r="L2380" s="4" t="e">
        <f>VLOOKUP(A2380,Revisión!$A$2:$L$703,10,FALSE)</f>
        <v>#N/A</v>
      </c>
      <c r="M2380" s="18" t="e">
        <f>VLOOKUP(A2380,Revisión!$A$2:$L$703,11,FALSE)</f>
        <v>#N/A</v>
      </c>
      <c r="N2380" s="30" t="str">
        <f>IF(E2380="Coinciden",D2380,IF(E2380="Revisar",VLOOKUP(A2380,Revisión!$A$2:$L$703,12,FALSE),""))</f>
        <v>Vriesea altodaserrae</v>
      </c>
    </row>
    <row r="2381" spans="1:14" x14ac:dyDescent="0.3">
      <c r="A2381" t="s">
        <v>4884</v>
      </c>
      <c r="B2381" t="s">
        <v>4885</v>
      </c>
      <c r="C2381" t="s">
        <v>4885</v>
      </c>
      <c r="D2381" t="s">
        <v>4885</v>
      </c>
      <c r="E2381" t="s">
        <v>18</v>
      </c>
      <c r="F2381" t="s">
        <v>19</v>
      </c>
      <c r="H2381" s="23" t="e">
        <f>VLOOKUP(A2381,Revisión!$A$2:$L$703,6,FALSE)</f>
        <v>#N/A</v>
      </c>
      <c r="I2381" s="4" t="e">
        <f>VLOOKUP(A2381,Revisión!$A$2:$L$703,7,FALSE)</f>
        <v>#N/A</v>
      </c>
      <c r="J2381" s="4" t="e">
        <f>VLOOKUP(A2381,Revisión!$A$2:$L$703,8,FALSE)</f>
        <v>#N/A</v>
      </c>
      <c r="K2381" s="4" t="e">
        <f>VLOOKUP(A2381,Revisión!$A$2:$L$703,9,FALSE)</f>
        <v>#N/A</v>
      </c>
      <c r="L2381" s="4" t="e">
        <f>VLOOKUP(A2381,Revisión!$A$2:$L$703,10,FALSE)</f>
        <v>#N/A</v>
      </c>
      <c r="M2381" s="18" t="e">
        <f>VLOOKUP(A2381,Revisión!$A$2:$L$703,11,FALSE)</f>
        <v>#N/A</v>
      </c>
      <c r="N2381" s="30" t="str">
        <f>IF(E2381="Coinciden",D2381,IF(E2381="Revisar",VLOOKUP(A2381,Revisión!$A$2:$L$703,12,FALSE),""))</f>
        <v>Vriesea guttata</v>
      </c>
    </row>
    <row r="2382" spans="1:14" x14ac:dyDescent="0.3">
      <c r="A2382" t="s">
        <v>4886</v>
      </c>
      <c r="B2382" t="s">
        <v>4887</v>
      </c>
      <c r="C2382" t="s">
        <v>4887</v>
      </c>
      <c r="D2382" t="s">
        <v>4887</v>
      </c>
      <c r="E2382" t="s">
        <v>18</v>
      </c>
      <c r="F2382" t="s">
        <v>19</v>
      </c>
      <c r="H2382" s="23" t="e">
        <f>VLOOKUP(A2382,Revisión!$A$2:$L$703,6,FALSE)</f>
        <v>#N/A</v>
      </c>
      <c r="I2382" s="4" t="e">
        <f>VLOOKUP(A2382,Revisión!$A$2:$L$703,7,FALSE)</f>
        <v>#N/A</v>
      </c>
      <c r="J2382" s="4" t="e">
        <f>VLOOKUP(A2382,Revisión!$A$2:$L$703,8,FALSE)</f>
        <v>#N/A</v>
      </c>
      <c r="K2382" s="4" t="e">
        <f>VLOOKUP(A2382,Revisión!$A$2:$L$703,9,FALSE)</f>
        <v>#N/A</v>
      </c>
      <c r="L2382" s="4" t="e">
        <f>VLOOKUP(A2382,Revisión!$A$2:$L$703,10,FALSE)</f>
        <v>#N/A</v>
      </c>
      <c r="M2382" s="18" t="e">
        <f>VLOOKUP(A2382,Revisión!$A$2:$L$703,11,FALSE)</f>
        <v>#N/A</v>
      </c>
      <c r="N2382" s="30" t="str">
        <f>IF(E2382="Coinciden",D2382,IF(E2382="Revisar",VLOOKUP(A2382,Revisión!$A$2:$L$703,12,FALSE),""))</f>
        <v>Vriesea simplex</v>
      </c>
    </row>
    <row r="2383" spans="1:14" x14ac:dyDescent="0.3">
      <c r="A2383" t="s">
        <v>4888</v>
      </c>
      <c r="B2383" t="s">
        <v>4889</v>
      </c>
      <c r="C2383" t="s">
        <v>4889</v>
      </c>
      <c r="D2383" t="s">
        <v>4889</v>
      </c>
      <c r="E2383" t="s">
        <v>18</v>
      </c>
      <c r="F2383" t="s">
        <v>19</v>
      </c>
      <c r="H2383" s="23" t="e">
        <f>VLOOKUP(A2383,Revisión!$A$2:$L$703,6,FALSE)</f>
        <v>#N/A</v>
      </c>
      <c r="I2383" s="4" t="e">
        <f>VLOOKUP(A2383,Revisión!$A$2:$L$703,7,FALSE)</f>
        <v>#N/A</v>
      </c>
      <c r="J2383" s="4" t="e">
        <f>VLOOKUP(A2383,Revisión!$A$2:$L$703,8,FALSE)</f>
        <v>#N/A</v>
      </c>
      <c r="K2383" s="4" t="e">
        <f>VLOOKUP(A2383,Revisión!$A$2:$L$703,9,FALSE)</f>
        <v>#N/A</v>
      </c>
      <c r="L2383" s="4" t="e">
        <f>VLOOKUP(A2383,Revisión!$A$2:$L$703,10,FALSE)</f>
        <v>#N/A</v>
      </c>
      <c r="M2383" s="18" t="e">
        <f>VLOOKUP(A2383,Revisión!$A$2:$L$703,11,FALSE)</f>
        <v>#N/A</v>
      </c>
      <c r="N2383" s="30" t="str">
        <f>IF(E2383="Coinciden",D2383,IF(E2383="Revisar",VLOOKUP(A2383,Revisión!$A$2:$L$703,12,FALSE),""))</f>
        <v>Vriesea hoehneana</v>
      </c>
    </row>
    <row r="2384" spans="1:14" x14ac:dyDescent="0.3">
      <c r="A2384" t="s">
        <v>4890</v>
      </c>
      <c r="D2384" t="s">
        <v>4891</v>
      </c>
      <c r="E2384" t="s">
        <v>8</v>
      </c>
      <c r="F2384" t="s">
        <v>9</v>
      </c>
      <c r="H2384" s="23" t="str">
        <f>VLOOKUP(A2384,Revisión!$A$2:$L$703,6,FALSE)</f>
        <v>Wollastonia biflora</v>
      </c>
      <c r="I2384" s="4" t="str">
        <f>VLOOKUP(A2384,Revisión!$A$2:$L$703,7,FALSE)</f>
        <v>-</v>
      </c>
      <c r="J2384" s="4" t="str">
        <f>VLOOKUP(A2384,Revisión!$A$2:$L$703,8,FALSE)</f>
        <v>Wollastonia biflora</v>
      </c>
      <c r="K2384" s="4" t="str">
        <f>VLOOKUP(A2384,Revisión!$A$2:$L$703,9,FALSE)</f>
        <v>Wollastonia biflora</v>
      </c>
      <c r="L2384" s="4" t="str">
        <f>VLOOKUP(A2384,Revisión!$A$2:$L$703,10,FALSE)</f>
        <v>Wollastonia biflora</v>
      </c>
      <c r="M2384" s="18">
        <f>VLOOKUP(A2384,Revisión!$A$2:$L$703,11,FALSE)</f>
        <v>5</v>
      </c>
      <c r="N2384" s="30" t="str">
        <f>IF(E2384="Coinciden",D2384,IF(E2384="Revisar",VLOOKUP(A2384,Revisión!$A$2:$L$703,12,FALSE),""))</f>
        <v>Wollastonia biflora</v>
      </c>
    </row>
    <row r="2385" spans="1:14" x14ac:dyDescent="0.3">
      <c r="A2385" t="s">
        <v>4892</v>
      </c>
      <c r="B2385" t="s">
        <v>4893</v>
      </c>
      <c r="C2385" t="s">
        <v>4893</v>
      </c>
      <c r="D2385" t="s">
        <v>4893</v>
      </c>
      <c r="E2385" t="s">
        <v>18</v>
      </c>
      <c r="F2385" t="s">
        <v>19</v>
      </c>
      <c r="H2385" s="23" t="e">
        <f>VLOOKUP(A2385,Revisión!$A$2:$L$703,6,FALSE)</f>
        <v>#N/A</v>
      </c>
      <c r="I2385" s="4" t="e">
        <f>VLOOKUP(A2385,Revisión!$A$2:$L$703,7,FALSE)</f>
        <v>#N/A</v>
      </c>
      <c r="J2385" s="4" t="e">
        <f>VLOOKUP(A2385,Revisión!$A$2:$L$703,8,FALSE)</f>
        <v>#N/A</v>
      </c>
      <c r="K2385" s="4" t="e">
        <f>VLOOKUP(A2385,Revisión!$A$2:$L$703,9,FALSE)</f>
        <v>#N/A</v>
      </c>
      <c r="L2385" s="4" t="e">
        <f>VLOOKUP(A2385,Revisión!$A$2:$L$703,10,FALSE)</f>
        <v>#N/A</v>
      </c>
      <c r="M2385" s="18" t="e">
        <f>VLOOKUP(A2385,Revisión!$A$2:$L$703,11,FALSE)</f>
        <v>#N/A</v>
      </c>
      <c r="N2385" s="30" t="str">
        <f>IF(E2385="Coinciden",D2385,IF(E2385="Revisar",VLOOKUP(A2385,Revisión!$A$2:$L$703,12,FALSE),""))</f>
        <v>Wahlenbergia ceracea</v>
      </c>
    </row>
    <row r="2386" spans="1:14" x14ac:dyDescent="0.3">
      <c r="A2386" t="s">
        <v>4894</v>
      </c>
      <c r="B2386" t="s">
        <v>4895</v>
      </c>
      <c r="C2386" t="s">
        <v>4895</v>
      </c>
      <c r="D2386" t="s">
        <v>4895</v>
      </c>
      <c r="E2386" t="s">
        <v>18</v>
      </c>
      <c r="F2386" t="s">
        <v>19</v>
      </c>
      <c r="H2386" s="23" t="e">
        <f>VLOOKUP(A2386,Revisión!$A$2:$L$703,6,FALSE)</f>
        <v>#N/A</v>
      </c>
      <c r="I2386" s="4" t="e">
        <f>VLOOKUP(A2386,Revisión!$A$2:$L$703,7,FALSE)</f>
        <v>#N/A</v>
      </c>
      <c r="J2386" s="4" t="e">
        <f>VLOOKUP(A2386,Revisión!$A$2:$L$703,8,FALSE)</f>
        <v>#N/A</v>
      </c>
      <c r="K2386" s="4" t="e">
        <f>VLOOKUP(A2386,Revisión!$A$2:$L$703,9,FALSE)</f>
        <v>#N/A</v>
      </c>
      <c r="L2386" s="4" t="e">
        <f>VLOOKUP(A2386,Revisión!$A$2:$L$703,10,FALSE)</f>
        <v>#N/A</v>
      </c>
      <c r="M2386" s="18" t="e">
        <f>VLOOKUP(A2386,Revisión!$A$2:$L$703,11,FALSE)</f>
        <v>#N/A</v>
      </c>
      <c r="N2386" s="30" t="str">
        <f>IF(E2386="Coinciden",D2386,IF(E2386="Revisar",VLOOKUP(A2386,Revisión!$A$2:$L$703,12,FALSE),""))</f>
        <v>Wahlenbergia albomarginata</v>
      </c>
    </row>
    <row r="2387" spans="1:14" x14ac:dyDescent="0.3">
      <c r="A2387" t="s">
        <v>4896</v>
      </c>
      <c r="B2387" t="s">
        <v>4897</v>
      </c>
      <c r="C2387" t="s">
        <v>4897</v>
      </c>
      <c r="D2387" t="s">
        <v>4897</v>
      </c>
      <c r="E2387" t="s">
        <v>18</v>
      </c>
      <c r="F2387" t="s">
        <v>19</v>
      </c>
      <c r="H2387" s="23" t="e">
        <f>VLOOKUP(A2387,Revisión!$A$2:$L$703,6,FALSE)</f>
        <v>#N/A</v>
      </c>
      <c r="I2387" s="4" t="e">
        <f>VLOOKUP(A2387,Revisión!$A$2:$L$703,7,FALSE)</f>
        <v>#N/A</v>
      </c>
      <c r="J2387" s="4" t="e">
        <f>VLOOKUP(A2387,Revisión!$A$2:$L$703,8,FALSE)</f>
        <v>#N/A</v>
      </c>
      <c r="K2387" s="4" t="e">
        <f>VLOOKUP(A2387,Revisión!$A$2:$L$703,9,FALSE)</f>
        <v>#N/A</v>
      </c>
      <c r="L2387" s="4" t="e">
        <f>VLOOKUP(A2387,Revisión!$A$2:$L$703,10,FALSE)</f>
        <v>#N/A</v>
      </c>
      <c r="M2387" s="18" t="e">
        <f>VLOOKUP(A2387,Revisión!$A$2:$L$703,11,FALSE)</f>
        <v>#N/A</v>
      </c>
      <c r="N2387" s="30" t="str">
        <f>IF(E2387="Coinciden",D2387,IF(E2387="Revisar",VLOOKUP(A2387,Revisión!$A$2:$L$703,12,FALSE),""))</f>
        <v>Wallenia laurifolia</v>
      </c>
    </row>
    <row r="2388" spans="1:14" x14ac:dyDescent="0.3">
      <c r="A2388" t="s">
        <v>4898</v>
      </c>
      <c r="B2388" t="s">
        <v>4899</v>
      </c>
      <c r="C2388" t="s">
        <v>4899</v>
      </c>
      <c r="D2388" t="s">
        <v>4899</v>
      </c>
      <c r="E2388" t="s">
        <v>18</v>
      </c>
      <c r="F2388" t="s">
        <v>19</v>
      </c>
      <c r="H2388" s="23" t="e">
        <f>VLOOKUP(A2388,Revisión!$A$2:$L$703,6,FALSE)</f>
        <v>#N/A</v>
      </c>
      <c r="I2388" s="4" t="e">
        <f>VLOOKUP(A2388,Revisión!$A$2:$L$703,7,FALSE)</f>
        <v>#N/A</v>
      </c>
      <c r="J2388" s="4" t="e">
        <f>VLOOKUP(A2388,Revisión!$A$2:$L$703,8,FALSE)</f>
        <v>#N/A</v>
      </c>
      <c r="K2388" s="4" t="e">
        <f>VLOOKUP(A2388,Revisión!$A$2:$L$703,9,FALSE)</f>
        <v>#N/A</v>
      </c>
      <c r="L2388" s="4" t="e">
        <f>VLOOKUP(A2388,Revisión!$A$2:$L$703,10,FALSE)</f>
        <v>#N/A</v>
      </c>
      <c r="M2388" s="18" t="e">
        <f>VLOOKUP(A2388,Revisión!$A$2:$L$703,11,FALSE)</f>
        <v>#N/A</v>
      </c>
      <c r="N2388" s="30" t="str">
        <f>IF(E2388="Coinciden",D2388,IF(E2388="Revisar",VLOOKUP(A2388,Revisión!$A$2:$L$703,12,FALSE),""))</f>
        <v>Waltheria ovata</v>
      </c>
    </row>
    <row r="2389" spans="1:14" x14ac:dyDescent="0.3">
      <c r="A2389" t="s">
        <v>4900</v>
      </c>
      <c r="B2389" t="s">
        <v>4901</v>
      </c>
      <c r="C2389" t="s">
        <v>4901</v>
      </c>
      <c r="D2389" t="s">
        <v>4901</v>
      </c>
      <c r="E2389" t="s">
        <v>18</v>
      </c>
      <c r="F2389" t="s">
        <v>19</v>
      </c>
      <c r="H2389" s="23" t="e">
        <f>VLOOKUP(A2389,Revisión!$A$2:$L$703,6,FALSE)</f>
        <v>#N/A</v>
      </c>
      <c r="I2389" s="4" t="e">
        <f>VLOOKUP(A2389,Revisión!$A$2:$L$703,7,FALSE)</f>
        <v>#N/A</v>
      </c>
      <c r="J2389" s="4" t="e">
        <f>VLOOKUP(A2389,Revisión!$A$2:$L$703,8,FALSE)</f>
        <v>#N/A</v>
      </c>
      <c r="K2389" s="4" t="e">
        <f>VLOOKUP(A2389,Revisión!$A$2:$L$703,9,FALSE)</f>
        <v>#N/A</v>
      </c>
      <c r="L2389" s="4" t="e">
        <f>VLOOKUP(A2389,Revisión!$A$2:$L$703,10,FALSE)</f>
        <v>#N/A</v>
      </c>
      <c r="M2389" s="18" t="e">
        <f>VLOOKUP(A2389,Revisión!$A$2:$L$703,11,FALSE)</f>
        <v>#N/A</v>
      </c>
      <c r="N2389" s="30" t="str">
        <f>IF(E2389="Coinciden",D2389,IF(E2389="Revisar",VLOOKUP(A2389,Revisión!$A$2:$L$703,12,FALSE),""))</f>
        <v>Waltheria indica</v>
      </c>
    </row>
    <row r="2390" spans="1:14" x14ac:dyDescent="0.3">
      <c r="A2390" t="s">
        <v>4902</v>
      </c>
      <c r="B2390" t="s">
        <v>4903</v>
      </c>
      <c r="C2390" t="s">
        <v>4903</v>
      </c>
      <c r="D2390" t="s">
        <v>4903</v>
      </c>
      <c r="E2390" t="s">
        <v>18</v>
      </c>
      <c r="F2390" t="s">
        <v>19</v>
      </c>
      <c r="H2390" s="23" t="e">
        <f>VLOOKUP(A2390,Revisión!$A$2:$L$703,6,FALSE)</f>
        <v>#N/A</v>
      </c>
      <c r="I2390" s="4" t="e">
        <f>VLOOKUP(A2390,Revisión!$A$2:$L$703,7,FALSE)</f>
        <v>#N/A</v>
      </c>
      <c r="J2390" s="4" t="e">
        <f>VLOOKUP(A2390,Revisión!$A$2:$L$703,8,FALSE)</f>
        <v>#N/A</v>
      </c>
      <c r="K2390" s="4" t="e">
        <f>VLOOKUP(A2390,Revisión!$A$2:$L$703,9,FALSE)</f>
        <v>#N/A</v>
      </c>
      <c r="L2390" s="4" t="e">
        <f>VLOOKUP(A2390,Revisión!$A$2:$L$703,10,FALSE)</f>
        <v>#N/A</v>
      </c>
      <c r="M2390" s="18" t="e">
        <f>VLOOKUP(A2390,Revisión!$A$2:$L$703,11,FALSE)</f>
        <v>#N/A</v>
      </c>
      <c r="N2390" s="30" t="str">
        <f>IF(E2390="Coinciden",D2390,IF(E2390="Revisar",VLOOKUP(A2390,Revisión!$A$2:$L$703,12,FALSE),""))</f>
        <v>Warneckea trinervis</v>
      </c>
    </row>
    <row r="2391" spans="1:14" x14ac:dyDescent="0.3">
      <c r="A2391" t="s">
        <v>4904</v>
      </c>
      <c r="B2391" t="s">
        <v>4905</v>
      </c>
      <c r="C2391" t="s">
        <v>4905</v>
      </c>
      <c r="D2391" t="s">
        <v>4905</v>
      </c>
      <c r="E2391" t="s">
        <v>18</v>
      </c>
      <c r="F2391" t="s">
        <v>19</v>
      </c>
      <c r="H2391" s="23" t="e">
        <f>VLOOKUP(A2391,Revisión!$A$2:$L$703,6,FALSE)</f>
        <v>#N/A</v>
      </c>
      <c r="I2391" s="4" t="e">
        <f>VLOOKUP(A2391,Revisión!$A$2:$L$703,7,FALSE)</f>
        <v>#N/A</v>
      </c>
      <c r="J2391" s="4" t="e">
        <f>VLOOKUP(A2391,Revisión!$A$2:$L$703,8,FALSE)</f>
        <v>#N/A</v>
      </c>
      <c r="K2391" s="4" t="e">
        <f>VLOOKUP(A2391,Revisión!$A$2:$L$703,9,FALSE)</f>
        <v>#N/A</v>
      </c>
      <c r="L2391" s="4" t="e">
        <f>VLOOKUP(A2391,Revisión!$A$2:$L$703,10,FALSE)</f>
        <v>#N/A</v>
      </c>
      <c r="M2391" s="18" t="e">
        <f>VLOOKUP(A2391,Revisión!$A$2:$L$703,11,FALSE)</f>
        <v>#N/A</v>
      </c>
      <c r="N2391" s="30" t="str">
        <f>IF(E2391="Coinciden",D2391,IF(E2391="Revisar",VLOOKUP(A2391,Revisión!$A$2:$L$703,12,FALSE),""))</f>
        <v>Wedelia calycina</v>
      </c>
    </row>
    <row r="2392" spans="1:14" x14ac:dyDescent="0.3">
      <c r="A2392" t="s">
        <v>4906</v>
      </c>
      <c r="B2392" t="s">
        <v>4907</v>
      </c>
      <c r="C2392" t="s">
        <v>4908</v>
      </c>
      <c r="D2392" t="s">
        <v>4908</v>
      </c>
      <c r="E2392" t="s">
        <v>8</v>
      </c>
      <c r="F2392" t="s">
        <v>23</v>
      </c>
      <c r="H2392" s="23" t="str">
        <f>VLOOKUP(A2392,Revisión!$A$2:$L$703,6,FALSE)</f>
        <v>Sphagneticola trilobata</v>
      </c>
      <c r="I2392" s="4" t="str">
        <f>VLOOKUP(A2392,Revisión!$A$2:$L$703,7,FALSE)</f>
        <v>-</v>
      </c>
      <c r="J2392" s="4" t="str">
        <f>VLOOKUP(A2392,Revisión!$A$2:$L$703,8,FALSE)</f>
        <v>Sphagneticola trilobata</v>
      </c>
      <c r="K2392" s="4" t="str">
        <f>VLOOKUP(A2392,Revisión!$A$2:$L$703,9,FALSE)</f>
        <v>Sphagneticola trilobata</v>
      </c>
      <c r="L2392" s="4" t="str">
        <f>VLOOKUP(A2392,Revisión!$A$2:$L$703,10,FALSE)</f>
        <v>Sphagneticola trilobata</v>
      </c>
      <c r="M2392" s="18">
        <f>VLOOKUP(A2392,Revisión!$A$2:$L$703,11,FALSE)</f>
        <v>5</v>
      </c>
      <c r="N2392" s="30" t="str">
        <f>IF(E2392="Coinciden",D2392,IF(E2392="Revisar",VLOOKUP(A2392,Revisión!$A$2:$L$703,12,FALSE),""))</f>
        <v>Sphagneticola trilobata</v>
      </c>
    </row>
    <row r="2393" spans="1:14" x14ac:dyDescent="0.3">
      <c r="A2393" t="s">
        <v>4909</v>
      </c>
      <c r="B2393" t="s">
        <v>4910</v>
      </c>
      <c r="C2393" t="s">
        <v>4910</v>
      </c>
      <c r="D2393" t="s">
        <v>4910</v>
      </c>
      <c r="E2393" t="s">
        <v>18</v>
      </c>
      <c r="F2393" t="s">
        <v>19</v>
      </c>
      <c r="H2393" s="23" t="e">
        <f>VLOOKUP(A2393,Revisión!$A$2:$L$703,6,FALSE)</f>
        <v>#N/A</v>
      </c>
      <c r="I2393" s="4" t="e">
        <f>VLOOKUP(A2393,Revisión!$A$2:$L$703,7,FALSE)</f>
        <v>#N/A</v>
      </c>
      <c r="J2393" s="4" t="e">
        <f>VLOOKUP(A2393,Revisión!$A$2:$L$703,8,FALSE)</f>
        <v>#N/A</v>
      </c>
      <c r="K2393" s="4" t="e">
        <f>VLOOKUP(A2393,Revisión!$A$2:$L$703,9,FALSE)</f>
        <v>#N/A</v>
      </c>
      <c r="L2393" s="4" t="e">
        <f>VLOOKUP(A2393,Revisión!$A$2:$L$703,10,FALSE)</f>
        <v>#N/A</v>
      </c>
      <c r="M2393" s="18" t="e">
        <f>VLOOKUP(A2393,Revisión!$A$2:$L$703,11,FALSE)</f>
        <v>#N/A</v>
      </c>
      <c r="N2393" s="30" t="str">
        <f>IF(E2393="Coinciden",D2393,IF(E2393="Revisar",VLOOKUP(A2393,Revisión!$A$2:$L$703,12,FALSE),""))</f>
        <v>Weigela decora</v>
      </c>
    </row>
    <row r="2394" spans="1:14" x14ac:dyDescent="0.3">
      <c r="A2394" t="s">
        <v>4911</v>
      </c>
      <c r="B2394" t="s">
        <v>4912</v>
      </c>
      <c r="C2394" t="s">
        <v>4912</v>
      </c>
      <c r="D2394" t="s">
        <v>4912</v>
      </c>
      <c r="E2394" t="s">
        <v>18</v>
      </c>
      <c r="F2394" t="s">
        <v>19</v>
      </c>
      <c r="H2394" s="23" t="e">
        <f>VLOOKUP(A2394,Revisión!$A$2:$L$703,6,FALSE)</f>
        <v>#N/A</v>
      </c>
      <c r="I2394" s="4" t="e">
        <f>VLOOKUP(A2394,Revisión!$A$2:$L$703,7,FALSE)</f>
        <v>#N/A</v>
      </c>
      <c r="J2394" s="4" t="e">
        <f>VLOOKUP(A2394,Revisión!$A$2:$L$703,8,FALSE)</f>
        <v>#N/A</v>
      </c>
      <c r="K2394" s="4" t="e">
        <f>VLOOKUP(A2394,Revisión!$A$2:$L$703,9,FALSE)</f>
        <v>#N/A</v>
      </c>
      <c r="L2394" s="4" t="e">
        <f>VLOOKUP(A2394,Revisión!$A$2:$L$703,10,FALSE)</f>
        <v>#N/A</v>
      </c>
      <c r="M2394" s="18" t="e">
        <f>VLOOKUP(A2394,Revisión!$A$2:$L$703,11,FALSE)</f>
        <v>#N/A</v>
      </c>
      <c r="N2394" s="30" t="str">
        <f>IF(E2394="Coinciden",D2394,IF(E2394="Revisar",VLOOKUP(A2394,Revisión!$A$2:$L$703,12,FALSE),""))</f>
        <v>Weigela japonica</v>
      </c>
    </row>
    <row r="2395" spans="1:14" x14ac:dyDescent="0.3">
      <c r="A2395" t="s">
        <v>4913</v>
      </c>
      <c r="B2395" t="s">
        <v>4914</v>
      </c>
      <c r="C2395" t="s">
        <v>4914</v>
      </c>
      <c r="E2395" t="s">
        <v>8</v>
      </c>
      <c r="F2395" t="s">
        <v>323</v>
      </c>
      <c r="H2395" s="23" t="str">
        <f>VLOOKUP(A2395,Revisión!$A$2:$L$703,6,FALSE)</f>
        <v>Weigela hortensis</v>
      </c>
      <c r="I2395" s="4" t="str">
        <f>VLOOKUP(A2395,Revisión!$A$2:$L$703,7,FALSE)</f>
        <v>-</v>
      </c>
      <c r="J2395" s="4" t="str">
        <f>VLOOKUP(A2395,Revisión!$A$2:$L$703,8,FALSE)</f>
        <v>Weigela hortensis</v>
      </c>
      <c r="K2395" s="4" t="str">
        <f>VLOOKUP(A2395,Revisión!$A$2:$L$703,9,FALSE)</f>
        <v>Weigela hortensis</v>
      </c>
      <c r="L2395" s="4" t="str">
        <f>VLOOKUP(A2395,Revisión!$A$2:$L$703,10,FALSE)</f>
        <v>Weigela hortensis</v>
      </c>
      <c r="M2395" s="18">
        <f>VLOOKUP(A2395,Revisión!$A$2:$L$703,11,FALSE)</f>
        <v>5</v>
      </c>
      <c r="N2395" s="30" t="str">
        <f>IF(E2395="Coinciden",D2395,IF(E2395="Revisar",VLOOKUP(A2395,Revisión!$A$2:$L$703,12,FALSE),""))</f>
        <v>Weigela hortensis</v>
      </c>
    </row>
    <row r="2396" spans="1:14" x14ac:dyDescent="0.3">
      <c r="A2396" t="s">
        <v>4915</v>
      </c>
      <c r="C2396" t="s">
        <v>4916</v>
      </c>
      <c r="D2396" t="s">
        <v>4916</v>
      </c>
      <c r="E2396" t="s">
        <v>8</v>
      </c>
      <c r="F2396" t="s">
        <v>49</v>
      </c>
      <c r="H2396" s="23" t="str">
        <f>VLOOKUP(A2396,Revisión!$A$2:$L$703,6,FALSE)</f>
        <v>Wendlandia formosana</v>
      </c>
      <c r="I2396" s="4" t="str">
        <f>VLOOKUP(A2396,Revisión!$A$2:$L$703,7,FALSE)</f>
        <v>-</v>
      </c>
      <c r="J2396" s="4" t="str">
        <f>VLOOKUP(A2396,Revisión!$A$2:$L$703,8,FALSE)</f>
        <v>Wendlandia formosana</v>
      </c>
      <c r="K2396" s="4" t="str">
        <f>VLOOKUP(A2396,Revisión!$A$2:$L$703,9,FALSE)</f>
        <v>Wendlandia formosana</v>
      </c>
      <c r="L2396" s="4" t="str">
        <f>VLOOKUP(A2396,Revisión!$A$2:$L$703,10,FALSE)</f>
        <v>Wendlandia formosana</v>
      </c>
      <c r="M2396" s="18">
        <f>VLOOKUP(A2396,Revisión!$A$2:$L$703,11,FALSE)</f>
        <v>4</v>
      </c>
      <c r="N2396" s="30" t="str">
        <f>IF(E2396="Coinciden",D2396,IF(E2396="Revisar",VLOOKUP(A2396,Revisión!$A$2:$L$703,12,FALSE),""))</f>
        <v>Wendlandia formosana</v>
      </c>
    </row>
    <row r="2397" spans="1:14" x14ac:dyDescent="0.3">
      <c r="A2397" t="s">
        <v>4917</v>
      </c>
      <c r="B2397" t="s">
        <v>4918</v>
      </c>
      <c r="C2397" t="s">
        <v>4918</v>
      </c>
      <c r="D2397" t="s">
        <v>4919</v>
      </c>
      <c r="E2397" t="s">
        <v>8</v>
      </c>
      <c r="F2397" t="s">
        <v>15</v>
      </c>
      <c r="H2397" s="23" t="str">
        <f>VLOOKUP(A2397,Revisión!$A$2:$L$703,6,FALSE)</f>
        <v>Werneria pygmaea </v>
      </c>
      <c r="I2397" s="4" t="str">
        <f>VLOOKUP(A2397,Revisión!$A$2:$L$703,7,FALSE)</f>
        <v>-</v>
      </c>
      <c r="J2397" s="4" t="str">
        <f>VLOOKUP(A2397,Revisión!$A$2:$L$703,8,FALSE)</f>
        <v>Werneria pygmaea </v>
      </c>
      <c r="K2397" s="4" t="str">
        <f>VLOOKUP(A2397,Revisión!$A$2:$L$703,9,FALSE)</f>
        <v>Werneria pygmaea </v>
      </c>
      <c r="L2397" s="4" t="str">
        <f>VLOOKUP(A2397,Revisión!$A$2:$L$703,10,FALSE)</f>
        <v>Rockhausenia pygmaea</v>
      </c>
      <c r="M2397" s="18">
        <f>VLOOKUP(A2397,Revisión!$A$2:$L$703,11,FALSE)</f>
        <v>3</v>
      </c>
      <c r="N2397" s="30" t="str">
        <f>IF(E2397="Coinciden",D2397,IF(E2397="Revisar",VLOOKUP(A2397,Revisión!$A$2:$L$703,12,FALSE),""))</f>
        <v>Werneria pygmaea </v>
      </c>
    </row>
    <row r="2398" spans="1:14" x14ac:dyDescent="0.3">
      <c r="A2398" t="s">
        <v>4920</v>
      </c>
      <c r="B2398" t="s">
        <v>4921</v>
      </c>
      <c r="C2398" t="s">
        <v>4922</v>
      </c>
      <c r="D2398" t="s">
        <v>4921</v>
      </c>
      <c r="E2398" t="s">
        <v>8</v>
      </c>
      <c r="F2398" t="s">
        <v>493</v>
      </c>
      <c r="H2398" s="23" t="str">
        <f>VLOOKUP(A2398,Revisión!$A$2:$L$703,6,FALSE)</f>
        <v>Parodia erinacea</v>
      </c>
      <c r="I2398" s="4" t="str">
        <f>VLOOKUP(A2398,Revisión!$A$2:$L$703,7,FALSE)</f>
        <v>-</v>
      </c>
      <c r="J2398" s="4" t="str">
        <f>VLOOKUP(A2398,Revisión!$A$2:$L$703,8,FALSE)</f>
        <v>Parodia erinaceus</v>
      </c>
      <c r="K2398" s="4" t="str">
        <f>VLOOKUP(A2398,Revisión!$A$2:$L$703,9,FALSE)</f>
        <v>Parodia erinacea</v>
      </c>
      <c r="L2398" s="4" t="str">
        <f>VLOOKUP(A2398,Revisión!$A$2:$L$703,10,FALSE)</f>
        <v>Parodia erinacea</v>
      </c>
      <c r="M2398" s="18">
        <f>VLOOKUP(A2398,Revisión!$A$2:$L$703,11,FALSE)</f>
        <v>3</v>
      </c>
      <c r="N2398" s="30" t="str">
        <f>IF(E2398="Coinciden",D2398,IF(E2398="Revisar",VLOOKUP(A2398,Revisión!$A$2:$L$703,12,FALSE),""))</f>
        <v>Parodia erinacea</v>
      </c>
    </row>
    <row r="2399" spans="1:14" x14ac:dyDescent="0.3">
      <c r="A2399" t="s">
        <v>4923</v>
      </c>
      <c r="B2399" t="s">
        <v>4924</v>
      </c>
      <c r="C2399" t="s">
        <v>4924</v>
      </c>
      <c r="D2399" t="s">
        <v>4924</v>
      </c>
      <c r="E2399" t="s">
        <v>18</v>
      </c>
      <c r="F2399" t="s">
        <v>19</v>
      </c>
      <c r="H2399" s="23" t="e">
        <f>VLOOKUP(A2399,Revisión!$A$2:$L$703,6,FALSE)</f>
        <v>#N/A</v>
      </c>
      <c r="I2399" s="4" t="e">
        <f>VLOOKUP(A2399,Revisión!$A$2:$L$703,7,FALSE)</f>
        <v>#N/A</v>
      </c>
      <c r="J2399" s="4" t="e">
        <f>VLOOKUP(A2399,Revisión!$A$2:$L$703,8,FALSE)</f>
        <v>#N/A</v>
      </c>
      <c r="K2399" s="4" t="e">
        <f>VLOOKUP(A2399,Revisión!$A$2:$L$703,9,FALSE)</f>
        <v>#N/A</v>
      </c>
      <c r="L2399" s="4" t="e">
        <f>VLOOKUP(A2399,Revisión!$A$2:$L$703,10,FALSE)</f>
        <v>#N/A</v>
      </c>
      <c r="M2399" s="18" t="e">
        <f>VLOOKUP(A2399,Revisión!$A$2:$L$703,11,FALSE)</f>
        <v>#N/A</v>
      </c>
      <c r="N2399" s="30" t="str">
        <f>IF(E2399="Coinciden",D2399,IF(E2399="Revisar",VLOOKUP(A2399,Revisión!$A$2:$L$703,12,FALSE),""))</f>
        <v>Wikstroemia indica</v>
      </c>
    </row>
    <row r="2400" spans="1:14" x14ac:dyDescent="0.3">
      <c r="A2400" t="s">
        <v>4925</v>
      </c>
      <c r="B2400" t="s">
        <v>4926</v>
      </c>
      <c r="C2400" t="s">
        <v>4926</v>
      </c>
      <c r="D2400" t="s">
        <v>4926</v>
      </c>
      <c r="E2400" t="s">
        <v>18</v>
      </c>
      <c r="F2400" t="s">
        <v>19</v>
      </c>
      <c r="H2400" s="23" t="e">
        <f>VLOOKUP(A2400,Revisión!$A$2:$L$703,6,FALSE)</f>
        <v>#N/A</v>
      </c>
      <c r="I2400" s="4" t="e">
        <f>VLOOKUP(A2400,Revisión!$A$2:$L$703,7,FALSE)</f>
        <v>#N/A</v>
      </c>
      <c r="J2400" s="4" t="e">
        <f>VLOOKUP(A2400,Revisión!$A$2:$L$703,8,FALSE)</f>
        <v>#N/A</v>
      </c>
      <c r="K2400" s="4" t="e">
        <f>VLOOKUP(A2400,Revisión!$A$2:$L$703,9,FALSE)</f>
        <v>#N/A</v>
      </c>
      <c r="L2400" s="4" t="e">
        <f>VLOOKUP(A2400,Revisión!$A$2:$L$703,10,FALSE)</f>
        <v>#N/A</v>
      </c>
      <c r="M2400" s="18" t="e">
        <f>VLOOKUP(A2400,Revisión!$A$2:$L$703,11,FALSE)</f>
        <v>#N/A</v>
      </c>
      <c r="N2400" s="30" t="str">
        <f>IF(E2400="Coinciden",D2400,IF(E2400="Revisar",VLOOKUP(A2400,Revisión!$A$2:$L$703,12,FALSE),""))</f>
        <v>Wisteria floribunda</v>
      </c>
    </row>
    <row r="2401" spans="1:14" x14ac:dyDescent="0.3">
      <c r="A2401" t="s">
        <v>4927</v>
      </c>
      <c r="C2401" t="s">
        <v>4928</v>
      </c>
      <c r="D2401" t="s">
        <v>4928</v>
      </c>
      <c r="E2401" t="s">
        <v>8</v>
      </c>
      <c r="F2401" t="s">
        <v>49</v>
      </c>
      <c r="H2401" s="23" t="str">
        <f>VLOOKUP(A2401,Revisión!$A$2:$L$703,6,FALSE)</f>
        <v>Wittrockia cyathiformis</v>
      </c>
      <c r="I2401" s="4" t="str">
        <f>VLOOKUP(A2401,Revisión!$A$2:$L$703,7,FALSE)</f>
        <v>-</v>
      </c>
      <c r="J2401" s="4" t="str">
        <f>VLOOKUP(A2401,Revisión!$A$2:$L$703,8,FALSE)</f>
        <v>Wittrockia cyathiformis</v>
      </c>
      <c r="K2401" s="4" t="str">
        <f>VLOOKUP(A2401,Revisión!$A$2:$L$703,9,FALSE)</f>
        <v>Wittrockia cyathiformis</v>
      </c>
      <c r="L2401" s="4" t="str">
        <f>VLOOKUP(A2401,Revisión!$A$2:$L$703,10,FALSE)</f>
        <v>Wittrockia cyathiformis</v>
      </c>
      <c r="M2401" s="18">
        <f>VLOOKUP(A2401,Revisión!$A$2:$L$703,11,FALSE)</f>
        <v>5</v>
      </c>
      <c r="N2401" s="30" t="str">
        <f>IF(E2401="Coinciden",D2401,IF(E2401="Revisar",VLOOKUP(A2401,Revisión!$A$2:$L$703,12,FALSE),""))</f>
        <v>Wittrockia cyathiformis</v>
      </c>
    </row>
    <row r="2402" spans="1:14" x14ac:dyDescent="0.3">
      <c r="A2402" t="s">
        <v>4929</v>
      </c>
      <c r="B2402" t="s">
        <v>4930</v>
      </c>
      <c r="C2402" t="s">
        <v>4930</v>
      </c>
      <c r="D2402" t="s">
        <v>4930</v>
      </c>
      <c r="E2402" t="s">
        <v>18</v>
      </c>
      <c r="F2402" t="s">
        <v>19</v>
      </c>
      <c r="H2402" s="23" t="e">
        <f>VLOOKUP(A2402,Revisión!$A$2:$L$703,6,FALSE)</f>
        <v>#N/A</v>
      </c>
      <c r="I2402" s="4" t="e">
        <f>VLOOKUP(A2402,Revisión!$A$2:$L$703,7,FALSE)</f>
        <v>#N/A</v>
      </c>
      <c r="J2402" s="4" t="e">
        <f>VLOOKUP(A2402,Revisión!$A$2:$L$703,8,FALSE)</f>
        <v>#N/A</v>
      </c>
      <c r="K2402" s="4" t="e">
        <f>VLOOKUP(A2402,Revisión!$A$2:$L$703,9,FALSE)</f>
        <v>#N/A</v>
      </c>
      <c r="L2402" s="4" t="e">
        <f>VLOOKUP(A2402,Revisión!$A$2:$L$703,10,FALSE)</f>
        <v>#N/A</v>
      </c>
      <c r="M2402" s="18" t="e">
        <f>VLOOKUP(A2402,Revisión!$A$2:$L$703,11,FALSE)</f>
        <v>#N/A</v>
      </c>
      <c r="N2402" s="30" t="str">
        <f>IF(E2402="Coinciden",D2402,IF(E2402="Revisar",VLOOKUP(A2402,Revisión!$A$2:$L$703,12,FALSE),""))</f>
        <v>Xylopia lamarckii</v>
      </c>
    </row>
    <row r="2403" spans="1:14" x14ac:dyDescent="0.3">
      <c r="A2403" t="s">
        <v>4931</v>
      </c>
      <c r="B2403" t="s">
        <v>4932</v>
      </c>
      <c r="C2403" t="s">
        <v>4932</v>
      </c>
      <c r="D2403" t="s">
        <v>4932</v>
      </c>
      <c r="E2403" t="s">
        <v>18</v>
      </c>
      <c r="F2403" t="s">
        <v>19</v>
      </c>
      <c r="H2403" s="23" t="e">
        <f>VLOOKUP(A2403,Revisión!$A$2:$L$703,6,FALSE)</f>
        <v>#N/A</v>
      </c>
      <c r="I2403" s="4" t="e">
        <f>VLOOKUP(A2403,Revisión!$A$2:$L$703,7,FALSE)</f>
        <v>#N/A</v>
      </c>
      <c r="J2403" s="4" t="e">
        <f>VLOOKUP(A2403,Revisión!$A$2:$L$703,8,FALSE)</f>
        <v>#N/A</v>
      </c>
      <c r="K2403" s="4" t="e">
        <f>VLOOKUP(A2403,Revisión!$A$2:$L$703,9,FALSE)</f>
        <v>#N/A</v>
      </c>
      <c r="L2403" s="4" t="e">
        <f>VLOOKUP(A2403,Revisión!$A$2:$L$703,10,FALSE)</f>
        <v>#N/A</v>
      </c>
      <c r="M2403" s="18" t="e">
        <f>VLOOKUP(A2403,Revisión!$A$2:$L$703,11,FALSE)</f>
        <v>#N/A</v>
      </c>
      <c r="N2403" s="30" t="str">
        <f>IF(E2403="Coinciden",D2403,IF(E2403="Revisar",VLOOKUP(A2403,Revisión!$A$2:$L$703,12,FALSE),""))</f>
        <v>Xyris laxifolia</v>
      </c>
    </row>
    <row r="2404" spans="1:14" x14ac:dyDescent="0.3">
      <c r="A2404" t="s">
        <v>4933</v>
      </c>
      <c r="E2404" t="s">
        <v>8</v>
      </c>
      <c r="F2404" t="s">
        <v>11</v>
      </c>
      <c r="H2404" s="23" t="e">
        <f>VLOOKUP(A2404,Revisión!$A$2:$L$703,6,FALSE)</f>
        <v>#N/A</v>
      </c>
      <c r="I2404" s="4" t="e">
        <f>VLOOKUP(A2404,Revisión!$A$2:$L$703,7,FALSE)</f>
        <v>#N/A</v>
      </c>
      <c r="J2404" s="4" t="e">
        <f>VLOOKUP(A2404,Revisión!$A$2:$L$703,8,FALSE)</f>
        <v>#N/A</v>
      </c>
      <c r="K2404" s="4" t="e">
        <f>VLOOKUP(A2404,Revisión!$A$2:$L$703,9,FALSE)</f>
        <v>#N/A</v>
      </c>
      <c r="L2404" s="4" t="e">
        <f>VLOOKUP(A2404,Revisión!$A$2:$L$703,10,FALSE)</f>
        <v>#N/A</v>
      </c>
      <c r="M2404" s="18" t="e">
        <f>VLOOKUP(A2404,Revisión!$A$2:$L$703,11,FALSE)</f>
        <v>#N/A</v>
      </c>
      <c r="N2404" s="30" t="e">
        <f>IF(E2404="Coinciden",D2404,IF(E2404="Revisar",VLOOKUP(A2404,Revisión!$A$2:$L$703,12,FALSE),""))</f>
        <v>#N/A</v>
      </c>
    </row>
    <row r="2405" spans="1:14" x14ac:dyDescent="0.3">
      <c r="A2405" t="s">
        <v>4934</v>
      </c>
      <c r="B2405" t="s">
        <v>4935</v>
      </c>
      <c r="C2405" t="s">
        <v>4935</v>
      </c>
      <c r="D2405" t="s">
        <v>4935</v>
      </c>
      <c r="E2405" t="s">
        <v>18</v>
      </c>
      <c r="F2405" t="s">
        <v>19</v>
      </c>
      <c r="H2405" s="23" t="e">
        <f>VLOOKUP(A2405,Revisión!$A$2:$L$703,6,FALSE)</f>
        <v>#N/A</v>
      </c>
      <c r="I2405" s="4" t="e">
        <f>VLOOKUP(A2405,Revisión!$A$2:$L$703,7,FALSE)</f>
        <v>#N/A</v>
      </c>
      <c r="J2405" s="4" t="e">
        <f>VLOOKUP(A2405,Revisión!$A$2:$L$703,8,FALSE)</f>
        <v>#N/A</v>
      </c>
      <c r="K2405" s="4" t="e">
        <f>VLOOKUP(A2405,Revisión!$A$2:$L$703,9,FALSE)</f>
        <v>#N/A</v>
      </c>
      <c r="L2405" s="4" t="e">
        <f>VLOOKUP(A2405,Revisión!$A$2:$L$703,10,FALSE)</f>
        <v>#N/A</v>
      </c>
      <c r="M2405" s="18" t="e">
        <f>VLOOKUP(A2405,Revisión!$A$2:$L$703,11,FALSE)</f>
        <v>#N/A</v>
      </c>
      <c r="N2405" s="30" t="str">
        <f>IF(E2405="Coinciden",D2405,IF(E2405="Revisar",VLOOKUP(A2405,Revisión!$A$2:$L$703,12,FALSE),""))</f>
        <v>Xyris setigera</v>
      </c>
    </row>
    <row r="2406" spans="1:14" x14ac:dyDescent="0.3">
      <c r="A2406" t="s">
        <v>4936</v>
      </c>
      <c r="E2406" t="s">
        <v>8</v>
      </c>
      <c r="F2406" t="s">
        <v>11</v>
      </c>
      <c r="H2406" s="23" t="e">
        <f>VLOOKUP(A2406,Revisión!$A$2:$L$703,6,FALSE)</f>
        <v>#N/A</v>
      </c>
      <c r="I2406" s="4" t="e">
        <f>VLOOKUP(A2406,Revisión!$A$2:$L$703,7,FALSE)</f>
        <v>#N/A</v>
      </c>
      <c r="J2406" s="4" t="e">
        <f>VLOOKUP(A2406,Revisión!$A$2:$L$703,8,FALSE)</f>
        <v>#N/A</v>
      </c>
      <c r="K2406" s="4" t="e">
        <f>VLOOKUP(A2406,Revisión!$A$2:$L$703,9,FALSE)</f>
        <v>#N/A</v>
      </c>
      <c r="L2406" s="4" t="e">
        <f>VLOOKUP(A2406,Revisión!$A$2:$L$703,10,FALSE)</f>
        <v>#N/A</v>
      </c>
      <c r="M2406" s="18" t="e">
        <f>VLOOKUP(A2406,Revisión!$A$2:$L$703,11,FALSE)</f>
        <v>#N/A</v>
      </c>
      <c r="N2406" s="30" t="e">
        <f>IF(E2406="Coinciden",D2406,IF(E2406="Revisar",VLOOKUP(A2406,Revisión!$A$2:$L$703,12,FALSE),""))</f>
        <v>#N/A</v>
      </c>
    </row>
    <row r="2407" spans="1:14" x14ac:dyDescent="0.3">
      <c r="A2407" t="s">
        <v>4937</v>
      </c>
      <c r="B2407" t="s">
        <v>4938</v>
      </c>
      <c r="C2407" t="s">
        <v>4938</v>
      </c>
      <c r="D2407" t="s">
        <v>4938</v>
      </c>
      <c r="E2407" t="s">
        <v>18</v>
      </c>
      <c r="F2407" t="s">
        <v>19</v>
      </c>
      <c r="H2407" s="23" t="e">
        <f>VLOOKUP(A2407,Revisión!$A$2:$L$703,6,FALSE)</f>
        <v>#N/A</v>
      </c>
      <c r="I2407" s="4" t="e">
        <f>VLOOKUP(A2407,Revisión!$A$2:$L$703,7,FALSE)</f>
        <v>#N/A</v>
      </c>
      <c r="J2407" s="4" t="e">
        <f>VLOOKUP(A2407,Revisión!$A$2:$L$703,8,FALSE)</f>
        <v>#N/A</v>
      </c>
      <c r="K2407" s="4" t="e">
        <f>VLOOKUP(A2407,Revisión!$A$2:$L$703,9,FALSE)</f>
        <v>#N/A</v>
      </c>
      <c r="L2407" s="4" t="e">
        <f>VLOOKUP(A2407,Revisión!$A$2:$L$703,10,FALSE)</f>
        <v>#N/A</v>
      </c>
      <c r="M2407" s="18" t="e">
        <f>VLOOKUP(A2407,Revisión!$A$2:$L$703,11,FALSE)</f>
        <v>#N/A</v>
      </c>
      <c r="N2407" s="30" t="str">
        <f>IF(E2407="Coinciden",D2407,IF(E2407="Revisar",VLOOKUP(A2407,Revisión!$A$2:$L$703,12,FALSE),""))</f>
        <v>Xyris savanensis</v>
      </c>
    </row>
    <row r="2408" spans="1:14" x14ac:dyDescent="0.3">
      <c r="A2408" t="s">
        <v>4939</v>
      </c>
      <c r="B2408" t="s">
        <v>4940</v>
      </c>
      <c r="C2408" t="s">
        <v>4940</v>
      </c>
      <c r="D2408" t="s">
        <v>4940</v>
      </c>
      <c r="E2408" t="s">
        <v>18</v>
      </c>
      <c r="F2408" t="s">
        <v>19</v>
      </c>
      <c r="H2408" s="23" t="e">
        <f>VLOOKUP(A2408,Revisión!$A$2:$L$703,6,FALSE)</f>
        <v>#N/A</v>
      </c>
      <c r="I2408" s="4" t="e">
        <f>VLOOKUP(A2408,Revisión!$A$2:$L$703,7,FALSE)</f>
        <v>#N/A</v>
      </c>
      <c r="J2408" s="4" t="e">
        <f>VLOOKUP(A2408,Revisión!$A$2:$L$703,8,FALSE)</f>
        <v>#N/A</v>
      </c>
      <c r="K2408" s="4" t="e">
        <f>VLOOKUP(A2408,Revisión!$A$2:$L$703,9,FALSE)</f>
        <v>#N/A</v>
      </c>
      <c r="L2408" s="4" t="e">
        <f>VLOOKUP(A2408,Revisión!$A$2:$L$703,10,FALSE)</f>
        <v>#N/A</v>
      </c>
      <c r="M2408" s="18" t="e">
        <f>VLOOKUP(A2408,Revisión!$A$2:$L$703,11,FALSE)</f>
        <v>#N/A</v>
      </c>
      <c r="N2408" s="30" t="str">
        <f>IF(E2408="Coinciden",D2408,IF(E2408="Revisar",VLOOKUP(A2408,Revisión!$A$2:$L$703,12,FALSE),""))</f>
        <v>Xysmalobium gerrardii</v>
      </c>
    </row>
    <row r="2409" spans="1:14" x14ac:dyDescent="0.3">
      <c r="A2409" t="s">
        <v>4941</v>
      </c>
      <c r="B2409" t="s">
        <v>4942</v>
      </c>
      <c r="C2409" t="s">
        <v>4942</v>
      </c>
      <c r="D2409" t="s">
        <v>4942</v>
      </c>
      <c r="E2409" t="s">
        <v>18</v>
      </c>
      <c r="F2409" t="s">
        <v>19</v>
      </c>
      <c r="H2409" s="23" t="e">
        <f>VLOOKUP(A2409,Revisión!$A$2:$L$703,6,FALSE)</f>
        <v>#N/A</v>
      </c>
      <c r="I2409" s="4" t="e">
        <f>VLOOKUP(A2409,Revisión!$A$2:$L$703,7,FALSE)</f>
        <v>#N/A</v>
      </c>
      <c r="J2409" s="4" t="e">
        <f>VLOOKUP(A2409,Revisión!$A$2:$L$703,8,FALSE)</f>
        <v>#N/A</v>
      </c>
      <c r="K2409" s="4" t="e">
        <f>VLOOKUP(A2409,Revisión!$A$2:$L$703,9,FALSE)</f>
        <v>#N/A</v>
      </c>
      <c r="L2409" s="4" t="e">
        <f>VLOOKUP(A2409,Revisión!$A$2:$L$703,10,FALSE)</f>
        <v>#N/A</v>
      </c>
      <c r="M2409" s="18" t="e">
        <f>VLOOKUP(A2409,Revisión!$A$2:$L$703,11,FALSE)</f>
        <v>#N/A</v>
      </c>
      <c r="N2409" s="30" t="str">
        <f>IF(E2409="Coinciden",D2409,IF(E2409="Revisar",VLOOKUP(A2409,Revisión!$A$2:$L$703,12,FALSE),""))</f>
        <v>Xysmalobium involucratum</v>
      </c>
    </row>
    <row r="2410" spans="1:14" x14ac:dyDescent="0.3">
      <c r="A2410" t="s">
        <v>4943</v>
      </c>
      <c r="B2410" t="s">
        <v>4944</v>
      </c>
      <c r="C2410" t="s">
        <v>4945</v>
      </c>
      <c r="D2410" t="s">
        <v>4945</v>
      </c>
      <c r="E2410" t="s">
        <v>8</v>
      </c>
      <c r="F2410" t="s">
        <v>23</v>
      </c>
      <c r="H2410" s="23" t="str">
        <f>VLOOKUP(A2410,Revisión!$A$2:$L$703,6,FALSE)</f>
        <v>Crepidiastrum denticulatum subsp. denticulatum</v>
      </c>
      <c r="I2410" s="4" t="str">
        <f>VLOOKUP(A2410,Revisión!$A$2:$L$703,7,FALSE)</f>
        <v>-</v>
      </c>
      <c r="J2410" s="4" t="str">
        <f>VLOOKUP(A2410,Revisión!$A$2:$L$703,8,FALSE)</f>
        <v>Crepidiastrum denticulatum</v>
      </c>
      <c r="K2410" s="4" t="str">
        <f>VLOOKUP(A2410,Revisión!$A$2:$L$703,9,FALSE)</f>
        <v>Crepidiastrum denticulatum subsp. denticulatum</v>
      </c>
      <c r="L2410" s="4" t="str">
        <f>VLOOKUP(A2410,Revisión!$A$2:$L$703,10,FALSE)</f>
        <v>Crepidiastrum denticulatum subsp. denticulatum</v>
      </c>
      <c r="M2410" s="18">
        <f>VLOOKUP(A2410,Revisión!$A$2:$L$703,11,FALSE)</f>
        <v>4</v>
      </c>
      <c r="N2410" s="30" t="str">
        <f>IF(E2410="Coinciden",D2410,IF(E2410="Revisar",VLOOKUP(A2410,Revisión!$A$2:$L$703,12,FALSE),""))</f>
        <v>Crepidiastrum denticulatum subsp. denticulatum</v>
      </c>
    </row>
    <row r="2411" spans="1:14" x14ac:dyDescent="0.3">
      <c r="A2411" t="s">
        <v>4946</v>
      </c>
      <c r="B2411" t="s">
        <v>4947</v>
      </c>
      <c r="C2411" t="s">
        <v>4947</v>
      </c>
      <c r="D2411" t="s">
        <v>4947</v>
      </c>
      <c r="E2411" t="s">
        <v>18</v>
      </c>
      <c r="F2411" t="s">
        <v>19</v>
      </c>
      <c r="H2411" s="23" t="e">
        <f>VLOOKUP(A2411,Revisión!$A$2:$L$703,6,FALSE)</f>
        <v>#N/A</v>
      </c>
      <c r="I2411" s="4" t="e">
        <f>VLOOKUP(A2411,Revisión!$A$2:$L$703,7,FALSE)</f>
        <v>#N/A</v>
      </c>
      <c r="J2411" s="4" t="e">
        <f>VLOOKUP(A2411,Revisión!$A$2:$L$703,8,FALSE)</f>
        <v>#N/A</v>
      </c>
      <c r="K2411" s="4" t="e">
        <f>VLOOKUP(A2411,Revisión!$A$2:$L$703,9,FALSE)</f>
        <v>#N/A</v>
      </c>
      <c r="L2411" s="4" t="e">
        <f>VLOOKUP(A2411,Revisión!$A$2:$L$703,10,FALSE)</f>
        <v>#N/A</v>
      </c>
      <c r="M2411" s="18" t="e">
        <f>VLOOKUP(A2411,Revisión!$A$2:$L$703,11,FALSE)</f>
        <v>#N/A</v>
      </c>
      <c r="N2411" s="30" t="str">
        <f>IF(E2411="Coinciden",D2411,IF(E2411="Revisar",VLOOKUP(A2411,Revisión!$A$2:$L$703,12,FALSE),""))</f>
        <v>Youngia japonica</v>
      </c>
    </row>
    <row r="2412" spans="1:14" x14ac:dyDescent="0.3">
      <c r="A2412" t="s">
        <v>4948</v>
      </c>
      <c r="B2412" t="s">
        <v>4949</v>
      </c>
      <c r="C2412" t="s">
        <v>4949</v>
      </c>
      <c r="D2412" t="s">
        <v>4949</v>
      </c>
      <c r="E2412" t="s">
        <v>18</v>
      </c>
      <c r="F2412" t="s">
        <v>19</v>
      </c>
      <c r="H2412" s="23" t="e">
        <f>VLOOKUP(A2412,Revisión!$A$2:$L$703,6,FALSE)</f>
        <v>#N/A</v>
      </c>
      <c r="I2412" s="4" t="e">
        <f>VLOOKUP(A2412,Revisión!$A$2:$L$703,7,FALSE)</f>
        <v>#N/A</v>
      </c>
      <c r="J2412" s="4" t="e">
        <f>VLOOKUP(A2412,Revisión!$A$2:$L$703,8,FALSE)</f>
        <v>#N/A</v>
      </c>
      <c r="K2412" s="4" t="e">
        <f>VLOOKUP(A2412,Revisión!$A$2:$L$703,9,FALSE)</f>
        <v>#N/A</v>
      </c>
      <c r="L2412" s="4" t="e">
        <f>VLOOKUP(A2412,Revisión!$A$2:$L$703,10,FALSE)</f>
        <v>#N/A</v>
      </c>
      <c r="M2412" s="18" t="e">
        <f>VLOOKUP(A2412,Revisión!$A$2:$L$703,11,FALSE)</f>
        <v>#N/A</v>
      </c>
      <c r="N2412" s="30" t="str">
        <f>IF(E2412="Coinciden",D2412,IF(E2412="Revisar",VLOOKUP(A2412,Revisión!$A$2:$L$703,12,FALSE),""))</f>
        <v>Zanthoxylum americanum</v>
      </c>
    </row>
    <row r="2413" spans="1:14" x14ac:dyDescent="0.3">
      <c r="A2413" t="s">
        <v>4950</v>
      </c>
      <c r="B2413" t="s">
        <v>4951</v>
      </c>
      <c r="C2413" t="s">
        <v>4951</v>
      </c>
      <c r="D2413" t="s">
        <v>4951</v>
      </c>
      <c r="E2413" t="s">
        <v>18</v>
      </c>
      <c r="F2413" t="s">
        <v>19</v>
      </c>
      <c r="H2413" s="23" t="e">
        <f>VLOOKUP(A2413,Revisión!$A$2:$L$703,6,FALSE)</f>
        <v>#N/A</v>
      </c>
      <c r="I2413" s="4" t="e">
        <f>VLOOKUP(A2413,Revisión!$A$2:$L$703,7,FALSE)</f>
        <v>#N/A</v>
      </c>
      <c r="J2413" s="4" t="e">
        <f>VLOOKUP(A2413,Revisión!$A$2:$L$703,8,FALSE)</f>
        <v>#N/A</v>
      </c>
      <c r="K2413" s="4" t="e">
        <f>VLOOKUP(A2413,Revisión!$A$2:$L$703,9,FALSE)</f>
        <v>#N/A</v>
      </c>
      <c r="L2413" s="4" t="e">
        <f>VLOOKUP(A2413,Revisión!$A$2:$L$703,10,FALSE)</f>
        <v>#N/A</v>
      </c>
      <c r="M2413" s="18" t="e">
        <f>VLOOKUP(A2413,Revisión!$A$2:$L$703,11,FALSE)</f>
        <v>#N/A</v>
      </c>
      <c r="N2413" s="30" t="str">
        <f>IF(E2413="Coinciden",D2413,IF(E2413="Revisar",VLOOKUP(A2413,Revisión!$A$2:$L$703,12,FALSE),""))</f>
        <v>Zea mays</v>
      </c>
    </row>
    <row r="2414" spans="1:14" ht="15" thickBot="1" x14ac:dyDescent="0.35">
      <c r="A2414" t="s">
        <v>4952</v>
      </c>
      <c r="B2414" t="s">
        <v>4514</v>
      </c>
      <c r="C2414" t="s">
        <v>4514</v>
      </c>
      <c r="D2414" t="s">
        <v>4514</v>
      </c>
      <c r="E2414" t="s">
        <v>18</v>
      </c>
      <c r="F2414" t="s">
        <v>19</v>
      </c>
      <c r="H2414" s="25" t="e">
        <f>VLOOKUP(A2414,Revisión!$A$2:$L$703,6,FALSE)</f>
        <v>#N/A</v>
      </c>
      <c r="I2414" s="26" t="e">
        <f>VLOOKUP(A2414,Revisión!$A$2:$L$703,7,FALSE)</f>
        <v>#N/A</v>
      </c>
      <c r="J2414" s="26" t="e">
        <f>VLOOKUP(A2414,Revisión!$A$2:$L$703,8,FALSE)</f>
        <v>#N/A</v>
      </c>
      <c r="K2414" s="26" t="e">
        <f>VLOOKUP(A2414,Revisión!$A$2:$L$703,9,FALSE)</f>
        <v>#N/A</v>
      </c>
      <c r="L2414" s="26" t="e">
        <f>VLOOKUP(A2414,Revisión!$A$2:$L$703,10,FALSE)</f>
        <v>#N/A</v>
      </c>
      <c r="M2414" s="27" t="e">
        <f>VLOOKUP(A2414,Revisión!$A$2:$L$703,11,FALSE)</f>
        <v>#N/A</v>
      </c>
      <c r="N2414" s="33" t="str">
        <f>IF(E2414="Coinciden",D2414,IF(E2414="Revisar",VLOOKUP(A2414,Revisión!$A$2:$L$703,12,FALSE),""))</f>
        <v>Zizia aurea</v>
      </c>
    </row>
  </sheetData>
  <autoFilter ref="A2:G2414" xr:uid="{00000000-0001-0000-0000-000000000000}"/>
  <mergeCells count="2">
    <mergeCell ref="A1:G1"/>
    <mergeCell ref="H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2365-AE2D-4BAD-9B3E-A8CBD9EF9304}">
  <dimension ref="A1:M703"/>
  <sheetViews>
    <sheetView tabSelected="1" workbookViewId="0">
      <selection activeCell="G14" sqref="G14"/>
    </sheetView>
  </sheetViews>
  <sheetFormatPr baseColWidth="10" defaultRowHeight="14.4" x14ac:dyDescent="0.3"/>
  <cols>
    <col min="1" max="1" width="31.5546875" bestFit="1" customWidth="1"/>
    <col min="2" max="2" width="22.6640625" customWidth="1"/>
    <col min="3" max="3" width="20.77734375" customWidth="1"/>
    <col min="4" max="4" width="31.33203125" customWidth="1"/>
    <col min="5" max="5" width="16.88671875" customWidth="1"/>
    <col min="6" max="10" width="23.77734375" customWidth="1"/>
    <col min="11" max="11" width="11.77734375" style="5" customWidth="1"/>
    <col min="12" max="12" width="23.77734375" style="3" customWidth="1"/>
    <col min="13" max="13" width="14.6640625" style="4" customWidth="1"/>
    <col min="14" max="14" width="18.109375" bestFit="1" customWidth="1"/>
  </cols>
  <sheetData>
    <row r="1" spans="1:13" x14ac:dyDescent="0.3">
      <c r="B1" s="43" t="s">
        <v>5066</v>
      </c>
      <c r="C1" s="43"/>
      <c r="D1" s="43"/>
      <c r="E1" s="43"/>
      <c r="F1" s="44" t="s">
        <v>5067</v>
      </c>
      <c r="G1" s="44"/>
      <c r="H1" s="44"/>
      <c r="I1" s="44"/>
      <c r="J1" s="44"/>
      <c r="K1" s="9"/>
      <c r="L1" s="29"/>
      <c r="M1" s="10" t="s">
        <v>4968</v>
      </c>
    </row>
    <row r="2" spans="1:13" ht="28.2" customHeight="1" x14ac:dyDescent="0.3">
      <c r="A2" s="1" t="s">
        <v>0</v>
      </c>
      <c r="B2" s="6" t="s">
        <v>1</v>
      </c>
      <c r="C2" s="6" t="s">
        <v>2</v>
      </c>
      <c r="D2" s="6" t="s">
        <v>3</v>
      </c>
      <c r="E2" s="6" t="s">
        <v>4965</v>
      </c>
      <c r="F2" s="8" t="s">
        <v>1</v>
      </c>
      <c r="G2" s="8" t="s">
        <v>3</v>
      </c>
      <c r="H2" s="8" t="s">
        <v>5038</v>
      </c>
      <c r="I2" s="11" t="s">
        <v>5045</v>
      </c>
      <c r="J2" s="11" t="s">
        <v>5044</v>
      </c>
      <c r="K2" s="12" t="s">
        <v>5046</v>
      </c>
      <c r="L2" s="13" t="s">
        <v>4957</v>
      </c>
      <c r="M2" s="14" t="s">
        <v>5043</v>
      </c>
    </row>
    <row r="3" spans="1:13" x14ac:dyDescent="0.3">
      <c r="A3" t="s">
        <v>6</v>
      </c>
      <c r="B3" s="7" t="s">
        <v>7</v>
      </c>
      <c r="C3" s="7"/>
      <c r="D3" s="7"/>
      <c r="E3" s="7" t="s">
        <v>9</v>
      </c>
      <c r="F3" s="15" t="s">
        <v>4958</v>
      </c>
      <c r="G3" s="15" t="s">
        <v>4958</v>
      </c>
      <c r="H3" s="15" t="s">
        <v>4958</v>
      </c>
      <c r="I3" s="15" t="s">
        <v>4968</v>
      </c>
      <c r="J3" s="15" t="s">
        <v>4968</v>
      </c>
      <c r="K3" s="16">
        <v>3</v>
      </c>
      <c r="L3" s="17" t="s">
        <v>4958</v>
      </c>
      <c r="M3" s="10" t="s">
        <v>4968</v>
      </c>
    </row>
    <row r="4" spans="1:13" x14ac:dyDescent="0.3">
      <c r="A4" t="s">
        <v>12</v>
      </c>
      <c r="B4" s="7" t="s">
        <v>13</v>
      </c>
      <c r="C4" s="7" t="s">
        <v>13</v>
      </c>
      <c r="D4" s="7" t="s">
        <v>14</v>
      </c>
      <c r="E4" s="7" t="s">
        <v>15</v>
      </c>
      <c r="F4" s="15" t="s">
        <v>13</v>
      </c>
      <c r="G4" s="15" t="s">
        <v>13</v>
      </c>
      <c r="H4" s="15" t="s">
        <v>13</v>
      </c>
      <c r="I4" s="15" t="s">
        <v>4968</v>
      </c>
      <c r="J4" s="15" t="s">
        <v>4968</v>
      </c>
      <c r="K4" s="16">
        <v>3</v>
      </c>
      <c r="L4" s="17" t="s">
        <v>13</v>
      </c>
      <c r="M4" s="10" t="s">
        <v>4968</v>
      </c>
    </row>
    <row r="5" spans="1:13" x14ac:dyDescent="0.3">
      <c r="A5" t="s">
        <v>20</v>
      </c>
      <c r="B5" s="7" t="s">
        <v>21</v>
      </c>
      <c r="C5" s="7" t="s">
        <v>22</v>
      </c>
      <c r="D5" s="7" t="s">
        <v>22</v>
      </c>
      <c r="E5" s="7" t="s">
        <v>23</v>
      </c>
      <c r="F5" s="15" t="s">
        <v>22</v>
      </c>
      <c r="G5" s="15" t="s">
        <v>22</v>
      </c>
      <c r="H5" s="15" t="s">
        <v>22</v>
      </c>
      <c r="I5" s="15" t="s">
        <v>4968</v>
      </c>
      <c r="J5" s="15" t="s">
        <v>4968</v>
      </c>
      <c r="K5" s="16">
        <v>3</v>
      </c>
      <c r="L5" s="17" t="s">
        <v>22</v>
      </c>
      <c r="M5" s="10" t="s">
        <v>4968</v>
      </c>
    </row>
    <row r="6" spans="1:13" x14ac:dyDescent="0.3">
      <c r="A6" t="s">
        <v>4966</v>
      </c>
      <c r="B6" s="7"/>
      <c r="C6" s="7"/>
      <c r="D6" s="7"/>
      <c r="E6" s="7"/>
      <c r="F6" s="15" t="s">
        <v>29</v>
      </c>
      <c r="G6" s="15" t="s">
        <v>29</v>
      </c>
      <c r="H6" s="15" t="s">
        <v>29</v>
      </c>
      <c r="I6" s="15" t="s">
        <v>4968</v>
      </c>
      <c r="J6" s="15" t="s">
        <v>4968</v>
      </c>
      <c r="K6" s="16">
        <v>3</v>
      </c>
      <c r="L6" s="17" t="s">
        <v>29</v>
      </c>
      <c r="M6" s="10" t="s">
        <v>4968</v>
      </c>
    </row>
    <row r="7" spans="1:13" x14ac:dyDescent="0.3">
      <c r="A7" t="s">
        <v>30</v>
      </c>
      <c r="B7" s="7"/>
      <c r="C7" s="7"/>
      <c r="D7" s="7"/>
      <c r="E7" s="7"/>
      <c r="F7" s="15" t="s">
        <v>4959</v>
      </c>
      <c r="G7" s="15" t="s">
        <v>4959</v>
      </c>
      <c r="H7" s="15" t="s">
        <v>4959</v>
      </c>
      <c r="I7" s="15" t="s">
        <v>4968</v>
      </c>
      <c r="J7" s="15" t="s">
        <v>4968</v>
      </c>
      <c r="K7" s="16">
        <v>3</v>
      </c>
      <c r="L7" s="17" t="s">
        <v>4959</v>
      </c>
      <c r="M7" s="10" t="s">
        <v>4968</v>
      </c>
    </row>
    <row r="8" spans="1:13" x14ac:dyDescent="0.3">
      <c r="A8" t="s">
        <v>32</v>
      </c>
      <c r="B8" s="7" t="s">
        <v>33</v>
      </c>
      <c r="C8" s="7"/>
      <c r="D8" s="7" t="s">
        <v>33</v>
      </c>
      <c r="E8" s="7" t="s">
        <v>34</v>
      </c>
      <c r="F8" s="15" t="s">
        <v>33</v>
      </c>
      <c r="G8" s="15" t="s">
        <v>33</v>
      </c>
      <c r="H8" s="15" t="s">
        <v>33</v>
      </c>
      <c r="I8" s="15" t="s">
        <v>4968</v>
      </c>
      <c r="J8" s="15" t="s">
        <v>4968</v>
      </c>
      <c r="K8" s="16">
        <v>3</v>
      </c>
      <c r="L8" s="17" t="s">
        <v>33</v>
      </c>
      <c r="M8" s="10" t="s">
        <v>4968</v>
      </c>
    </row>
    <row r="9" spans="1:13" x14ac:dyDescent="0.3">
      <c r="A9" t="s">
        <v>35</v>
      </c>
      <c r="B9" s="7"/>
      <c r="C9" s="7"/>
      <c r="D9" s="7"/>
      <c r="E9" s="7"/>
      <c r="F9" s="15" t="s">
        <v>4960</v>
      </c>
      <c r="G9" s="15" t="s">
        <v>4960</v>
      </c>
      <c r="H9" s="15" t="s">
        <v>4960</v>
      </c>
      <c r="I9" s="15" t="s">
        <v>4968</v>
      </c>
      <c r="J9" s="15" t="s">
        <v>4968</v>
      </c>
      <c r="K9" s="16">
        <v>3</v>
      </c>
      <c r="L9" s="17" t="s">
        <v>4960</v>
      </c>
      <c r="M9" s="10" t="s">
        <v>4968</v>
      </c>
    </row>
    <row r="10" spans="1:13" x14ac:dyDescent="0.3">
      <c r="A10" t="s">
        <v>47</v>
      </c>
      <c r="B10" s="7"/>
      <c r="C10" s="7" t="s">
        <v>48</v>
      </c>
      <c r="D10" s="7" t="s">
        <v>48</v>
      </c>
      <c r="E10" s="7" t="s">
        <v>49</v>
      </c>
      <c r="F10" s="15" t="s">
        <v>48</v>
      </c>
      <c r="G10" s="15" t="s">
        <v>48</v>
      </c>
      <c r="H10" s="15" t="s">
        <v>48</v>
      </c>
      <c r="I10" s="15" t="s">
        <v>4968</v>
      </c>
      <c r="J10" s="15" t="s">
        <v>4968</v>
      </c>
      <c r="K10" s="16">
        <v>3</v>
      </c>
      <c r="L10" s="17" t="s">
        <v>48</v>
      </c>
      <c r="M10" s="10" t="s">
        <v>4968</v>
      </c>
    </row>
    <row r="11" spans="1:13" x14ac:dyDescent="0.3">
      <c r="A11" t="s">
        <v>62</v>
      </c>
      <c r="B11" s="7"/>
      <c r="C11" s="7" t="s">
        <v>63</v>
      </c>
      <c r="D11" s="7" t="s">
        <v>64</v>
      </c>
      <c r="E11" s="7" t="s">
        <v>9</v>
      </c>
      <c r="F11" s="15" t="s">
        <v>4964</v>
      </c>
      <c r="G11" s="15" t="s">
        <v>63</v>
      </c>
      <c r="H11" s="15" t="s">
        <v>4964</v>
      </c>
      <c r="I11" s="15" t="s">
        <v>4968</v>
      </c>
      <c r="J11" s="15" t="s">
        <v>4968</v>
      </c>
      <c r="K11" s="16">
        <v>3</v>
      </c>
      <c r="L11" s="17" t="s">
        <v>4964</v>
      </c>
      <c r="M11" s="10" t="s">
        <v>4968</v>
      </c>
    </row>
    <row r="12" spans="1:13" x14ac:dyDescent="0.3">
      <c r="A12" t="s">
        <v>67</v>
      </c>
      <c r="B12" s="7"/>
      <c r="C12" s="7" t="s">
        <v>68</v>
      </c>
      <c r="D12" s="7" t="s">
        <v>68</v>
      </c>
      <c r="E12" s="7" t="s">
        <v>49</v>
      </c>
      <c r="F12" s="15" t="s">
        <v>68</v>
      </c>
      <c r="G12" s="15" t="s">
        <v>68</v>
      </c>
      <c r="H12" s="15" t="s">
        <v>68</v>
      </c>
      <c r="I12" s="15" t="s">
        <v>4968</v>
      </c>
      <c r="J12" s="15" t="s">
        <v>4968</v>
      </c>
      <c r="K12" s="16">
        <v>3</v>
      </c>
      <c r="L12" s="17" t="s">
        <v>68</v>
      </c>
      <c r="M12" s="10" t="s">
        <v>4968</v>
      </c>
    </row>
    <row r="13" spans="1:13" x14ac:dyDescent="0.3">
      <c r="A13" t="s">
        <v>71</v>
      </c>
      <c r="B13" s="7"/>
      <c r="C13" s="7" t="s">
        <v>72</v>
      </c>
      <c r="D13" s="7" t="s">
        <v>72</v>
      </c>
      <c r="E13" s="7" t="s">
        <v>49</v>
      </c>
      <c r="F13" s="15" t="s">
        <v>72</v>
      </c>
      <c r="G13" s="15" t="s">
        <v>72</v>
      </c>
      <c r="H13" s="15" t="s">
        <v>72</v>
      </c>
      <c r="I13" s="15" t="s">
        <v>4968</v>
      </c>
      <c r="J13" s="15" t="s">
        <v>4968</v>
      </c>
      <c r="K13" s="16">
        <v>3</v>
      </c>
      <c r="L13" s="17" t="s">
        <v>72</v>
      </c>
      <c r="M13" s="10" t="s">
        <v>4968</v>
      </c>
    </row>
    <row r="14" spans="1:13" x14ac:dyDescent="0.3">
      <c r="A14" t="s">
        <v>79</v>
      </c>
      <c r="B14" s="7" t="s">
        <v>80</v>
      </c>
      <c r="C14" s="7" t="s">
        <v>80</v>
      </c>
      <c r="D14" s="7" t="s">
        <v>74</v>
      </c>
      <c r="E14" s="7" t="s">
        <v>15</v>
      </c>
      <c r="F14" s="15" t="s">
        <v>80</v>
      </c>
      <c r="G14" s="15" t="s">
        <v>4968</v>
      </c>
      <c r="H14" s="15" t="s">
        <v>4967</v>
      </c>
      <c r="I14" s="15" t="s">
        <v>4968</v>
      </c>
      <c r="J14" s="15" t="s">
        <v>4968</v>
      </c>
      <c r="K14" s="16">
        <v>2</v>
      </c>
      <c r="L14" s="17" t="s">
        <v>4967</v>
      </c>
      <c r="M14" s="10" t="s">
        <v>4968</v>
      </c>
    </row>
    <row r="15" spans="1:13" x14ac:dyDescent="0.3">
      <c r="A15" t="s">
        <v>81</v>
      </c>
      <c r="B15" s="7"/>
      <c r="C15" s="7" t="s">
        <v>82</v>
      </c>
      <c r="D15" s="7" t="s">
        <v>82</v>
      </c>
      <c r="E15" s="7" t="s">
        <v>49</v>
      </c>
      <c r="F15" s="15" t="s">
        <v>82</v>
      </c>
      <c r="G15" s="15" t="s">
        <v>82</v>
      </c>
      <c r="H15" s="15" t="s">
        <v>82</v>
      </c>
      <c r="I15" s="15" t="s">
        <v>4968</v>
      </c>
      <c r="J15" s="15" t="s">
        <v>4968</v>
      </c>
      <c r="K15" s="16">
        <v>3</v>
      </c>
      <c r="L15" s="17" t="s">
        <v>82</v>
      </c>
      <c r="M15" s="10" t="s">
        <v>4968</v>
      </c>
    </row>
    <row r="16" spans="1:13" x14ac:dyDescent="0.3">
      <c r="A16" t="s">
        <v>89</v>
      </c>
      <c r="B16" s="7"/>
      <c r="C16" s="7" t="s">
        <v>90</v>
      </c>
      <c r="D16" s="7" t="s">
        <v>91</v>
      </c>
      <c r="E16" s="7" t="s">
        <v>9</v>
      </c>
      <c r="F16" s="15" t="s">
        <v>91</v>
      </c>
      <c r="G16" s="15" t="s">
        <v>91</v>
      </c>
      <c r="H16" s="15" t="s">
        <v>91</v>
      </c>
      <c r="I16" s="15" t="s">
        <v>4968</v>
      </c>
      <c r="J16" s="15" t="s">
        <v>4968</v>
      </c>
      <c r="K16" s="16">
        <v>3</v>
      </c>
      <c r="L16" s="17" t="s">
        <v>91</v>
      </c>
      <c r="M16" s="10" t="s">
        <v>4968</v>
      </c>
    </row>
    <row r="17" spans="1:13" x14ac:dyDescent="0.3">
      <c r="A17" t="s">
        <v>102</v>
      </c>
      <c r="B17" s="7"/>
      <c r="C17" s="7" t="s">
        <v>103</v>
      </c>
      <c r="D17" s="7" t="s">
        <v>103</v>
      </c>
      <c r="E17" s="7" t="s">
        <v>49</v>
      </c>
      <c r="F17" s="15" t="s">
        <v>4969</v>
      </c>
      <c r="G17" s="15" t="s">
        <v>103</v>
      </c>
      <c r="H17" s="15" t="s">
        <v>103</v>
      </c>
      <c r="I17" s="15" t="s">
        <v>4968</v>
      </c>
      <c r="J17" s="15" t="s">
        <v>4968</v>
      </c>
      <c r="K17" s="16">
        <v>3</v>
      </c>
      <c r="L17" s="17" t="s">
        <v>103</v>
      </c>
      <c r="M17" s="10" t="s">
        <v>4968</v>
      </c>
    </row>
    <row r="18" spans="1:13" x14ac:dyDescent="0.3">
      <c r="A18" t="s">
        <v>114</v>
      </c>
      <c r="B18" s="7"/>
      <c r="C18" s="7" t="s">
        <v>115</v>
      </c>
      <c r="D18" s="7" t="s">
        <v>115</v>
      </c>
      <c r="E18" s="7" t="s">
        <v>49</v>
      </c>
      <c r="F18" s="15" t="s">
        <v>4970</v>
      </c>
      <c r="G18" s="15" t="s">
        <v>115</v>
      </c>
      <c r="H18" s="15" t="s">
        <v>115</v>
      </c>
      <c r="I18" s="15" t="s">
        <v>4968</v>
      </c>
      <c r="J18" s="15" t="s">
        <v>4968</v>
      </c>
      <c r="K18" s="16">
        <v>3</v>
      </c>
      <c r="L18" s="17" t="s">
        <v>115</v>
      </c>
      <c r="M18" s="10" t="s">
        <v>4968</v>
      </c>
    </row>
    <row r="19" spans="1:13" x14ac:dyDescent="0.3">
      <c r="A19" t="s">
        <v>120</v>
      </c>
      <c r="B19" s="7" t="s">
        <v>121</v>
      </c>
      <c r="C19" s="7"/>
      <c r="D19" s="7" t="s">
        <v>121</v>
      </c>
      <c r="E19" s="7" t="s">
        <v>34</v>
      </c>
      <c r="F19" s="15" t="s">
        <v>121</v>
      </c>
      <c r="G19" s="15" t="s">
        <v>121</v>
      </c>
      <c r="H19" s="15" t="s">
        <v>121</v>
      </c>
      <c r="I19" s="15" t="s">
        <v>4968</v>
      </c>
      <c r="J19" s="15" t="s">
        <v>4968</v>
      </c>
      <c r="K19" s="16">
        <v>3</v>
      </c>
      <c r="L19" s="17" t="s">
        <v>121</v>
      </c>
      <c r="M19" s="10" t="s">
        <v>4968</v>
      </c>
    </row>
    <row r="20" spans="1:13" x14ac:dyDescent="0.3">
      <c r="A20" t="s">
        <v>146</v>
      </c>
      <c r="B20" s="7" t="s">
        <v>147</v>
      </c>
      <c r="C20" s="7"/>
      <c r="D20" s="7" t="s">
        <v>147</v>
      </c>
      <c r="E20" s="7" t="s">
        <v>34</v>
      </c>
      <c r="F20" s="15" t="s">
        <v>147</v>
      </c>
      <c r="G20" s="15" t="s">
        <v>147</v>
      </c>
      <c r="H20" s="15" t="s">
        <v>147</v>
      </c>
      <c r="I20" s="15" t="s">
        <v>4968</v>
      </c>
      <c r="J20" s="15" t="s">
        <v>4968</v>
      </c>
      <c r="K20" s="16">
        <v>3</v>
      </c>
      <c r="L20" s="17" t="s">
        <v>147</v>
      </c>
      <c r="M20" s="10" t="s">
        <v>4968</v>
      </c>
    </row>
    <row r="21" spans="1:13" x14ac:dyDescent="0.3">
      <c r="A21" t="s">
        <v>156</v>
      </c>
      <c r="B21" s="7"/>
      <c r="C21" s="7"/>
      <c r="D21" s="7"/>
      <c r="E21" s="7" t="s">
        <v>11</v>
      </c>
      <c r="F21" s="15" t="s">
        <v>4961</v>
      </c>
      <c r="G21" s="15" t="s">
        <v>4968</v>
      </c>
      <c r="H21" s="15" t="s">
        <v>4961</v>
      </c>
      <c r="I21" s="15" t="s">
        <v>4968</v>
      </c>
      <c r="J21" s="15" t="s">
        <v>4968</v>
      </c>
      <c r="K21" s="16">
        <v>2</v>
      </c>
      <c r="L21" s="17" t="s">
        <v>4961</v>
      </c>
      <c r="M21" s="10" t="s">
        <v>4968</v>
      </c>
    </row>
    <row r="22" spans="1:13" x14ac:dyDescent="0.3">
      <c r="A22" t="s">
        <v>157</v>
      </c>
      <c r="B22" s="7"/>
      <c r="C22" s="7" t="s">
        <v>158</v>
      </c>
      <c r="D22" s="7" t="s">
        <v>158</v>
      </c>
      <c r="E22" s="7" t="s">
        <v>49</v>
      </c>
      <c r="F22" s="15" t="s">
        <v>4968</v>
      </c>
      <c r="G22" s="15" t="s">
        <v>158</v>
      </c>
      <c r="H22" s="15" t="s">
        <v>158</v>
      </c>
      <c r="I22" s="15" t="s">
        <v>4968</v>
      </c>
      <c r="J22" s="15" t="s">
        <v>4968</v>
      </c>
      <c r="K22" s="16">
        <v>2</v>
      </c>
      <c r="L22" s="17" t="s">
        <v>158</v>
      </c>
      <c r="M22" s="10" t="s">
        <v>4968</v>
      </c>
    </row>
    <row r="23" spans="1:13" x14ac:dyDescent="0.3">
      <c r="A23" t="s">
        <v>161</v>
      </c>
      <c r="B23" s="7"/>
      <c r="C23" s="7" t="s">
        <v>162</v>
      </c>
      <c r="D23" s="7" t="s">
        <v>162</v>
      </c>
      <c r="E23" s="7" t="s">
        <v>49</v>
      </c>
      <c r="F23" s="15" t="s">
        <v>4971</v>
      </c>
      <c r="G23" s="15" t="s">
        <v>162</v>
      </c>
      <c r="H23" s="15" t="s">
        <v>162</v>
      </c>
      <c r="I23" s="15" t="s">
        <v>4968</v>
      </c>
      <c r="J23" s="15" t="s">
        <v>4968</v>
      </c>
      <c r="K23" s="16">
        <v>3</v>
      </c>
      <c r="L23" s="17" t="s">
        <v>162</v>
      </c>
      <c r="M23" s="10" t="s">
        <v>4968</v>
      </c>
    </row>
    <row r="24" spans="1:13" x14ac:dyDescent="0.3">
      <c r="A24" t="s">
        <v>169</v>
      </c>
      <c r="B24" s="7" t="s">
        <v>170</v>
      </c>
      <c r="C24" s="7"/>
      <c r="D24" s="7" t="s">
        <v>170</v>
      </c>
      <c r="E24" s="7" t="s">
        <v>34</v>
      </c>
      <c r="F24" s="15" t="s">
        <v>170</v>
      </c>
      <c r="G24" s="15" t="s">
        <v>170</v>
      </c>
      <c r="H24" s="15" t="s">
        <v>170</v>
      </c>
      <c r="I24" s="15" t="s">
        <v>4968</v>
      </c>
      <c r="J24" s="15" t="s">
        <v>4968</v>
      </c>
      <c r="K24" s="16">
        <v>3</v>
      </c>
      <c r="L24" s="17" t="s">
        <v>170</v>
      </c>
      <c r="M24" s="10" t="s">
        <v>4968</v>
      </c>
    </row>
    <row r="25" spans="1:13" x14ac:dyDescent="0.3">
      <c r="A25" t="s">
        <v>171</v>
      </c>
      <c r="B25" s="7"/>
      <c r="C25" s="7" t="s">
        <v>172</v>
      </c>
      <c r="D25" s="7" t="s">
        <v>172</v>
      </c>
      <c r="E25" s="7" t="s">
        <v>49</v>
      </c>
      <c r="F25" s="15" t="s">
        <v>172</v>
      </c>
      <c r="G25" s="15" t="s">
        <v>172</v>
      </c>
      <c r="H25" s="15" t="s">
        <v>172</v>
      </c>
      <c r="I25" s="15" t="s">
        <v>4968</v>
      </c>
      <c r="J25" s="15" t="s">
        <v>4968</v>
      </c>
      <c r="K25" s="16">
        <v>3</v>
      </c>
      <c r="L25" s="17" t="s">
        <v>172</v>
      </c>
      <c r="M25" s="10" t="s">
        <v>4968</v>
      </c>
    </row>
    <row r="26" spans="1:13" x14ac:dyDescent="0.3">
      <c r="A26" t="s">
        <v>173</v>
      </c>
      <c r="B26" s="7" t="s">
        <v>174</v>
      </c>
      <c r="C26" s="7"/>
      <c r="D26" s="7" t="s">
        <v>174</v>
      </c>
      <c r="E26" s="7" t="s">
        <v>34</v>
      </c>
      <c r="F26" s="15" t="s">
        <v>174</v>
      </c>
      <c r="G26" s="15" t="s">
        <v>174</v>
      </c>
      <c r="H26" s="15" t="s">
        <v>174</v>
      </c>
      <c r="I26" s="15" t="s">
        <v>4968</v>
      </c>
      <c r="J26" s="15" t="s">
        <v>4968</v>
      </c>
      <c r="K26" s="16">
        <v>3</v>
      </c>
      <c r="L26" s="17" t="s">
        <v>174</v>
      </c>
      <c r="M26" s="10" t="s">
        <v>4968</v>
      </c>
    </row>
    <row r="27" spans="1:13" x14ac:dyDescent="0.3">
      <c r="A27" t="s">
        <v>177</v>
      </c>
      <c r="B27" s="7" t="s">
        <v>178</v>
      </c>
      <c r="C27" s="7"/>
      <c r="D27" s="7" t="s">
        <v>178</v>
      </c>
      <c r="E27" s="7" t="s">
        <v>34</v>
      </c>
      <c r="F27" s="15" t="s">
        <v>178</v>
      </c>
      <c r="G27" s="15" t="s">
        <v>178</v>
      </c>
      <c r="H27" s="15" t="s">
        <v>178</v>
      </c>
      <c r="I27" s="15" t="s">
        <v>4968</v>
      </c>
      <c r="J27" s="15" t="s">
        <v>4968</v>
      </c>
      <c r="K27" s="16">
        <v>3</v>
      </c>
      <c r="L27" s="17" t="s">
        <v>178</v>
      </c>
      <c r="M27" s="10" t="s">
        <v>4968</v>
      </c>
    </row>
    <row r="28" spans="1:13" x14ac:dyDescent="0.3">
      <c r="A28" t="s">
        <v>195</v>
      </c>
      <c r="B28" s="7" t="s">
        <v>196</v>
      </c>
      <c r="C28" s="7" t="s">
        <v>197</v>
      </c>
      <c r="D28" s="7" t="s">
        <v>197</v>
      </c>
      <c r="E28" s="7" t="s">
        <v>23</v>
      </c>
      <c r="F28" s="15" t="s">
        <v>197</v>
      </c>
      <c r="G28" s="15" t="s">
        <v>197</v>
      </c>
      <c r="H28" s="15" t="s">
        <v>197</v>
      </c>
      <c r="I28" s="15" t="s">
        <v>4968</v>
      </c>
      <c r="J28" s="15" t="s">
        <v>4968</v>
      </c>
      <c r="K28" s="16">
        <v>3</v>
      </c>
      <c r="L28" s="17" t="s">
        <v>197</v>
      </c>
      <c r="M28" s="10" t="s">
        <v>4968</v>
      </c>
    </row>
    <row r="29" spans="1:13" x14ac:dyDescent="0.3">
      <c r="A29" t="s">
        <v>202</v>
      </c>
      <c r="B29" s="7"/>
      <c r="C29" s="7" t="s">
        <v>203</v>
      </c>
      <c r="D29" s="7" t="s">
        <v>203</v>
      </c>
      <c r="E29" s="7" t="s">
        <v>49</v>
      </c>
      <c r="F29" s="15" t="s">
        <v>203</v>
      </c>
      <c r="G29" s="15" t="s">
        <v>203</v>
      </c>
      <c r="H29" s="15" t="s">
        <v>203</v>
      </c>
      <c r="I29" s="15" t="s">
        <v>4968</v>
      </c>
      <c r="J29" s="15" t="s">
        <v>4968</v>
      </c>
      <c r="K29" s="16">
        <v>3</v>
      </c>
      <c r="L29" s="17" t="s">
        <v>203</v>
      </c>
      <c r="M29" s="10" t="s">
        <v>4968</v>
      </c>
    </row>
    <row r="30" spans="1:13" x14ac:dyDescent="0.3">
      <c r="A30" t="s">
        <v>204</v>
      </c>
      <c r="B30" s="7"/>
      <c r="C30" s="7" t="s">
        <v>205</v>
      </c>
      <c r="D30" s="7" t="s">
        <v>205</v>
      </c>
      <c r="E30" s="7" t="s">
        <v>49</v>
      </c>
      <c r="F30" s="15" t="s">
        <v>205</v>
      </c>
      <c r="G30" s="15" t="s">
        <v>205</v>
      </c>
      <c r="H30" s="15" t="s">
        <v>205</v>
      </c>
      <c r="I30" s="15" t="s">
        <v>4968</v>
      </c>
      <c r="J30" s="15" t="s">
        <v>4968</v>
      </c>
      <c r="K30" s="16">
        <v>3</v>
      </c>
      <c r="L30" s="17" t="s">
        <v>205</v>
      </c>
      <c r="M30" s="10" t="s">
        <v>4968</v>
      </c>
    </row>
    <row r="31" spans="1:13" x14ac:dyDescent="0.3">
      <c r="A31" t="s">
        <v>206</v>
      </c>
      <c r="B31" s="7" t="s">
        <v>207</v>
      </c>
      <c r="C31" s="7"/>
      <c r="D31" s="7" t="s">
        <v>207</v>
      </c>
      <c r="E31" s="7" t="s">
        <v>34</v>
      </c>
      <c r="F31" s="15" t="s">
        <v>207</v>
      </c>
      <c r="G31" s="15" t="s">
        <v>207</v>
      </c>
      <c r="H31" s="15" t="s">
        <v>207</v>
      </c>
      <c r="I31" s="15" t="s">
        <v>4968</v>
      </c>
      <c r="J31" s="15" t="s">
        <v>4968</v>
      </c>
      <c r="K31" s="16">
        <v>3</v>
      </c>
      <c r="L31" s="17" t="s">
        <v>207</v>
      </c>
      <c r="M31" s="10" t="s">
        <v>4968</v>
      </c>
    </row>
    <row r="32" spans="1:13" x14ac:dyDescent="0.3">
      <c r="A32" t="s">
        <v>208</v>
      </c>
      <c r="B32" s="7" t="s">
        <v>209</v>
      </c>
      <c r="C32" s="7"/>
      <c r="D32" s="7" t="s">
        <v>209</v>
      </c>
      <c r="E32" s="7" t="s">
        <v>34</v>
      </c>
      <c r="F32" s="15" t="s">
        <v>209</v>
      </c>
      <c r="G32" s="15" t="s">
        <v>209</v>
      </c>
      <c r="H32" s="15" t="s">
        <v>209</v>
      </c>
      <c r="I32" s="15" t="s">
        <v>4968</v>
      </c>
      <c r="J32" s="15" t="s">
        <v>4968</v>
      </c>
      <c r="K32" s="16">
        <v>3</v>
      </c>
      <c r="L32" s="17" t="s">
        <v>209</v>
      </c>
      <c r="M32" s="10" t="s">
        <v>4968</v>
      </c>
    </row>
    <row r="33" spans="1:13" x14ac:dyDescent="0.3">
      <c r="A33" t="s">
        <v>216</v>
      </c>
      <c r="B33" s="7" t="s">
        <v>217</v>
      </c>
      <c r="C33" s="7"/>
      <c r="D33" s="7" t="s">
        <v>217</v>
      </c>
      <c r="E33" s="7" t="s">
        <v>34</v>
      </c>
      <c r="F33" s="15" t="s">
        <v>217</v>
      </c>
      <c r="G33" s="15" t="s">
        <v>217</v>
      </c>
      <c r="H33" s="15" t="s">
        <v>217</v>
      </c>
      <c r="I33" s="15" t="s">
        <v>4968</v>
      </c>
      <c r="J33" s="15" t="s">
        <v>4968</v>
      </c>
      <c r="K33" s="16">
        <v>3</v>
      </c>
      <c r="L33" s="17" t="s">
        <v>217</v>
      </c>
      <c r="M33" s="10" t="s">
        <v>4968</v>
      </c>
    </row>
    <row r="34" spans="1:13" x14ac:dyDescent="0.3">
      <c r="A34" t="s">
        <v>231</v>
      </c>
      <c r="B34" s="7" t="s">
        <v>232</v>
      </c>
      <c r="C34" s="7"/>
      <c r="D34" s="7" t="s">
        <v>232</v>
      </c>
      <c r="E34" s="7" t="s">
        <v>34</v>
      </c>
      <c r="F34" s="15" t="s">
        <v>232</v>
      </c>
      <c r="G34" s="15" t="s">
        <v>232</v>
      </c>
      <c r="H34" s="15" t="s">
        <v>232</v>
      </c>
      <c r="I34" s="15" t="s">
        <v>4968</v>
      </c>
      <c r="J34" s="15" t="s">
        <v>4968</v>
      </c>
      <c r="K34" s="16">
        <v>3</v>
      </c>
      <c r="L34" s="17" t="s">
        <v>232</v>
      </c>
      <c r="M34" s="10" t="s">
        <v>4968</v>
      </c>
    </row>
    <row r="35" spans="1:13" x14ac:dyDescent="0.3">
      <c r="A35" t="s">
        <v>233</v>
      </c>
      <c r="B35" s="7"/>
      <c r="C35" s="7" t="s">
        <v>234</v>
      </c>
      <c r="D35" s="7" t="s">
        <v>234</v>
      </c>
      <c r="E35" s="7" t="s">
        <v>49</v>
      </c>
      <c r="F35" s="15" t="s">
        <v>234</v>
      </c>
      <c r="G35" s="15" t="s">
        <v>234</v>
      </c>
      <c r="H35" s="15" t="s">
        <v>234</v>
      </c>
      <c r="I35" s="15" t="s">
        <v>4968</v>
      </c>
      <c r="J35" s="15" t="s">
        <v>4968</v>
      </c>
      <c r="K35" s="16">
        <v>3</v>
      </c>
      <c r="L35" s="17" t="s">
        <v>234</v>
      </c>
      <c r="M35" s="10" t="s">
        <v>4968</v>
      </c>
    </row>
    <row r="36" spans="1:13" x14ac:dyDescent="0.3">
      <c r="A36" t="s">
        <v>235</v>
      </c>
      <c r="B36" s="7" t="s">
        <v>236</v>
      </c>
      <c r="C36" s="7"/>
      <c r="D36" s="7" t="s">
        <v>236</v>
      </c>
      <c r="E36" s="7" t="s">
        <v>34</v>
      </c>
      <c r="F36" s="15" t="s">
        <v>236</v>
      </c>
      <c r="G36" s="15" t="s">
        <v>236</v>
      </c>
      <c r="H36" s="15" t="s">
        <v>236</v>
      </c>
      <c r="I36" s="15" t="s">
        <v>4968</v>
      </c>
      <c r="J36" s="15" t="s">
        <v>4968</v>
      </c>
      <c r="K36" s="16">
        <v>3</v>
      </c>
      <c r="L36" s="17" t="s">
        <v>236</v>
      </c>
      <c r="M36" s="10" t="s">
        <v>4968</v>
      </c>
    </row>
    <row r="37" spans="1:13" x14ac:dyDescent="0.3">
      <c r="A37" t="s">
        <v>237</v>
      </c>
      <c r="B37" s="7" t="s">
        <v>238</v>
      </c>
      <c r="C37" s="7" t="s">
        <v>238</v>
      </c>
      <c r="D37" s="7" t="s">
        <v>239</v>
      </c>
      <c r="E37" s="7" t="s">
        <v>15</v>
      </c>
      <c r="F37" s="15" t="s">
        <v>4972</v>
      </c>
      <c r="G37" s="15" t="s">
        <v>4972</v>
      </c>
      <c r="H37" s="15" t="s">
        <v>239</v>
      </c>
      <c r="I37" s="15" t="s">
        <v>4968</v>
      </c>
      <c r="J37" s="15" t="s">
        <v>4968</v>
      </c>
      <c r="K37" s="16">
        <v>3</v>
      </c>
      <c r="L37" s="17" t="s">
        <v>4972</v>
      </c>
      <c r="M37" s="10" t="s">
        <v>4968</v>
      </c>
    </row>
    <row r="38" spans="1:13" x14ac:dyDescent="0.3">
      <c r="A38" t="s">
        <v>244</v>
      </c>
      <c r="B38" s="7" t="s">
        <v>245</v>
      </c>
      <c r="C38" s="7"/>
      <c r="D38" s="7" t="s">
        <v>245</v>
      </c>
      <c r="E38" s="7" t="s">
        <v>34</v>
      </c>
      <c r="F38" s="15" t="s">
        <v>245</v>
      </c>
      <c r="G38" s="15" t="s">
        <v>245</v>
      </c>
      <c r="H38" s="15" t="s">
        <v>245</v>
      </c>
      <c r="I38" s="15" t="s">
        <v>4968</v>
      </c>
      <c r="J38" s="15" t="s">
        <v>4968</v>
      </c>
      <c r="K38" s="16">
        <v>3</v>
      </c>
      <c r="L38" s="17" t="s">
        <v>245</v>
      </c>
      <c r="M38" s="10" t="s">
        <v>4968</v>
      </c>
    </row>
    <row r="39" spans="1:13" x14ac:dyDescent="0.3">
      <c r="A39" t="s">
        <v>246</v>
      </c>
      <c r="B39" s="7" t="s">
        <v>247</v>
      </c>
      <c r="C39" s="7"/>
      <c r="D39" s="7" t="s">
        <v>247</v>
      </c>
      <c r="E39" s="7" t="s">
        <v>34</v>
      </c>
      <c r="F39" s="15" t="s">
        <v>247</v>
      </c>
      <c r="G39" s="15" t="s">
        <v>247</v>
      </c>
      <c r="H39" s="15" t="s">
        <v>247</v>
      </c>
      <c r="I39" s="15" t="s">
        <v>4968</v>
      </c>
      <c r="J39" s="15" t="s">
        <v>4968</v>
      </c>
      <c r="K39" s="16">
        <v>3</v>
      </c>
      <c r="L39" s="17" t="s">
        <v>247</v>
      </c>
      <c r="M39" s="10" t="s">
        <v>4968</v>
      </c>
    </row>
    <row r="40" spans="1:13" x14ac:dyDescent="0.3">
      <c r="A40" t="s">
        <v>252</v>
      </c>
      <c r="B40" s="7" t="s">
        <v>253</v>
      </c>
      <c r="C40" s="7"/>
      <c r="D40" s="7" t="s">
        <v>253</v>
      </c>
      <c r="E40" s="7" t="s">
        <v>34</v>
      </c>
      <c r="F40" s="15" t="s">
        <v>253</v>
      </c>
      <c r="G40" s="15" t="s">
        <v>253</v>
      </c>
      <c r="H40" s="15" t="s">
        <v>253</v>
      </c>
      <c r="I40" s="15" t="s">
        <v>4968</v>
      </c>
      <c r="J40" s="15" t="s">
        <v>4968</v>
      </c>
      <c r="K40" s="16">
        <v>3</v>
      </c>
      <c r="L40" s="17" t="s">
        <v>253</v>
      </c>
      <c r="M40" s="10" t="s">
        <v>4968</v>
      </c>
    </row>
    <row r="41" spans="1:13" x14ac:dyDescent="0.3">
      <c r="A41" t="s">
        <v>256</v>
      </c>
      <c r="B41" s="7" t="s">
        <v>257</v>
      </c>
      <c r="C41" s="7" t="s">
        <v>258</v>
      </c>
      <c r="D41" s="7" t="s">
        <v>258</v>
      </c>
      <c r="E41" s="7" t="s">
        <v>23</v>
      </c>
      <c r="F41" s="15" t="s">
        <v>258</v>
      </c>
      <c r="G41" s="15" t="s">
        <v>258</v>
      </c>
      <c r="H41" s="15" t="s">
        <v>258</v>
      </c>
      <c r="I41" s="15" t="s">
        <v>4968</v>
      </c>
      <c r="J41" s="15" t="s">
        <v>4968</v>
      </c>
      <c r="K41" s="16">
        <v>3</v>
      </c>
      <c r="L41" s="17" t="s">
        <v>258</v>
      </c>
      <c r="M41" s="10" t="s">
        <v>4968</v>
      </c>
    </row>
    <row r="42" spans="1:13" x14ac:dyDescent="0.3">
      <c r="A42" t="s">
        <v>259</v>
      </c>
      <c r="B42" s="7"/>
      <c r="C42" s="7" t="s">
        <v>260</v>
      </c>
      <c r="D42" s="7" t="s">
        <v>260</v>
      </c>
      <c r="E42" s="7" t="s">
        <v>49</v>
      </c>
      <c r="F42" s="15" t="s">
        <v>4973</v>
      </c>
      <c r="G42" s="15" t="s">
        <v>260</v>
      </c>
      <c r="H42" s="15" t="s">
        <v>260</v>
      </c>
      <c r="I42" s="15" t="s">
        <v>4968</v>
      </c>
      <c r="J42" s="15" t="s">
        <v>4968</v>
      </c>
      <c r="K42" s="16">
        <v>3</v>
      </c>
      <c r="L42" s="17" t="s">
        <v>4973</v>
      </c>
      <c r="M42" s="10" t="s">
        <v>4968</v>
      </c>
    </row>
    <row r="43" spans="1:13" x14ac:dyDescent="0.3">
      <c r="A43" t="s">
        <v>262</v>
      </c>
      <c r="B43" s="7" t="s">
        <v>263</v>
      </c>
      <c r="C43" s="7" t="s">
        <v>263</v>
      </c>
      <c r="D43" s="7" t="s">
        <v>264</v>
      </c>
      <c r="E43" s="7" t="s">
        <v>15</v>
      </c>
      <c r="F43" s="15" t="s">
        <v>263</v>
      </c>
      <c r="G43" s="15" t="s">
        <v>4968</v>
      </c>
      <c r="H43" s="15" t="s">
        <v>263</v>
      </c>
      <c r="I43" s="15" t="s">
        <v>4968</v>
      </c>
      <c r="J43" s="15" t="s">
        <v>4968</v>
      </c>
      <c r="K43" s="16">
        <v>2</v>
      </c>
      <c r="L43" s="17" t="s">
        <v>263</v>
      </c>
      <c r="M43" s="10" t="s">
        <v>4968</v>
      </c>
    </row>
    <row r="44" spans="1:13" x14ac:dyDescent="0.3">
      <c r="A44" t="s">
        <v>265</v>
      </c>
      <c r="B44" s="7" t="s">
        <v>266</v>
      </c>
      <c r="C44" s="7" t="s">
        <v>267</v>
      </c>
      <c r="D44" s="7" t="s">
        <v>267</v>
      </c>
      <c r="E44" s="7" t="s">
        <v>23</v>
      </c>
      <c r="F44" s="15" t="s">
        <v>266</v>
      </c>
      <c r="G44" s="15" t="s">
        <v>267</v>
      </c>
      <c r="H44" s="15" t="s">
        <v>267</v>
      </c>
      <c r="I44" s="15" t="s">
        <v>4968</v>
      </c>
      <c r="J44" s="15" t="s">
        <v>4968</v>
      </c>
      <c r="K44" s="16">
        <v>2</v>
      </c>
      <c r="L44" s="17" t="s">
        <v>267</v>
      </c>
      <c r="M44" s="10" t="s">
        <v>4968</v>
      </c>
    </row>
    <row r="45" spans="1:13" x14ac:dyDescent="0.3">
      <c r="A45" t="s">
        <v>268</v>
      </c>
      <c r="B45" s="7" t="s">
        <v>269</v>
      </c>
      <c r="C45" s="7" t="s">
        <v>270</v>
      </c>
      <c r="D45" s="7" t="s">
        <v>270</v>
      </c>
      <c r="E45" s="7" t="s">
        <v>23</v>
      </c>
      <c r="F45" s="15" t="s">
        <v>270</v>
      </c>
      <c r="G45" s="15" t="s">
        <v>270</v>
      </c>
      <c r="H45" s="15" t="s">
        <v>270</v>
      </c>
      <c r="I45" s="15" t="s">
        <v>4968</v>
      </c>
      <c r="J45" s="15" t="s">
        <v>4968</v>
      </c>
      <c r="K45" s="16">
        <v>3</v>
      </c>
      <c r="L45" s="17" t="s">
        <v>270</v>
      </c>
      <c r="M45" s="10" t="s">
        <v>4968</v>
      </c>
    </row>
    <row r="46" spans="1:13" x14ac:dyDescent="0.3">
      <c r="A46" t="s">
        <v>277</v>
      </c>
      <c r="B46" s="7" t="s">
        <v>278</v>
      </c>
      <c r="C46" s="7" t="s">
        <v>279</v>
      </c>
      <c r="D46" s="7" t="s">
        <v>279</v>
      </c>
      <c r="E46" s="7" t="s">
        <v>23</v>
      </c>
      <c r="F46" s="15" t="s">
        <v>278</v>
      </c>
      <c r="G46" s="15" t="s">
        <v>279</v>
      </c>
      <c r="H46" s="15" t="s">
        <v>279</v>
      </c>
      <c r="I46" s="15" t="s">
        <v>4968</v>
      </c>
      <c r="J46" s="15" t="s">
        <v>4968</v>
      </c>
      <c r="K46" s="16">
        <v>2</v>
      </c>
      <c r="L46" s="17" t="s">
        <v>279</v>
      </c>
      <c r="M46" s="10" t="s">
        <v>4968</v>
      </c>
    </row>
    <row r="47" spans="1:13" x14ac:dyDescent="0.3">
      <c r="A47" t="s">
        <v>280</v>
      </c>
      <c r="B47" s="7" t="s">
        <v>281</v>
      </c>
      <c r="C47" s="7"/>
      <c r="D47" s="7" t="s">
        <v>281</v>
      </c>
      <c r="E47" s="7" t="s">
        <v>34</v>
      </c>
      <c r="F47" s="15" t="s">
        <v>281</v>
      </c>
      <c r="G47" s="15" t="s">
        <v>281</v>
      </c>
      <c r="H47" s="15" t="s">
        <v>281</v>
      </c>
      <c r="I47" s="15" t="s">
        <v>4968</v>
      </c>
      <c r="J47" s="15" t="s">
        <v>4968</v>
      </c>
      <c r="K47" s="16">
        <v>2</v>
      </c>
      <c r="L47" s="17" t="s">
        <v>281</v>
      </c>
      <c r="M47" s="10" t="s">
        <v>4968</v>
      </c>
    </row>
    <row r="48" spans="1:13" x14ac:dyDescent="0.3">
      <c r="A48" t="s">
        <v>282</v>
      </c>
      <c r="B48" s="7" t="s">
        <v>283</v>
      </c>
      <c r="C48" s="7" t="s">
        <v>283</v>
      </c>
      <c r="D48" s="7" t="s">
        <v>284</v>
      </c>
      <c r="E48" s="7" t="s">
        <v>15</v>
      </c>
      <c r="F48" s="15" t="s">
        <v>283</v>
      </c>
      <c r="G48" s="15" t="s">
        <v>283</v>
      </c>
      <c r="H48" s="15" t="s">
        <v>4974</v>
      </c>
      <c r="I48" s="15" t="s">
        <v>4968</v>
      </c>
      <c r="J48" s="15" t="s">
        <v>4968</v>
      </c>
      <c r="K48" s="16">
        <v>2</v>
      </c>
      <c r="L48" s="17" t="s">
        <v>4974</v>
      </c>
      <c r="M48" s="10" t="s">
        <v>4968</v>
      </c>
    </row>
    <row r="49" spans="1:13" x14ac:dyDescent="0.3">
      <c r="A49" t="s">
        <v>291</v>
      </c>
      <c r="B49" s="7" t="s">
        <v>292</v>
      </c>
      <c r="C49" s="7" t="s">
        <v>293</v>
      </c>
      <c r="D49" s="7" t="s">
        <v>294</v>
      </c>
      <c r="E49" s="7" t="s">
        <v>295</v>
      </c>
      <c r="F49" s="15" t="s">
        <v>294</v>
      </c>
      <c r="G49" s="15" t="s">
        <v>294</v>
      </c>
      <c r="H49" s="15" t="s">
        <v>294</v>
      </c>
      <c r="I49" s="15" t="s">
        <v>4968</v>
      </c>
      <c r="J49" s="15" t="s">
        <v>4968</v>
      </c>
      <c r="K49" s="16">
        <v>3</v>
      </c>
      <c r="L49" s="17" t="s">
        <v>294</v>
      </c>
      <c r="M49" s="10" t="s">
        <v>4968</v>
      </c>
    </row>
    <row r="50" spans="1:13" x14ac:dyDescent="0.3">
      <c r="A50" t="s">
        <v>296</v>
      </c>
      <c r="B50" s="7" t="s">
        <v>297</v>
      </c>
      <c r="C50" s="7" t="s">
        <v>298</v>
      </c>
      <c r="D50" s="7" t="s">
        <v>298</v>
      </c>
      <c r="E50" s="7" t="s">
        <v>23</v>
      </c>
      <c r="F50" s="15" t="s">
        <v>297</v>
      </c>
      <c r="G50" s="15" t="s">
        <v>298</v>
      </c>
      <c r="H50" s="15" t="s">
        <v>297</v>
      </c>
      <c r="I50" s="15" t="s">
        <v>4968</v>
      </c>
      <c r="J50" s="15" t="s">
        <v>4968</v>
      </c>
      <c r="K50" s="16">
        <v>2</v>
      </c>
      <c r="L50" s="17" t="s">
        <v>297</v>
      </c>
      <c r="M50" s="10" t="s">
        <v>4968</v>
      </c>
    </row>
    <row r="51" spans="1:13" x14ac:dyDescent="0.3">
      <c r="A51" t="s">
        <v>299</v>
      </c>
      <c r="B51" s="7" t="s">
        <v>300</v>
      </c>
      <c r="C51" s="7"/>
      <c r="D51" s="7" t="s">
        <v>300</v>
      </c>
      <c r="E51" s="7" t="s">
        <v>34</v>
      </c>
      <c r="F51" s="15" t="s">
        <v>300</v>
      </c>
      <c r="G51" s="15" t="s">
        <v>300</v>
      </c>
      <c r="H51" s="15" t="s">
        <v>300</v>
      </c>
      <c r="I51" s="15" t="s">
        <v>4968</v>
      </c>
      <c r="J51" s="15" t="s">
        <v>4968</v>
      </c>
      <c r="K51" s="16">
        <v>3</v>
      </c>
      <c r="L51" s="17" t="s">
        <v>300</v>
      </c>
      <c r="M51" s="10" t="s">
        <v>4968</v>
      </c>
    </row>
    <row r="52" spans="1:13" x14ac:dyDescent="0.3">
      <c r="A52" t="s">
        <v>321</v>
      </c>
      <c r="B52" s="7" t="s">
        <v>322</v>
      </c>
      <c r="C52" s="7" t="s">
        <v>322</v>
      </c>
      <c r="D52" s="7"/>
      <c r="E52" s="7" t="s">
        <v>323</v>
      </c>
      <c r="F52" s="15" t="s">
        <v>322</v>
      </c>
      <c r="G52" s="15" t="s">
        <v>4968</v>
      </c>
      <c r="H52" s="15" t="s">
        <v>4975</v>
      </c>
      <c r="I52" s="15" t="s">
        <v>4968</v>
      </c>
      <c r="J52" s="15" t="s">
        <v>4968</v>
      </c>
      <c r="K52" s="16">
        <v>2</v>
      </c>
      <c r="L52" s="17" t="s">
        <v>4975</v>
      </c>
      <c r="M52" s="10" t="s">
        <v>4968</v>
      </c>
    </row>
    <row r="53" spans="1:13" x14ac:dyDescent="0.3">
      <c r="A53" t="s">
        <v>324</v>
      </c>
      <c r="B53" s="7" t="s">
        <v>325</v>
      </c>
      <c r="C53" s="7"/>
      <c r="D53" s="7" t="s">
        <v>325</v>
      </c>
      <c r="E53" s="7" t="s">
        <v>34</v>
      </c>
      <c r="F53" s="15" t="s">
        <v>325</v>
      </c>
      <c r="G53" s="15" t="s">
        <v>325</v>
      </c>
      <c r="H53" s="15" t="s">
        <v>325</v>
      </c>
      <c r="I53" s="15" t="s">
        <v>4968</v>
      </c>
      <c r="J53" s="15" t="s">
        <v>4968</v>
      </c>
      <c r="K53" s="16">
        <v>3</v>
      </c>
      <c r="L53" s="17" t="s">
        <v>325</v>
      </c>
      <c r="M53" s="10" t="s">
        <v>4968</v>
      </c>
    </row>
    <row r="54" spans="1:13" x14ac:dyDescent="0.3">
      <c r="A54" t="s">
        <v>330</v>
      </c>
      <c r="B54" s="7"/>
      <c r="C54" s="7" t="s">
        <v>331</v>
      </c>
      <c r="D54" s="7" t="s">
        <v>331</v>
      </c>
      <c r="E54" s="7" t="s">
        <v>49</v>
      </c>
      <c r="F54" s="15" t="s">
        <v>331</v>
      </c>
      <c r="G54" s="15" t="s">
        <v>331</v>
      </c>
      <c r="H54" s="15" t="s">
        <v>331</v>
      </c>
      <c r="I54" s="15" t="s">
        <v>4968</v>
      </c>
      <c r="J54" s="15" t="s">
        <v>4968</v>
      </c>
      <c r="K54" s="16">
        <v>3</v>
      </c>
      <c r="L54" s="17" t="s">
        <v>4962</v>
      </c>
      <c r="M54" s="10" t="s">
        <v>4968</v>
      </c>
    </row>
    <row r="55" spans="1:13" x14ac:dyDescent="0.3">
      <c r="A55" t="s">
        <v>346</v>
      </c>
      <c r="B55" s="7"/>
      <c r="C55" s="7" t="s">
        <v>347</v>
      </c>
      <c r="D55" s="7" t="s">
        <v>347</v>
      </c>
      <c r="E55" s="7" t="s">
        <v>49</v>
      </c>
      <c r="F55" s="15" t="s">
        <v>4976</v>
      </c>
      <c r="G55" s="15" t="s">
        <v>347</v>
      </c>
      <c r="H55" s="15" t="s">
        <v>347</v>
      </c>
      <c r="I55" s="15" t="s">
        <v>4968</v>
      </c>
      <c r="J55" s="15" t="s">
        <v>4968</v>
      </c>
      <c r="K55" s="16">
        <v>2</v>
      </c>
      <c r="L55" s="17" t="s">
        <v>347</v>
      </c>
      <c r="M55" s="10" t="s">
        <v>4968</v>
      </c>
    </row>
    <row r="56" spans="1:13" x14ac:dyDescent="0.3">
      <c r="A56" t="s">
        <v>348</v>
      </c>
      <c r="B56" s="7" t="s">
        <v>349</v>
      </c>
      <c r="C56" s="7"/>
      <c r="D56" s="7" t="s">
        <v>349</v>
      </c>
      <c r="E56" s="7" t="s">
        <v>34</v>
      </c>
      <c r="F56" s="15" t="s">
        <v>349</v>
      </c>
      <c r="G56" s="15" t="s">
        <v>349</v>
      </c>
      <c r="H56" s="15" t="s">
        <v>349</v>
      </c>
      <c r="I56" s="15" t="s">
        <v>4968</v>
      </c>
      <c r="J56" s="15" t="s">
        <v>4968</v>
      </c>
      <c r="K56" s="16">
        <v>2</v>
      </c>
      <c r="L56" s="17" t="s">
        <v>349</v>
      </c>
      <c r="M56" s="10" t="s">
        <v>4968</v>
      </c>
    </row>
    <row r="57" spans="1:13" x14ac:dyDescent="0.3">
      <c r="A57" t="s">
        <v>356</v>
      </c>
      <c r="B57" s="7"/>
      <c r="C57" s="7"/>
      <c r="D57" s="7" t="s">
        <v>357</v>
      </c>
      <c r="E57" s="7" t="s">
        <v>9</v>
      </c>
      <c r="F57" s="15" t="s">
        <v>4968</v>
      </c>
      <c r="G57" s="15" t="s">
        <v>357</v>
      </c>
      <c r="H57" s="15" t="s">
        <v>357</v>
      </c>
      <c r="I57" s="15" t="s">
        <v>4968</v>
      </c>
      <c r="J57" s="15" t="s">
        <v>4968</v>
      </c>
      <c r="K57" s="16">
        <v>2</v>
      </c>
      <c r="L57" s="17" t="s">
        <v>357</v>
      </c>
      <c r="M57" s="10" t="s">
        <v>4968</v>
      </c>
    </row>
    <row r="58" spans="1:13" x14ac:dyDescent="0.3">
      <c r="A58" t="s">
        <v>358</v>
      </c>
      <c r="B58" s="7" t="s">
        <v>359</v>
      </c>
      <c r="C58" s="7"/>
      <c r="D58" s="7" t="s">
        <v>359</v>
      </c>
      <c r="E58" s="7" t="s">
        <v>34</v>
      </c>
      <c r="F58" s="15" t="s">
        <v>359</v>
      </c>
      <c r="G58" s="15" t="s">
        <v>359</v>
      </c>
      <c r="H58" s="15" t="s">
        <v>359</v>
      </c>
      <c r="I58" s="15" t="s">
        <v>4968</v>
      </c>
      <c r="J58" s="15" t="s">
        <v>4968</v>
      </c>
      <c r="K58" s="16">
        <v>3</v>
      </c>
      <c r="L58" s="17" t="s">
        <v>359</v>
      </c>
      <c r="M58" s="10" t="s">
        <v>4968</v>
      </c>
    </row>
    <row r="59" spans="1:13" x14ac:dyDescent="0.3">
      <c r="A59" t="s">
        <v>360</v>
      </c>
      <c r="B59" s="7" t="s">
        <v>361</v>
      </c>
      <c r="C59" s="7" t="s">
        <v>361</v>
      </c>
      <c r="D59" s="7" t="s">
        <v>362</v>
      </c>
      <c r="E59" s="7" t="s">
        <v>15</v>
      </c>
      <c r="F59" s="15" t="s">
        <v>361</v>
      </c>
      <c r="G59" s="15" t="s">
        <v>4977</v>
      </c>
      <c r="H59" s="15" t="s">
        <v>4963</v>
      </c>
      <c r="I59" s="15" t="s">
        <v>4968</v>
      </c>
      <c r="J59" s="15" t="s">
        <v>4968</v>
      </c>
      <c r="K59" s="16">
        <v>2</v>
      </c>
      <c r="L59" s="17" t="s">
        <v>4963</v>
      </c>
      <c r="M59" s="10" t="s">
        <v>4968</v>
      </c>
    </row>
    <row r="60" spans="1:13" x14ac:dyDescent="0.3">
      <c r="A60" t="s">
        <v>363</v>
      </c>
      <c r="B60" s="7" t="s">
        <v>364</v>
      </c>
      <c r="C60" s="7"/>
      <c r="D60" s="7" t="s">
        <v>365</v>
      </c>
      <c r="E60" s="7" t="s">
        <v>9</v>
      </c>
      <c r="F60" s="15" t="s">
        <v>365</v>
      </c>
      <c r="G60" s="15" t="s">
        <v>365</v>
      </c>
      <c r="H60" s="15" t="s">
        <v>365</v>
      </c>
      <c r="I60" s="15" t="s">
        <v>4968</v>
      </c>
      <c r="J60" s="15" t="s">
        <v>4968</v>
      </c>
      <c r="K60" s="16">
        <v>3</v>
      </c>
      <c r="L60" s="17" t="s">
        <v>365</v>
      </c>
      <c r="M60" s="10" t="s">
        <v>4968</v>
      </c>
    </row>
    <row r="61" spans="1:13" x14ac:dyDescent="0.3">
      <c r="A61" t="s">
        <v>366</v>
      </c>
      <c r="B61" s="7" t="s">
        <v>367</v>
      </c>
      <c r="C61" s="7" t="s">
        <v>368</v>
      </c>
      <c r="D61" s="7" t="s">
        <v>368</v>
      </c>
      <c r="E61" s="7" t="s">
        <v>23</v>
      </c>
      <c r="F61" s="15" t="s">
        <v>368</v>
      </c>
      <c r="G61" s="15" t="s">
        <v>368</v>
      </c>
      <c r="H61" s="15" t="s">
        <v>368</v>
      </c>
      <c r="I61" s="15" t="s">
        <v>4968</v>
      </c>
      <c r="J61" s="15" t="s">
        <v>4968</v>
      </c>
      <c r="K61" s="16">
        <v>3</v>
      </c>
      <c r="L61" s="17" t="s">
        <v>368</v>
      </c>
      <c r="M61" s="10" t="s">
        <v>4968</v>
      </c>
    </row>
    <row r="62" spans="1:13" x14ac:dyDescent="0.3">
      <c r="A62" t="s">
        <v>371</v>
      </c>
      <c r="B62" s="7" t="s">
        <v>372</v>
      </c>
      <c r="C62" s="7"/>
      <c r="D62" s="7" t="s">
        <v>372</v>
      </c>
      <c r="E62" s="7" t="s">
        <v>34</v>
      </c>
      <c r="F62" s="15" t="s">
        <v>372</v>
      </c>
      <c r="G62" s="15" t="s">
        <v>372</v>
      </c>
      <c r="H62" s="15" t="s">
        <v>372</v>
      </c>
      <c r="I62" s="15" t="s">
        <v>4968</v>
      </c>
      <c r="J62" s="15" t="s">
        <v>4968</v>
      </c>
      <c r="K62" s="16">
        <v>3</v>
      </c>
      <c r="L62" s="17" t="s">
        <v>372</v>
      </c>
      <c r="M62" s="10" t="s">
        <v>4968</v>
      </c>
    </row>
    <row r="63" spans="1:13" x14ac:dyDescent="0.3">
      <c r="A63" t="s">
        <v>369</v>
      </c>
      <c r="B63" s="7"/>
      <c r="C63" s="7"/>
      <c r="D63" s="7"/>
      <c r="E63" s="7"/>
      <c r="F63" s="15" t="s">
        <v>370</v>
      </c>
      <c r="G63" s="15" t="s">
        <v>370</v>
      </c>
      <c r="H63" s="15" t="s">
        <v>370</v>
      </c>
      <c r="I63" s="15" t="s">
        <v>4968</v>
      </c>
      <c r="J63" s="15" t="s">
        <v>4968</v>
      </c>
      <c r="K63" s="16">
        <v>3</v>
      </c>
      <c r="L63" s="17" t="s">
        <v>370</v>
      </c>
      <c r="M63" s="10" t="s">
        <v>4968</v>
      </c>
    </row>
    <row r="64" spans="1:13" x14ac:dyDescent="0.3">
      <c r="A64" t="s">
        <v>373</v>
      </c>
      <c r="B64" s="7"/>
      <c r="C64" s="7" t="s">
        <v>374</v>
      </c>
      <c r="D64" s="7" t="s">
        <v>374</v>
      </c>
      <c r="E64" s="7" t="s">
        <v>49</v>
      </c>
      <c r="F64" s="15" t="s">
        <v>4978</v>
      </c>
      <c r="G64" s="15" t="s">
        <v>4978</v>
      </c>
      <c r="H64" s="15" t="s">
        <v>4978</v>
      </c>
      <c r="I64" s="15" t="s">
        <v>4968</v>
      </c>
      <c r="J64" s="15" t="s">
        <v>4968</v>
      </c>
      <c r="K64" s="16">
        <v>3</v>
      </c>
      <c r="L64" s="17" t="s">
        <v>4978</v>
      </c>
      <c r="M64" s="10" t="s">
        <v>4968</v>
      </c>
    </row>
    <row r="65" spans="1:13" x14ac:dyDescent="0.3">
      <c r="A65" t="s">
        <v>375</v>
      </c>
      <c r="B65" s="7" t="s">
        <v>376</v>
      </c>
      <c r="C65" s="7"/>
      <c r="D65" s="7" t="s">
        <v>376</v>
      </c>
      <c r="E65" s="7" t="s">
        <v>34</v>
      </c>
      <c r="F65" s="15" t="s">
        <v>376</v>
      </c>
      <c r="G65" s="15" t="s">
        <v>376</v>
      </c>
      <c r="H65" s="15" t="s">
        <v>376</v>
      </c>
      <c r="I65" s="15" t="s">
        <v>4968</v>
      </c>
      <c r="J65" s="15" t="s">
        <v>4968</v>
      </c>
      <c r="K65" s="16">
        <v>3</v>
      </c>
      <c r="L65" s="17" t="s">
        <v>376</v>
      </c>
      <c r="M65" s="10" t="s">
        <v>4968</v>
      </c>
    </row>
    <row r="66" spans="1:13" x14ac:dyDescent="0.3">
      <c r="A66" t="s">
        <v>379</v>
      </c>
      <c r="B66" s="7"/>
      <c r="C66" s="7" t="s">
        <v>380</v>
      </c>
      <c r="D66" s="7" t="s">
        <v>380</v>
      </c>
      <c r="E66" s="7" t="s">
        <v>49</v>
      </c>
      <c r="F66" s="15" t="s">
        <v>4979</v>
      </c>
      <c r="G66" s="15" t="s">
        <v>380</v>
      </c>
      <c r="H66" s="15" t="s">
        <v>380</v>
      </c>
      <c r="I66" s="15" t="s">
        <v>4968</v>
      </c>
      <c r="J66" s="15" t="s">
        <v>4968</v>
      </c>
      <c r="K66" s="16">
        <v>3</v>
      </c>
      <c r="L66" s="17" t="s">
        <v>4979</v>
      </c>
      <c r="M66" s="10" t="s">
        <v>4968</v>
      </c>
    </row>
    <row r="67" spans="1:13" x14ac:dyDescent="0.3">
      <c r="A67" t="s">
        <v>383</v>
      </c>
      <c r="B67" s="7"/>
      <c r="C67" s="7" t="s">
        <v>384</v>
      </c>
      <c r="D67" s="7" t="s">
        <v>384</v>
      </c>
      <c r="E67" s="7" t="s">
        <v>49</v>
      </c>
      <c r="F67" s="15" t="s">
        <v>4980</v>
      </c>
      <c r="G67" s="15" t="s">
        <v>384</v>
      </c>
      <c r="H67" s="15" t="s">
        <v>384</v>
      </c>
      <c r="I67" s="15" t="s">
        <v>4968</v>
      </c>
      <c r="J67" s="15" t="s">
        <v>4968</v>
      </c>
      <c r="K67" s="16">
        <v>3</v>
      </c>
      <c r="L67" s="17" t="s">
        <v>4980</v>
      </c>
      <c r="M67" s="10" t="s">
        <v>4968</v>
      </c>
    </row>
    <row r="68" spans="1:13" x14ac:dyDescent="0.3">
      <c r="A68" t="s">
        <v>393</v>
      </c>
      <c r="B68" s="7" t="s">
        <v>394</v>
      </c>
      <c r="C68" s="7" t="s">
        <v>395</v>
      </c>
      <c r="D68" s="7" t="s">
        <v>395</v>
      </c>
      <c r="E68" s="7" t="s">
        <v>23</v>
      </c>
      <c r="F68" s="15" t="s">
        <v>394</v>
      </c>
      <c r="G68" s="15" t="s">
        <v>395</v>
      </c>
      <c r="H68" s="15" t="s">
        <v>395</v>
      </c>
      <c r="I68" s="15" t="s">
        <v>4968</v>
      </c>
      <c r="J68" s="15" t="s">
        <v>4968</v>
      </c>
      <c r="K68" s="16">
        <v>2</v>
      </c>
      <c r="L68" s="17" t="s">
        <v>395</v>
      </c>
      <c r="M68" s="10" t="s">
        <v>4968</v>
      </c>
    </row>
    <row r="69" spans="1:13" x14ac:dyDescent="0.3">
      <c r="A69" t="s">
        <v>410</v>
      </c>
      <c r="B69" s="7" t="s">
        <v>411</v>
      </c>
      <c r="C69" s="7" t="s">
        <v>412</v>
      </c>
      <c r="D69" s="7" t="s">
        <v>412</v>
      </c>
      <c r="E69" s="7" t="s">
        <v>23</v>
      </c>
      <c r="F69" s="15" t="s">
        <v>411</v>
      </c>
      <c r="G69" s="15" t="s">
        <v>412</v>
      </c>
      <c r="H69" s="15" t="s">
        <v>412</v>
      </c>
      <c r="I69" s="15" t="s">
        <v>4968</v>
      </c>
      <c r="J69" s="15" t="s">
        <v>4968</v>
      </c>
      <c r="K69" s="16">
        <v>2</v>
      </c>
      <c r="L69" s="17" t="s">
        <v>412</v>
      </c>
      <c r="M69" s="10" t="s">
        <v>4968</v>
      </c>
    </row>
    <row r="70" spans="1:13" x14ac:dyDescent="0.3">
      <c r="A70" t="s">
        <v>419</v>
      </c>
      <c r="B70" s="7" t="s">
        <v>420</v>
      </c>
      <c r="C70" s="7"/>
      <c r="D70" s="7" t="s">
        <v>421</v>
      </c>
      <c r="E70" s="7" t="s">
        <v>9</v>
      </c>
      <c r="F70" s="15" t="s">
        <v>420</v>
      </c>
      <c r="G70" s="15" t="s">
        <v>4981</v>
      </c>
      <c r="H70" s="15" t="s">
        <v>4981</v>
      </c>
      <c r="I70" s="15" t="s">
        <v>4968</v>
      </c>
      <c r="J70" s="15" t="s">
        <v>4968</v>
      </c>
      <c r="K70" s="16">
        <v>2</v>
      </c>
      <c r="L70" s="17" t="s">
        <v>4981</v>
      </c>
      <c r="M70" s="10" t="s">
        <v>4968</v>
      </c>
    </row>
    <row r="71" spans="1:13" x14ac:dyDescent="0.3">
      <c r="A71" t="s">
        <v>425</v>
      </c>
      <c r="B71" s="7" t="s">
        <v>426</v>
      </c>
      <c r="C71" s="7"/>
      <c r="D71" s="7" t="s">
        <v>426</v>
      </c>
      <c r="E71" s="7" t="s">
        <v>34</v>
      </c>
      <c r="F71" s="15" t="s">
        <v>426</v>
      </c>
      <c r="G71" s="15" t="s">
        <v>426</v>
      </c>
      <c r="H71" s="15" t="s">
        <v>426</v>
      </c>
      <c r="I71" s="15" t="s">
        <v>4968</v>
      </c>
      <c r="J71" s="15" t="s">
        <v>4968</v>
      </c>
      <c r="K71" s="16">
        <v>3</v>
      </c>
      <c r="L71" s="17" t="s">
        <v>426</v>
      </c>
      <c r="M71" s="10" t="s">
        <v>4968</v>
      </c>
    </row>
    <row r="72" spans="1:13" x14ac:dyDescent="0.3">
      <c r="A72" t="s">
        <v>427</v>
      </c>
      <c r="B72" s="7"/>
      <c r="C72" s="7"/>
      <c r="D72" s="7" t="s">
        <v>428</v>
      </c>
      <c r="E72" s="7" t="s">
        <v>9</v>
      </c>
      <c r="F72" s="15" t="s">
        <v>4982</v>
      </c>
      <c r="G72" s="15" t="s">
        <v>4982</v>
      </c>
      <c r="H72" s="15" t="s">
        <v>4982</v>
      </c>
      <c r="I72" s="15" t="s">
        <v>4968</v>
      </c>
      <c r="J72" s="15" t="s">
        <v>4968</v>
      </c>
      <c r="K72" s="16">
        <v>3</v>
      </c>
      <c r="L72" s="17" t="s">
        <v>4982</v>
      </c>
      <c r="M72" s="10" t="s">
        <v>4968</v>
      </c>
    </row>
    <row r="73" spans="1:13" x14ac:dyDescent="0.3">
      <c r="A73" t="s">
        <v>435</v>
      </c>
      <c r="B73" s="7"/>
      <c r="C73" s="7" t="s">
        <v>436</v>
      </c>
      <c r="D73" s="7" t="s">
        <v>436</v>
      </c>
      <c r="E73" s="7" t="s">
        <v>49</v>
      </c>
      <c r="F73" s="15" t="s">
        <v>4968</v>
      </c>
      <c r="G73" s="15" t="s">
        <v>436</v>
      </c>
      <c r="H73" s="15" t="s">
        <v>436</v>
      </c>
      <c r="I73" s="15" t="s">
        <v>4968</v>
      </c>
      <c r="J73" s="15" t="s">
        <v>4968</v>
      </c>
      <c r="K73" s="16">
        <v>2</v>
      </c>
      <c r="L73" s="17" t="s">
        <v>436</v>
      </c>
      <c r="M73" s="10" t="s">
        <v>4968</v>
      </c>
    </row>
    <row r="74" spans="1:13" x14ac:dyDescent="0.3">
      <c r="A74" t="s">
        <v>437</v>
      </c>
      <c r="B74" s="7"/>
      <c r="C74" s="7" t="s">
        <v>438</v>
      </c>
      <c r="D74" s="7" t="s">
        <v>438</v>
      </c>
      <c r="E74" s="7" t="s">
        <v>49</v>
      </c>
      <c r="F74" s="15" t="s">
        <v>438</v>
      </c>
      <c r="G74" s="15" t="s">
        <v>438</v>
      </c>
      <c r="H74" s="15" t="s">
        <v>438</v>
      </c>
      <c r="I74" s="15" t="s">
        <v>4968</v>
      </c>
      <c r="J74" s="15" t="s">
        <v>4968</v>
      </c>
      <c r="K74" s="16">
        <v>3</v>
      </c>
      <c r="L74" s="17" t="s">
        <v>438</v>
      </c>
      <c r="M74" s="10" t="s">
        <v>4968</v>
      </c>
    </row>
    <row r="75" spans="1:13" x14ac:dyDescent="0.3">
      <c r="A75" t="s">
        <v>445</v>
      </c>
      <c r="B75" s="7" t="s">
        <v>446</v>
      </c>
      <c r="C75" s="7"/>
      <c r="D75" s="7" t="s">
        <v>446</v>
      </c>
      <c r="E75" s="7" t="s">
        <v>34</v>
      </c>
      <c r="F75" s="15" t="s">
        <v>446</v>
      </c>
      <c r="G75" s="15" t="s">
        <v>446</v>
      </c>
      <c r="H75" s="15" t="s">
        <v>446</v>
      </c>
      <c r="I75" s="15" t="s">
        <v>4968</v>
      </c>
      <c r="J75" s="15" t="s">
        <v>4968</v>
      </c>
      <c r="K75" s="16">
        <v>3</v>
      </c>
      <c r="L75" s="17" t="s">
        <v>446</v>
      </c>
      <c r="M75" s="10" t="s">
        <v>4968</v>
      </c>
    </row>
    <row r="76" spans="1:13" x14ac:dyDescent="0.3">
      <c r="A76" t="s">
        <v>453</v>
      </c>
      <c r="B76" s="7" t="s">
        <v>454</v>
      </c>
      <c r="C76" s="7"/>
      <c r="D76" s="7" t="s">
        <v>454</v>
      </c>
      <c r="E76" s="7" t="s">
        <v>34</v>
      </c>
      <c r="F76" s="15" t="s">
        <v>454</v>
      </c>
      <c r="G76" s="15" t="s">
        <v>454</v>
      </c>
      <c r="H76" s="15" t="s">
        <v>454</v>
      </c>
      <c r="I76" s="15" t="s">
        <v>4968</v>
      </c>
      <c r="J76" s="15" t="s">
        <v>4968</v>
      </c>
      <c r="K76" s="16">
        <v>3</v>
      </c>
      <c r="L76" s="17" t="s">
        <v>454</v>
      </c>
      <c r="M76" s="10" t="s">
        <v>4968</v>
      </c>
    </row>
    <row r="77" spans="1:13" x14ac:dyDescent="0.3">
      <c r="A77" t="s">
        <v>459</v>
      </c>
      <c r="B77" s="7"/>
      <c r="C77" s="7"/>
      <c r="D77" s="7" t="s">
        <v>460</v>
      </c>
      <c r="E77" s="7" t="s">
        <v>9</v>
      </c>
      <c r="F77" s="15" t="s">
        <v>4983</v>
      </c>
      <c r="G77" s="15" t="s">
        <v>4983</v>
      </c>
      <c r="H77" s="15" t="s">
        <v>460</v>
      </c>
      <c r="I77" s="15" t="s">
        <v>4968</v>
      </c>
      <c r="J77" s="15" t="s">
        <v>4968</v>
      </c>
      <c r="K77" s="16">
        <v>3</v>
      </c>
      <c r="L77" s="17" t="s">
        <v>4983</v>
      </c>
      <c r="M77" s="10" t="s">
        <v>4968</v>
      </c>
    </row>
    <row r="78" spans="1:13" x14ac:dyDescent="0.3">
      <c r="A78" t="s">
        <v>461</v>
      </c>
      <c r="B78" s="7"/>
      <c r="C78" s="7" t="s">
        <v>462</v>
      </c>
      <c r="D78" s="7" t="s">
        <v>462</v>
      </c>
      <c r="E78" s="7" t="s">
        <v>49</v>
      </c>
      <c r="F78" s="15" t="s">
        <v>462</v>
      </c>
      <c r="G78" s="15" t="s">
        <v>462</v>
      </c>
      <c r="H78" s="15" t="s">
        <v>462</v>
      </c>
      <c r="I78" s="15" t="s">
        <v>4968</v>
      </c>
      <c r="J78" s="15" t="s">
        <v>4968</v>
      </c>
      <c r="K78" s="16">
        <v>3</v>
      </c>
      <c r="L78" s="17" t="s">
        <v>462</v>
      </c>
      <c r="M78" s="10" t="s">
        <v>4968</v>
      </c>
    </row>
    <row r="79" spans="1:13" x14ac:dyDescent="0.3">
      <c r="A79" t="s">
        <v>481</v>
      </c>
      <c r="B79" s="7" t="s">
        <v>482</v>
      </c>
      <c r="C79" s="7" t="s">
        <v>483</v>
      </c>
      <c r="D79" s="7" t="s">
        <v>483</v>
      </c>
      <c r="E79" s="7" t="s">
        <v>23</v>
      </c>
      <c r="F79" s="15" t="s">
        <v>482</v>
      </c>
      <c r="G79" s="15" t="s">
        <v>483</v>
      </c>
      <c r="H79" s="15" t="s">
        <v>483</v>
      </c>
      <c r="I79" s="15" t="s">
        <v>4968</v>
      </c>
      <c r="J79" s="15" t="s">
        <v>4968</v>
      </c>
      <c r="K79" s="16">
        <v>2</v>
      </c>
      <c r="L79" s="17" t="s">
        <v>483</v>
      </c>
      <c r="M79" s="10" t="s">
        <v>4968</v>
      </c>
    </row>
    <row r="80" spans="1:13" x14ac:dyDescent="0.3">
      <c r="A80" t="s">
        <v>484</v>
      </c>
      <c r="B80" s="7" t="s">
        <v>485</v>
      </c>
      <c r="C80" s="7"/>
      <c r="D80" s="7" t="s">
        <v>485</v>
      </c>
      <c r="E80" s="7" t="s">
        <v>34</v>
      </c>
      <c r="F80" s="15" t="s">
        <v>4985</v>
      </c>
      <c r="G80" s="15" t="s">
        <v>4985</v>
      </c>
      <c r="H80" s="15" t="s">
        <v>497</v>
      </c>
      <c r="I80" s="15" t="s">
        <v>5049</v>
      </c>
      <c r="J80" s="15" t="s">
        <v>497</v>
      </c>
      <c r="K80" s="16">
        <v>3</v>
      </c>
      <c r="L80" s="17" t="s">
        <v>4985</v>
      </c>
      <c r="M80" s="10" t="s">
        <v>4984</v>
      </c>
    </row>
    <row r="81" spans="1:13" x14ac:dyDescent="0.3">
      <c r="A81" t="s">
        <v>486</v>
      </c>
      <c r="B81" s="7" t="s">
        <v>487</v>
      </c>
      <c r="C81" s="7"/>
      <c r="D81" s="7" t="s">
        <v>487</v>
      </c>
      <c r="E81" s="7" t="s">
        <v>34</v>
      </c>
      <c r="F81" s="15" t="s">
        <v>487</v>
      </c>
      <c r="G81" s="15" t="s">
        <v>487</v>
      </c>
      <c r="H81" s="15" t="s">
        <v>487</v>
      </c>
      <c r="I81" s="15" t="s">
        <v>4968</v>
      </c>
      <c r="J81" s="15" t="s">
        <v>4968</v>
      </c>
      <c r="K81" s="16">
        <v>3</v>
      </c>
      <c r="L81" s="17" t="s">
        <v>487</v>
      </c>
      <c r="M81" s="10" t="s">
        <v>4968</v>
      </c>
    </row>
    <row r="82" spans="1:13" x14ac:dyDescent="0.3">
      <c r="A82" t="s">
        <v>490</v>
      </c>
      <c r="B82" s="7" t="s">
        <v>491</v>
      </c>
      <c r="C82" s="7" t="s">
        <v>492</v>
      </c>
      <c r="D82" s="7" t="s">
        <v>491</v>
      </c>
      <c r="E82" s="7" t="s">
        <v>493</v>
      </c>
      <c r="F82" s="15" t="s">
        <v>491</v>
      </c>
      <c r="G82" s="15" t="s">
        <v>491</v>
      </c>
      <c r="H82" s="15" t="s">
        <v>491</v>
      </c>
      <c r="I82" s="15" t="s">
        <v>4968</v>
      </c>
      <c r="J82" s="15" t="s">
        <v>4968</v>
      </c>
      <c r="K82" s="16">
        <v>3</v>
      </c>
      <c r="L82" s="17" t="s">
        <v>491</v>
      </c>
      <c r="M82" s="10" t="s">
        <v>4968</v>
      </c>
    </row>
    <row r="83" spans="1:13" x14ac:dyDescent="0.3">
      <c r="A83" t="s">
        <v>494</v>
      </c>
      <c r="B83" s="7" t="s">
        <v>495</v>
      </c>
      <c r="C83" s="7"/>
      <c r="D83" s="7"/>
      <c r="E83" s="7" t="s">
        <v>9</v>
      </c>
      <c r="F83" s="15" t="s">
        <v>4987</v>
      </c>
      <c r="G83" s="15" t="s">
        <v>4987</v>
      </c>
      <c r="H83" s="15" t="s">
        <v>4988</v>
      </c>
      <c r="I83" s="15" t="s">
        <v>5048</v>
      </c>
      <c r="J83" s="15" t="s">
        <v>4987</v>
      </c>
      <c r="K83" s="16">
        <v>4</v>
      </c>
      <c r="L83" s="17" t="s">
        <v>4987</v>
      </c>
      <c r="M83" s="10" t="s">
        <v>4986</v>
      </c>
    </row>
    <row r="84" spans="1:13" x14ac:dyDescent="0.3">
      <c r="A84" t="s">
        <v>496</v>
      </c>
      <c r="B84" s="7"/>
      <c r="C84" s="7"/>
      <c r="D84" s="7" t="s">
        <v>497</v>
      </c>
      <c r="E84" s="7" t="s">
        <v>9</v>
      </c>
      <c r="F84" s="15" t="s">
        <v>497</v>
      </c>
      <c r="G84" s="15" t="s">
        <v>497</v>
      </c>
      <c r="H84" s="15" t="s">
        <v>497</v>
      </c>
      <c r="I84" s="15" t="s">
        <v>4968</v>
      </c>
      <c r="J84" s="15" t="s">
        <v>4968</v>
      </c>
      <c r="K84" s="16">
        <v>3</v>
      </c>
      <c r="L84" s="17" t="s">
        <v>497</v>
      </c>
      <c r="M84" s="10" t="s">
        <v>4968</v>
      </c>
    </row>
    <row r="85" spans="1:13" x14ac:dyDescent="0.3">
      <c r="A85" t="s">
        <v>498</v>
      </c>
      <c r="B85" s="7" t="s">
        <v>499</v>
      </c>
      <c r="C85" s="7"/>
      <c r="D85" s="7" t="s">
        <v>499</v>
      </c>
      <c r="E85" s="7" t="s">
        <v>34</v>
      </c>
      <c r="F85" s="15" t="s">
        <v>4989</v>
      </c>
      <c r="G85" s="15" t="s">
        <v>4989</v>
      </c>
      <c r="H85" s="15" t="s">
        <v>4989</v>
      </c>
      <c r="I85" s="15" t="s">
        <v>4968</v>
      </c>
      <c r="J85" s="15" t="s">
        <v>4968</v>
      </c>
      <c r="K85" s="16">
        <v>3</v>
      </c>
      <c r="L85" s="17" t="s">
        <v>4989</v>
      </c>
      <c r="M85" s="10" t="s">
        <v>4968</v>
      </c>
    </row>
    <row r="86" spans="1:13" x14ac:dyDescent="0.3">
      <c r="A86" t="s">
        <v>500</v>
      </c>
      <c r="B86" s="7" t="s">
        <v>501</v>
      </c>
      <c r="C86" s="7" t="s">
        <v>501</v>
      </c>
      <c r="D86" s="7" t="s">
        <v>478</v>
      </c>
      <c r="E86" s="7" t="s">
        <v>15</v>
      </c>
      <c r="F86" s="15" t="s">
        <v>501</v>
      </c>
      <c r="G86" s="15" t="s">
        <v>4991</v>
      </c>
      <c r="H86" s="15" t="s">
        <v>4990</v>
      </c>
      <c r="I86" s="15" t="s">
        <v>4968</v>
      </c>
      <c r="J86" s="15" t="s">
        <v>4968</v>
      </c>
      <c r="K86" s="16">
        <v>2</v>
      </c>
      <c r="L86" s="17" t="s">
        <v>4990</v>
      </c>
      <c r="M86" s="10" t="s">
        <v>4968</v>
      </c>
    </row>
    <row r="87" spans="1:13" x14ac:dyDescent="0.3">
      <c r="A87" t="s">
        <v>502</v>
      </c>
      <c r="B87" s="7" t="s">
        <v>503</v>
      </c>
      <c r="C87" s="7" t="s">
        <v>504</v>
      </c>
      <c r="D87" s="7" t="s">
        <v>478</v>
      </c>
      <c r="E87" s="7" t="s">
        <v>295</v>
      </c>
      <c r="F87" s="15" t="s">
        <v>478</v>
      </c>
      <c r="G87" s="15" t="s">
        <v>4992</v>
      </c>
      <c r="H87" s="15" t="s">
        <v>4992</v>
      </c>
      <c r="I87" s="15" t="s">
        <v>4968</v>
      </c>
      <c r="J87" s="15" t="s">
        <v>4968</v>
      </c>
      <c r="K87" s="16">
        <v>2</v>
      </c>
      <c r="L87" s="17" t="s">
        <v>4992</v>
      </c>
      <c r="M87" s="10" t="s">
        <v>4968</v>
      </c>
    </row>
    <row r="88" spans="1:13" x14ac:dyDescent="0.3">
      <c r="A88" t="s">
        <v>511</v>
      </c>
      <c r="B88" s="7"/>
      <c r="C88" s="7"/>
      <c r="D88" s="7" t="s">
        <v>512</v>
      </c>
      <c r="E88" s="7" t="s">
        <v>9</v>
      </c>
      <c r="F88" s="15" t="s">
        <v>4993</v>
      </c>
      <c r="G88" s="15" t="s">
        <v>512</v>
      </c>
      <c r="H88" s="15" t="s">
        <v>4993</v>
      </c>
      <c r="I88" s="15" t="s">
        <v>5047</v>
      </c>
      <c r="J88" s="15" t="s">
        <v>5047</v>
      </c>
      <c r="K88" s="16">
        <v>5</v>
      </c>
      <c r="L88" s="17" t="s">
        <v>4993</v>
      </c>
      <c r="M88" s="10" t="s">
        <v>4994</v>
      </c>
    </row>
    <row r="89" spans="1:13" x14ac:dyDescent="0.3">
      <c r="A89" t="s">
        <v>513</v>
      </c>
      <c r="B89" s="7" t="s">
        <v>514</v>
      </c>
      <c r="C89" s="7" t="s">
        <v>515</v>
      </c>
      <c r="D89" s="7" t="s">
        <v>516</v>
      </c>
      <c r="E89" s="7" t="s">
        <v>295</v>
      </c>
      <c r="F89" s="15" t="s">
        <v>4995</v>
      </c>
      <c r="G89" s="15" t="s">
        <v>516</v>
      </c>
      <c r="H89" s="15" t="s">
        <v>515</v>
      </c>
      <c r="I89" s="15" t="s">
        <v>4968</v>
      </c>
      <c r="J89" s="15" t="s">
        <v>4968</v>
      </c>
      <c r="K89" s="16">
        <v>2</v>
      </c>
      <c r="L89" s="17" t="s">
        <v>515</v>
      </c>
      <c r="M89" s="10" t="s">
        <v>4968</v>
      </c>
    </row>
    <row r="90" spans="1:13" x14ac:dyDescent="0.3">
      <c r="A90" t="s">
        <v>531</v>
      </c>
      <c r="B90" s="7"/>
      <c r="C90" s="7"/>
      <c r="D90" s="7" t="s">
        <v>532</v>
      </c>
      <c r="E90" s="7" t="s">
        <v>9</v>
      </c>
      <c r="F90" s="15" t="s">
        <v>4997</v>
      </c>
      <c r="G90" s="15" t="s">
        <v>4996</v>
      </c>
      <c r="H90" s="15" t="s">
        <v>532</v>
      </c>
      <c r="I90" s="15" t="s">
        <v>4968</v>
      </c>
      <c r="J90" s="15" t="s">
        <v>4968</v>
      </c>
      <c r="K90" s="16">
        <v>2</v>
      </c>
      <c r="L90" s="17" t="s">
        <v>4996</v>
      </c>
      <c r="M90" s="10" t="s">
        <v>4968</v>
      </c>
    </row>
    <row r="91" spans="1:13" x14ac:dyDescent="0.3">
      <c r="A91" t="s">
        <v>539</v>
      </c>
      <c r="B91" s="7" t="s">
        <v>540</v>
      </c>
      <c r="C91" s="7"/>
      <c r="D91" s="7" t="s">
        <v>540</v>
      </c>
      <c r="E91" s="7" t="s">
        <v>34</v>
      </c>
      <c r="F91" s="15" t="s">
        <v>540</v>
      </c>
      <c r="G91" s="15" t="s">
        <v>540</v>
      </c>
      <c r="H91" s="15" t="s">
        <v>540</v>
      </c>
      <c r="I91" s="15" t="s">
        <v>4968</v>
      </c>
      <c r="J91" s="15" t="s">
        <v>4968</v>
      </c>
      <c r="K91" s="16">
        <v>3</v>
      </c>
      <c r="L91" s="17" t="s">
        <v>540</v>
      </c>
      <c r="M91" s="10" t="s">
        <v>4968</v>
      </c>
    </row>
    <row r="92" spans="1:13" x14ac:dyDescent="0.3">
      <c r="A92" t="s">
        <v>551</v>
      </c>
      <c r="B92" s="7" t="s">
        <v>552</v>
      </c>
      <c r="C92" s="7" t="s">
        <v>552</v>
      </c>
      <c r="D92" s="7" t="s">
        <v>553</v>
      </c>
      <c r="E92" s="7" t="s">
        <v>15</v>
      </c>
      <c r="F92" s="15" t="s">
        <v>552</v>
      </c>
      <c r="G92" s="15" t="s">
        <v>4998</v>
      </c>
      <c r="H92" s="15" t="s">
        <v>552</v>
      </c>
      <c r="I92" s="15" t="s">
        <v>4968</v>
      </c>
      <c r="J92" s="15" t="s">
        <v>4968</v>
      </c>
      <c r="K92" s="16">
        <v>2</v>
      </c>
      <c r="L92" s="17" t="s">
        <v>552</v>
      </c>
      <c r="M92" s="10" t="s">
        <v>4968</v>
      </c>
    </row>
    <row r="93" spans="1:13" x14ac:dyDescent="0.3">
      <c r="A93" t="s">
        <v>556</v>
      </c>
      <c r="B93" s="7" t="s">
        <v>557</v>
      </c>
      <c r="C93" s="7" t="s">
        <v>557</v>
      </c>
      <c r="D93" s="7" t="s">
        <v>558</v>
      </c>
      <c r="E93" s="7" t="s">
        <v>15</v>
      </c>
      <c r="F93" s="15" t="s">
        <v>557</v>
      </c>
      <c r="G93" s="15" t="s">
        <v>5000</v>
      </c>
      <c r="H93" s="15" t="s">
        <v>4999</v>
      </c>
      <c r="I93" s="15" t="s">
        <v>4968</v>
      </c>
      <c r="J93" s="15" t="s">
        <v>4968</v>
      </c>
      <c r="K93" s="16">
        <v>2</v>
      </c>
      <c r="L93" s="17" t="s">
        <v>4999</v>
      </c>
      <c r="M93" s="10" t="s">
        <v>4968</v>
      </c>
    </row>
    <row r="94" spans="1:13" x14ac:dyDescent="0.3">
      <c r="A94" t="s">
        <v>561</v>
      </c>
      <c r="B94" s="7"/>
      <c r="C94" s="7" t="s">
        <v>562</v>
      </c>
      <c r="D94" s="7" t="s">
        <v>563</v>
      </c>
      <c r="E94" s="7" t="s">
        <v>9</v>
      </c>
      <c r="F94" s="15" t="s">
        <v>563</v>
      </c>
      <c r="G94" s="15" t="s">
        <v>563</v>
      </c>
      <c r="H94" s="15" t="s">
        <v>563</v>
      </c>
      <c r="I94" s="15" t="s">
        <v>4968</v>
      </c>
      <c r="J94" s="15" t="s">
        <v>4968</v>
      </c>
      <c r="K94" s="16">
        <v>3</v>
      </c>
      <c r="L94" s="17" t="s">
        <v>563</v>
      </c>
      <c r="M94" s="10" t="s">
        <v>4968</v>
      </c>
    </row>
    <row r="95" spans="1:13" x14ac:dyDescent="0.3">
      <c r="A95" t="s">
        <v>564</v>
      </c>
      <c r="B95" s="7" t="s">
        <v>565</v>
      </c>
      <c r="C95" s="7" t="s">
        <v>565</v>
      </c>
      <c r="D95" s="7" t="s">
        <v>566</v>
      </c>
      <c r="E95" s="7" t="s">
        <v>15</v>
      </c>
      <c r="F95" s="15" t="s">
        <v>565</v>
      </c>
      <c r="G95" s="15" t="s">
        <v>5001</v>
      </c>
      <c r="H95" s="15" t="s">
        <v>565</v>
      </c>
      <c r="I95" s="15" t="s">
        <v>4968</v>
      </c>
      <c r="J95" s="15" t="s">
        <v>4968</v>
      </c>
      <c r="K95" s="16">
        <v>2</v>
      </c>
      <c r="L95" s="17" t="s">
        <v>565</v>
      </c>
      <c r="M95" s="10" t="s">
        <v>4968</v>
      </c>
    </row>
    <row r="96" spans="1:13" x14ac:dyDescent="0.3">
      <c r="A96" t="s">
        <v>567</v>
      </c>
      <c r="B96" s="7" t="s">
        <v>568</v>
      </c>
      <c r="C96" s="7" t="s">
        <v>569</v>
      </c>
      <c r="D96" s="7" t="s">
        <v>569</v>
      </c>
      <c r="E96" s="7" t="s">
        <v>23</v>
      </c>
      <c r="F96" s="15" t="s">
        <v>5002</v>
      </c>
      <c r="G96" s="15" t="s">
        <v>569</v>
      </c>
      <c r="H96" s="15" t="s">
        <v>569</v>
      </c>
      <c r="I96" s="15" t="s">
        <v>4968</v>
      </c>
      <c r="J96" s="15" t="s">
        <v>4968</v>
      </c>
      <c r="K96" s="16">
        <v>3</v>
      </c>
      <c r="L96" s="17" t="s">
        <v>5002</v>
      </c>
      <c r="M96" s="10" t="s">
        <v>4968</v>
      </c>
    </row>
    <row r="97" spans="1:13" x14ac:dyDescent="0.3">
      <c r="A97" t="s">
        <v>570</v>
      </c>
      <c r="B97" s="7" t="s">
        <v>571</v>
      </c>
      <c r="C97" s="7"/>
      <c r="D97" s="7" t="s">
        <v>571</v>
      </c>
      <c r="E97" s="7" t="s">
        <v>34</v>
      </c>
      <c r="F97" s="15" t="s">
        <v>571</v>
      </c>
      <c r="G97" s="15" t="s">
        <v>571</v>
      </c>
      <c r="H97" s="15" t="s">
        <v>571</v>
      </c>
      <c r="I97" s="15" t="s">
        <v>4968</v>
      </c>
      <c r="J97" s="15" t="s">
        <v>4968</v>
      </c>
      <c r="K97" s="16">
        <v>3</v>
      </c>
      <c r="L97" s="17" t="s">
        <v>571</v>
      </c>
      <c r="M97" s="10" t="s">
        <v>4968</v>
      </c>
    </row>
    <row r="98" spans="1:13" x14ac:dyDescent="0.3">
      <c r="A98" t="s">
        <v>574</v>
      </c>
      <c r="B98" s="7"/>
      <c r="C98" s="7" t="s">
        <v>575</v>
      </c>
      <c r="D98" s="7" t="s">
        <v>575</v>
      </c>
      <c r="E98" s="7" t="s">
        <v>49</v>
      </c>
      <c r="F98" s="15" t="s">
        <v>5003</v>
      </c>
      <c r="G98" s="15" t="s">
        <v>575</v>
      </c>
      <c r="H98" s="15" t="s">
        <v>575</v>
      </c>
      <c r="I98" s="15" t="s">
        <v>4968</v>
      </c>
      <c r="J98" s="15" t="s">
        <v>4968</v>
      </c>
      <c r="K98" s="16">
        <v>3</v>
      </c>
      <c r="L98" s="17" t="s">
        <v>5003</v>
      </c>
      <c r="M98" s="10" t="s">
        <v>4968</v>
      </c>
    </row>
    <row r="99" spans="1:13" x14ac:dyDescent="0.3">
      <c r="A99" t="s">
        <v>588</v>
      </c>
      <c r="B99" s="7" t="s">
        <v>589</v>
      </c>
      <c r="C99" s="7" t="s">
        <v>590</v>
      </c>
      <c r="D99" s="7" t="s">
        <v>590</v>
      </c>
      <c r="E99" s="7" t="s">
        <v>23</v>
      </c>
      <c r="F99" s="15" t="s">
        <v>5004</v>
      </c>
      <c r="G99" s="15" t="s">
        <v>590</v>
      </c>
      <c r="H99" s="15" t="s">
        <v>590</v>
      </c>
      <c r="I99" s="15" t="s">
        <v>4968</v>
      </c>
      <c r="J99" s="15" t="s">
        <v>4968</v>
      </c>
      <c r="K99" s="16">
        <v>3</v>
      </c>
      <c r="L99" s="17" t="s">
        <v>5004</v>
      </c>
      <c r="M99" s="10" t="s">
        <v>4968</v>
      </c>
    </row>
    <row r="100" spans="1:13" x14ac:dyDescent="0.3">
      <c r="A100" t="s">
        <v>601</v>
      </c>
      <c r="B100" s="7" t="s">
        <v>602</v>
      </c>
      <c r="C100" s="7"/>
      <c r="D100" s="7" t="s">
        <v>602</v>
      </c>
      <c r="E100" s="7" t="s">
        <v>34</v>
      </c>
      <c r="F100" s="15" t="s">
        <v>602</v>
      </c>
      <c r="G100" s="15" t="s">
        <v>602</v>
      </c>
      <c r="H100" s="15" t="s">
        <v>602</v>
      </c>
      <c r="I100" s="15" t="s">
        <v>4968</v>
      </c>
      <c r="J100" s="15" t="s">
        <v>4968</v>
      </c>
      <c r="K100" s="16">
        <v>3</v>
      </c>
      <c r="L100" s="17" t="s">
        <v>602</v>
      </c>
      <c r="M100" s="10" t="s">
        <v>4968</v>
      </c>
    </row>
    <row r="101" spans="1:13" x14ac:dyDescent="0.3">
      <c r="A101" t="s">
        <v>605</v>
      </c>
      <c r="B101" s="7" t="s">
        <v>606</v>
      </c>
      <c r="C101" s="7" t="s">
        <v>607</v>
      </c>
      <c r="D101" s="7" t="s">
        <v>606</v>
      </c>
      <c r="E101" s="7" t="s">
        <v>493</v>
      </c>
      <c r="F101" s="15" t="s">
        <v>606</v>
      </c>
      <c r="G101" s="15" t="s">
        <v>5005</v>
      </c>
      <c r="H101" s="15" t="s">
        <v>606</v>
      </c>
      <c r="I101" s="15" t="s">
        <v>4968</v>
      </c>
      <c r="J101" s="15" t="s">
        <v>4968</v>
      </c>
      <c r="K101" s="16">
        <v>3</v>
      </c>
      <c r="L101" s="17" t="s">
        <v>5005</v>
      </c>
      <c r="M101" s="10" t="s">
        <v>4968</v>
      </c>
    </row>
    <row r="102" spans="1:13" x14ac:dyDescent="0.3">
      <c r="A102" t="s">
        <v>614</v>
      </c>
      <c r="B102" s="7"/>
      <c r="C102" s="7" t="s">
        <v>615</v>
      </c>
      <c r="D102" s="7" t="s">
        <v>615</v>
      </c>
      <c r="E102" s="7" t="s">
        <v>49</v>
      </c>
      <c r="F102" s="15" t="s">
        <v>5006</v>
      </c>
      <c r="G102" s="15" t="s">
        <v>615</v>
      </c>
      <c r="H102" s="15" t="s">
        <v>615</v>
      </c>
      <c r="I102" s="15" t="s">
        <v>4968</v>
      </c>
      <c r="J102" s="15" t="s">
        <v>4968</v>
      </c>
      <c r="K102" s="16">
        <v>3</v>
      </c>
      <c r="L102" s="17" t="s">
        <v>5006</v>
      </c>
      <c r="M102" s="10" t="s">
        <v>4968</v>
      </c>
    </row>
    <row r="103" spans="1:13" x14ac:dyDescent="0.3">
      <c r="A103" t="s">
        <v>629</v>
      </c>
      <c r="B103" s="7"/>
      <c r="C103" s="7" t="s">
        <v>630</v>
      </c>
      <c r="D103" s="7" t="s">
        <v>630</v>
      </c>
      <c r="E103" s="7" t="s">
        <v>49</v>
      </c>
      <c r="F103" s="15" t="s">
        <v>630</v>
      </c>
      <c r="G103" s="15" t="s">
        <v>630</v>
      </c>
      <c r="H103" s="15" t="s">
        <v>630</v>
      </c>
      <c r="I103" s="15" t="s">
        <v>4968</v>
      </c>
      <c r="J103" s="15" t="s">
        <v>4968</v>
      </c>
      <c r="K103" s="16">
        <v>3</v>
      </c>
      <c r="L103" s="17" t="s">
        <v>630</v>
      </c>
      <c r="M103" s="10" t="s">
        <v>4968</v>
      </c>
    </row>
    <row r="104" spans="1:13" x14ac:dyDescent="0.3">
      <c r="A104" t="s">
        <v>631</v>
      </c>
      <c r="B104" s="7"/>
      <c r="C104" s="7" t="s">
        <v>632</v>
      </c>
      <c r="D104" s="7" t="s">
        <v>632</v>
      </c>
      <c r="E104" s="7" t="s">
        <v>49</v>
      </c>
      <c r="F104" s="15" t="s">
        <v>5007</v>
      </c>
      <c r="G104" s="15" t="s">
        <v>632</v>
      </c>
      <c r="H104" s="15" t="s">
        <v>632</v>
      </c>
      <c r="I104" s="15" t="s">
        <v>4968</v>
      </c>
      <c r="J104" s="15" t="s">
        <v>4968</v>
      </c>
      <c r="K104" s="16">
        <v>3</v>
      </c>
      <c r="L104" s="17" t="s">
        <v>5007</v>
      </c>
      <c r="M104" s="10" t="s">
        <v>4968</v>
      </c>
    </row>
    <row r="105" spans="1:13" x14ac:dyDescent="0.3">
      <c r="A105" t="s">
        <v>635</v>
      </c>
      <c r="B105" s="7" t="s">
        <v>636</v>
      </c>
      <c r="C105" s="7" t="s">
        <v>637</v>
      </c>
      <c r="D105" s="7" t="s">
        <v>634</v>
      </c>
      <c r="E105" s="7" t="s">
        <v>295</v>
      </c>
      <c r="F105" s="15" t="s">
        <v>636</v>
      </c>
      <c r="G105" s="15" t="s">
        <v>634</v>
      </c>
      <c r="H105" s="15" t="s">
        <v>634</v>
      </c>
      <c r="I105" s="15" t="s">
        <v>4968</v>
      </c>
      <c r="J105" s="15" t="s">
        <v>4968</v>
      </c>
      <c r="K105" s="16">
        <v>2</v>
      </c>
      <c r="L105" s="17" t="s">
        <v>634</v>
      </c>
      <c r="M105" s="10" t="s">
        <v>4968</v>
      </c>
    </row>
    <row r="106" spans="1:13" x14ac:dyDescent="0.3">
      <c r="A106" t="s">
        <v>644</v>
      </c>
      <c r="B106" s="7" t="s">
        <v>645</v>
      </c>
      <c r="C106" s="7"/>
      <c r="D106" s="7" t="s">
        <v>645</v>
      </c>
      <c r="E106" s="7" t="s">
        <v>34</v>
      </c>
      <c r="F106" s="15" t="s">
        <v>645</v>
      </c>
      <c r="G106" s="15" t="s">
        <v>645</v>
      </c>
      <c r="H106" s="15" t="s">
        <v>645</v>
      </c>
      <c r="I106" s="15" t="s">
        <v>4968</v>
      </c>
      <c r="J106" s="15" t="s">
        <v>4968</v>
      </c>
      <c r="K106" s="16">
        <v>3</v>
      </c>
      <c r="L106" s="17" t="s">
        <v>645</v>
      </c>
      <c r="M106" s="10" t="s">
        <v>4968</v>
      </c>
    </row>
    <row r="107" spans="1:13" x14ac:dyDescent="0.3">
      <c r="A107" t="s">
        <v>648</v>
      </c>
      <c r="B107" s="7" t="s">
        <v>649</v>
      </c>
      <c r="C107" s="7"/>
      <c r="D107" s="7" t="s">
        <v>649</v>
      </c>
      <c r="E107" s="7" t="s">
        <v>34</v>
      </c>
      <c r="F107" s="15" t="s">
        <v>649</v>
      </c>
      <c r="G107" s="15" t="s">
        <v>649</v>
      </c>
      <c r="H107" s="15" t="s">
        <v>649</v>
      </c>
      <c r="I107" s="15" t="s">
        <v>4968</v>
      </c>
      <c r="J107" s="15" t="s">
        <v>4968</v>
      </c>
      <c r="K107" s="16">
        <v>3</v>
      </c>
      <c r="L107" s="17" t="s">
        <v>649</v>
      </c>
      <c r="M107" s="10" t="s">
        <v>4968</v>
      </c>
    </row>
    <row r="108" spans="1:13" x14ac:dyDescent="0.3">
      <c r="A108" t="s">
        <v>654</v>
      </c>
      <c r="B108" s="7" t="s">
        <v>655</v>
      </c>
      <c r="C108" s="7" t="s">
        <v>655</v>
      </c>
      <c r="D108" s="7"/>
      <c r="E108" s="7" t="s">
        <v>323</v>
      </c>
      <c r="F108" s="15" t="s">
        <v>655</v>
      </c>
      <c r="G108" s="15" t="s">
        <v>4968</v>
      </c>
      <c r="H108" s="15" t="s">
        <v>655</v>
      </c>
      <c r="I108" s="15" t="s">
        <v>4968</v>
      </c>
      <c r="J108" s="15" t="s">
        <v>4968</v>
      </c>
      <c r="K108" s="16">
        <v>2</v>
      </c>
      <c r="L108" s="17" t="s">
        <v>655</v>
      </c>
      <c r="M108" s="10" t="s">
        <v>4968</v>
      </c>
    </row>
    <row r="109" spans="1:13" x14ac:dyDescent="0.3">
      <c r="A109" t="s">
        <v>658</v>
      </c>
      <c r="B109" s="7" t="s">
        <v>659</v>
      </c>
      <c r="C109" s="7"/>
      <c r="D109" s="7" t="s">
        <v>659</v>
      </c>
      <c r="E109" s="7" t="s">
        <v>34</v>
      </c>
      <c r="F109" s="15" t="s">
        <v>659</v>
      </c>
      <c r="G109" s="15" t="s">
        <v>659</v>
      </c>
      <c r="H109" s="15" t="s">
        <v>659</v>
      </c>
      <c r="I109" s="15" t="s">
        <v>4968</v>
      </c>
      <c r="J109" s="15" t="s">
        <v>4968</v>
      </c>
      <c r="K109" s="16">
        <v>3</v>
      </c>
      <c r="L109" s="17" t="s">
        <v>659</v>
      </c>
      <c r="M109" s="10" t="s">
        <v>4968</v>
      </c>
    </row>
    <row r="110" spans="1:13" x14ac:dyDescent="0.3">
      <c r="A110" t="s">
        <v>670</v>
      </c>
      <c r="B110" s="7" t="s">
        <v>671</v>
      </c>
      <c r="C110" s="7"/>
      <c r="D110" s="7" t="s">
        <v>671</v>
      </c>
      <c r="E110" s="7" t="s">
        <v>34</v>
      </c>
      <c r="F110" s="15" t="s">
        <v>671</v>
      </c>
      <c r="G110" s="15" t="s">
        <v>671</v>
      </c>
      <c r="H110" s="15" t="s">
        <v>671</v>
      </c>
      <c r="I110" s="15" t="s">
        <v>4968</v>
      </c>
      <c r="J110" s="15" t="s">
        <v>4968</v>
      </c>
      <c r="K110" s="16">
        <v>3</v>
      </c>
      <c r="L110" s="17" t="s">
        <v>671</v>
      </c>
      <c r="M110" s="10" t="s">
        <v>4968</v>
      </c>
    </row>
    <row r="111" spans="1:13" x14ac:dyDescent="0.3">
      <c r="A111" t="s">
        <v>683</v>
      </c>
      <c r="B111" s="7"/>
      <c r="C111" s="7" t="s">
        <v>684</v>
      </c>
      <c r="D111" s="7" t="s">
        <v>684</v>
      </c>
      <c r="E111" s="7" t="s">
        <v>49</v>
      </c>
      <c r="F111" s="15" t="s">
        <v>5008</v>
      </c>
      <c r="G111" s="15" t="s">
        <v>684</v>
      </c>
      <c r="H111" s="15" t="s">
        <v>684</v>
      </c>
      <c r="I111" s="15" t="s">
        <v>4968</v>
      </c>
      <c r="J111" s="15" t="s">
        <v>4968</v>
      </c>
      <c r="K111" s="16">
        <v>3</v>
      </c>
      <c r="L111" s="17" t="s">
        <v>5008</v>
      </c>
      <c r="M111" s="10" t="s">
        <v>4968</v>
      </c>
    </row>
    <row r="112" spans="1:13" x14ac:dyDescent="0.3">
      <c r="A112" t="s">
        <v>685</v>
      </c>
      <c r="B112" s="7"/>
      <c r="C112" s="7" t="s">
        <v>686</v>
      </c>
      <c r="D112" s="7" t="s">
        <v>686</v>
      </c>
      <c r="E112" s="7" t="s">
        <v>49</v>
      </c>
      <c r="F112" s="15" t="s">
        <v>686</v>
      </c>
      <c r="G112" s="15" t="s">
        <v>686</v>
      </c>
      <c r="H112" s="15" t="s">
        <v>686</v>
      </c>
      <c r="I112" s="15" t="s">
        <v>4968</v>
      </c>
      <c r="J112" s="15" t="s">
        <v>4968</v>
      </c>
      <c r="K112" s="16">
        <v>3</v>
      </c>
      <c r="L112" s="17" t="s">
        <v>686</v>
      </c>
      <c r="M112" s="10" t="s">
        <v>4968</v>
      </c>
    </row>
    <row r="113" spans="1:13" x14ac:dyDescent="0.3">
      <c r="A113" t="s">
        <v>687</v>
      </c>
      <c r="B113" s="7"/>
      <c r="C113" s="7" t="s">
        <v>688</v>
      </c>
      <c r="D113" s="7" t="s">
        <v>689</v>
      </c>
      <c r="E113" s="7" t="s">
        <v>9</v>
      </c>
      <c r="F113" s="15" t="s">
        <v>5010</v>
      </c>
      <c r="G113" s="15" t="s">
        <v>689</v>
      </c>
      <c r="H113" s="15" t="s">
        <v>5009</v>
      </c>
      <c r="I113" s="15" t="s">
        <v>4968</v>
      </c>
      <c r="J113" s="15" t="s">
        <v>4968</v>
      </c>
      <c r="K113" s="16">
        <v>2</v>
      </c>
      <c r="L113" s="17" t="s">
        <v>5010</v>
      </c>
      <c r="M113" s="10" t="s">
        <v>4968</v>
      </c>
    </row>
    <row r="114" spans="1:13" x14ac:dyDescent="0.3">
      <c r="A114" t="s">
        <v>690</v>
      </c>
      <c r="B114" s="7"/>
      <c r="C114" s="7" t="s">
        <v>691</v>
      </c>
      <c r="D114" s="7" t="s">
        <v>691</v>
      </c>
      <c r="E114" s="7" t="s">
        <v>49</v>
      </c>
      <c r="F114" s="15" t="s">
        <v>691</v>
      </c>
      <c r="G114" s="15" t="s">
        <v>691</v>
      </c>
      <c r="H114" s="15" t="s">
        <v>691</v>
      </c>
      <c r="I114" s="15" t="s">
        <v>4968</v>
      </c>
      <c r="J114" s="15" t="s">
        <v>4968</v>
      </c>
      <c r="K114" s="16">
        <v>3</v>
      </c>
      <c r="L114" s="17" t="s">
        <v>691</v>
      </c>
      <c r="M114" s="10" t="s">
        <v>4968</v>
      </c>
    </row>
    <row r="115" spans="1:13" x14ac:dyDescent="0.3">
      <c r="A115" t="s">
        <v>693</v>
      </c>
      <c r="B115" s="7" t="s">
        <v>694</v>
      </c>
      <c r="C115" s="7" t="s">
        <v>695</v>
      </c>
      <c r="D115" s="7" t="s">
        <v>696</v>
      </c>
      <c r="E115" s="7" t="s">
        <v>295</v>
      </c>
      <c r="F115" s="15" t="s">
        <v>5011</v>
      </c>
      <c r="G115" s="15" t="s">
        <v>5012</v>
      </c>
      <c r="H115" s="15" t="s">
        <v>695</v>
      </c>
      <c r="I115" s="15" t="s">
        <v>4968</v>
      </c>
      <c r="J115" s="15" t="s">
        <v>4968</v>
      </c>
      <c r="K115" s="16">
        <v>3</v>
      </c>
      <c r="L115" s="17" t="s">
        <v>695</v>
      </c>
      <c r="M115" s="10" t="s">
        <v>4968</v>
      </c>
    </row>
    <row r="116" spans="1:13" x14ac:dyDescent="0.3">
      <c r="A116" t="s">
        <v>710</v>
      </c>
      <c r="B116" s="7"/>
      <c r="C116" s="7" t="s">
        <v>711</v>
      </c>
      <c r="D116" s="7" t="s">
        <v>711</v>
      </c>
      <c r="E116" s="7" t="s">
        <v>49</v>
      </c>
      <c r="F116" s="15" t="s">
        <v>5013</v>
      </c>
      <c r="G116" s="15" t="s">
        <v>711</v>
      </c>
      <c r="H116" s="15" t="s">
        <v>711</v>
      </c>
      <c r="I116" s="15" t="s">
        <v>4968</v>
      </c>
      <c r="J116" s="15" t="s">
        <v>4968</v>
      </c>
      <c r="K116" s="16">
        <v>3</v>
      </c>
      <c r="L116" s="17" t="s">
        <v>5013</v>
      </c>
      <c r="M116" s="10" t="s">
        <v>4968</v>
      </c>
    </row>
    <row r="117" spans="1:13" x14ac:dyDescent="0.3">
      <c r="A117" t="s">
        <v>718</v>
      </c>
      <c r="B117" s="7"/>
      <c r="C117" s="7" t="s">
        <v>719</v>
      </c>
      <c r="D117" s="7" t="s">
        <v>719</v>
      </c>
      <c r="E117" s="7" t="s">
        <v>49</v>
      </c>
      <c r="F117" s="15" t="s">
        <v>719</v>
      </c>
      <c r="G117" s="15" t="s">
        <v>719</v>
      </c>
      <c r="H117" s="15" t="s">
        <v>719</v>
      </c>
      <c r="I117" s="15" t="s">
        <v>4968</v>
      </c>
      <c r="J117" s="15" t="s">
        <v>4968</v>
      </c>
      <c r="K117" s="16">
        <v>3</v>
      </c>
      <c r="L117" s="17" t="s">
        <v>719</v>
      </c>
      <c r="M117" s="10" t="s">
        <v>4968</v>
      </c>
    </row>
    <row r="118" spans="1:13" x14ac:dyDescent="0.3">
      <c r="A118" t="s">
        <v>720</v>
      </c>
      <c r="B118" s="7" t="s">
        <v>721</v>
      </c>
      <c r="C118" s="7"/>
      <c r="D118" s="7" t="s">
        <v>721</v>
      </c>
      <c r="E118" s="7" t="s">
        <v>34</v>
      </c>
      <c r="F118" s="15" t="s">
        <v>721</v>
      </c>
      <c r="G118" s="15" t="s">
        <v>721</v>
      </c>
      <c r="H118" s="15" t="s">
        <v>721</v>
      </c>
      <c r="I118" s="15" t="s">
        <v>4968</v>
      </c>
      <c r="J118" s="15" t="s">
        <v>4968</v>
      </c>
      <c r="K118" s="16">
        <v>3</v>
      </c>
      <c r="L118" s="17" t="s">
        <v>721</v>
      </c>
      <c r="M118" s="10" t="s">
        <v>4968</v>
      </c>
    </row>
    <row r="119" spans="1:13" x14ac:dyDescent="0.3">
      <c r="A119" t="s">
        <v>722</v>
      </c>
      <c r="B119" s="7"/>
      <c r="C119" s="7" t="s">
        <v>723</v>
      </c>
      <c r="D119" s="7" t="s">
        <v>723</v>
      </c>
      <c r="E119" s="7" t="s">
        <v>49</v>
      </c>
      <c r="F119" s="15" t="s">
        <v>723</v>
      </c>
      <c r="G119" s="15" t="s">
        <v>723</v>
      </c>
      <c r="H119" s="15" t="s">
        <v>723</v>
      </c>
      <c r="I119" s="15" t="s">
        <v>4968</v>
      </c>
      <c r="J119" s="15" t="s">
        <v>4968</v>
      </c>
      <c r="K119" s="16">
        <v>3</v>
      </c>
      <c r="L119" s="17" t="s">
        <v>723</v>
      </c>
      <c r="M119" s="10" t="s">
        <v>4968</v>
      </c>
    </row>
    <row r="120" spans="1:13" x14ac:dyDescent="0.3">
      <c r="A120" t="s">
        <v>727</v>
      </c>
      <c r="B120" s="7" t="s">
        <v>728</v>
      </c>
      <c r="C120" s="7" t="s">
        <v>729</v>
      </c>
      <c r="D120" s="7" t="s">
        <v>729</v>
      </c>
      <c r="E120" s="7" t="s">
        <v>23</v>
      </c>
      <c r="F120" s="15" t="s">
        <v>729</v>
      </c>
      <c r="G120" s="15" t="s">
        <v>729</v>
      </c>
      <c r="H120" s="15" t="s">
        <v>729</v>
      </c>
      <c r="I120" s="15" t="s">
        <v>4968</v>
      </c>
      <c r="J120" s="15" t="s">
        <v>4968</v>
      </c>
      <c r="K120" s="16">
        <v>3</v>
      </c>
      <c r="L120" s="17" t="s">
        <v>729</v>
      </c>
      <c r="M120" s="10" t="s">
        <v>4968</v>
      </c>
    </row>
    <row r="121" spans="1:13" x14ac:dyDescent="0.3">
      <c r="A121" t="s">
        <v>730</v>
      </c>
      <c r="B121" s="7" t="s">
        <v>731</v>
      </c>
      <c r="C121" s="7" t="s">
        <v>731</v>
      </c>
      <c r="D121" s="7" t="s">
        <v>732</v>
      </c>
      <c r="E121" s="7" t="s">
        <v>15</v>
      </c>
      <c r="F121" s="15" t="s">
        <v>731</v>
      </c>
      <c r="G121" s="15" t="s">
        <v>732</v>
      </c>
      <c r="H121" s="15" t="s">
        <v>731</v>
      </c>
      <c r="I121" s="15" t="s">
        <v>4968</v>
      </c>
      <c r="J121" s="15" t="s">
        <v>4968</v>
      </c>
      <c r="K121" s="16">
        <v>2</v>
      </c>
      <c r="L121" s="17" t="s">
        <v>731</v>
      </c>
      <c r="M121" s="10" t="s">
        <v>4968</v>
      </c>
    </row>
    <row r="122" spans="1:13" x14ac:dyDescent="0.3">
      <c r="A122" t="s">
        <v>735</v>
      </c>
      <c r="B122" s="7" t="s">
        <v>736</v>
      </c>
      <c r="C122" s="7"/>
      <c r="D122" s="7"/>
      <c r="E122" s="7" t="s">
        <v>9</v>
      </c>
      <c r="F122" s="15" t="s">
        <v>5015</v>
      </c>
      <c r="G122" s="15" t="s">
        <v>5014</v>
      </c>
      <c r="H122" s="15" t="s">
        <v>5014</v>
      </c>
      <c r="I122" s="15" t="s">
        <v>4968</v>
      </c>
      <c r="J122" s="15" t="s">
        <v>4968</v>
      </c>
      <c r="K122" s="16">
        <v>2</v>
      </c>
      <c r="L122" s="17" t="s">
        <v>5014</v>
      </c>
      <c r="M122" s="10" t="s">
        <v>4968</v>
      </c>
    </row>
    <row r="123" spans="1:13" x14ac:dyDescent="0.3">
      <c r="A123" t="s">
        <v>737</v>
      </c>
      <c r="B123" s="7" t="s">
        <v>738</v>
      </c>
      <c r="C123" s="7"/>
      <c r="D123" s="7"/>
      <c r="E123" s="7" t="s">
        <v>9</v>
      </c>
      <c r="F123" s="15" t="s">
        <v>4968</v>
      </c>
      <c r="G123" s="15" t="s">
        <v>5016</v>
      </c>
      <c r="H123" s="15" t="s">
        <v>5016</v>
      </c>
      <c r="I123" s="15" t="s">
        <v>4968</v>
      </c>
      <c r="J123" s="15" t="s">
        <v>4968</v>
      </c>
      <c r="K123" s="16">
        <v>2</v>
      </c>
      <c r="L123" s="17" t="s">
        <v>5016</v>
      </c>
      <c r="M123" s="10" t="s">
        <v>4968</v>
      </c>
    </row>
    <row r="124" spans="1:13" x14ac:dyDescent="0.3">
      <c r="A124" t="s">
        <v>739</v>
      </c>
      <c r="B124" s="7" t="s">
        <v>740</v>
      </c>
      <c r="C124" s="7" t="s">
        <v>741</v>
      </c>
      <c r="D124" s="7" t="s">
        <v>742</v>
      </c>
      <c r="E124" s="7" t="s">
        <v>295</v>
      </c>
      <c r="F124" s="15" t="s">
        <v>5017</v>
      </c>
      <c r="G124" s="15" t="s">
        <v>5017</v>
      </c>
      <c r="H124" s="15" t="s">
        <v>5018</v>
      </c>
      <c r="I124" s="15" t="s">
        <v>5017</v>
      </c>
      <c r="J124" s="15" t="s">
        <v>4968</v>
      </c>
      <c r="K124" s="16">
        <v>4</v>
      </c>
      <c r="L124" s="17" t="s">
        <v>5017</v>
      </c>
      <c r="M124" s="10" t="s">
        <v>5019</v>
      </c>
    </row>
    <row r="125" spans="1:13" x14ac:dyDescent="0.3">
      <c r="A125" t="s">
        <v>747</v>
      </c>
      <c r="B125" s="7" t="s">
        <v>748</v>
      </c>
      <c r="C125" s="7"/>
      <c r="D125" s="7" t="s">
        <v>748</v>
      </c>
      <c r="E125" s="7" t="s">
        <v>34</v>
      </c>
      <c r="F125" s="15" t="s">
        <v>748</v>
      </c>
      <c r="G125" s="15" t="s">
        <v>748</v>
      </c>
      <c r="H125" s="15" t="s">
        <v>748</v>
      </c>
      <c r="I125" s="15" t="s">
        <v>4968</v>
      </c>
      <c r="J125" s="15" t="s">
        <v>4968</v>
      </c>
      <c r="K125" s="16">
        <v>3</v>
      </c>
      <c r="L125" s="17" t="s">
        <v>748</v>
      </c>
      <c r="M125" s="10" t="s">
        <v>4968</v>
      </c>
    </row>
    <row r="126" spans="1:13" x14ac:dyDescent="0.3">
      <c r="A126" t="s">
        <v>749</v>
      </c>
      <c r="B126" s="7" t="s">
        <v>750</v>
      </c>
      <c r="C126" s="7" t="s">
        <v>750</v>
      </c>
      <c r="D126" s="7"/>
      <c r="E126" s="7" t="s">
        <v>323</v>
      </c>
      <c r="F126" s="15" t="s">
        <v>750</v>
      </c>
      <c r="G126" s="15" t="s">
        <v>4968</v>
      </c>
      <c r="H126" s="15" t="s">
        <v>750</v>
      </c>
      <c r="I126" s="15" t="s">
        <v>4968</v>
      </c>
      <c r="J126" s="15" t="s">
        <v>4968</v>
      </c>
      <c r="K126" s="16">
        <v>3</v>
      </c>
      <c r="L126" s="17" t="s">
        <v>750</v>
      </c>
      <c r="M126" s="10" t="s">
        <v>4968</v>
      </c>
    </row>
    <row r="127" spans="1:13" x14ac:dyDescent="0.3">
      <c r="A127" t="s">
        <v>759</v>
      </c>
      <c r="B127" s="7"/>
      <c r="C127" s="7"/>
      <c r="D127" s="7"/>
      <c r="E127" s="7" t="s">
        <v>11</v>
      </c>
      <c r="F127" s="15" t="s">
        <v>5020</v>
      </c>
      <c r="G127" s="15" t="s">
        <v>5021</v>
      </c>
      <c r="H127" s="15" t="s">
        <v>5020</v>
      </c>
      <c r="I127" s="15" t="s">
        <v>5020</v>
      </c>
      <c r="J127" s="15" t="s">
        <v>5020</v>
      </c>
      <c r="K127" s="16">
        <v>5</v>
      </c>
      <c r="L127" s="17" t="s">
        <v>5020</v>
      </c>
      <c r="M127" s="10" t="s">
        <v>5022</v>
      </c>
    </row>
    <row r="128" spans="1:13" x14ac:dyDescent="0.3">
      <c r="A128" t="s">
        <v>763</v>
      </c>
      <c r="B128" s="7" t="s">
        <v>764</v>
      </c>
      <c r="C128" s="7" t="s">
        <v>765</v>
      </c>
      <c r="D128" s="7" t="s">
        <v>765</v>
      </c>
      <c r="E128" s="7" t="s">
        <v>23</v>
      </c>
      <c r="F128" s="15" t="s">
        <v>764</v>
      </c>
      <c r="G128" s="15" t="s">
        <v>765</v>
      </c>
      <c r="H128" s="15" t="s">
        <v>765</v>
      </c>
      <c r="I128" s="15" t="s">
        <v>4968</v>
      </c>
      <c r="J128" s="15" t="s">
        <v>4968</v>
      </c>
      <c r="K128" s="16">
        <v>2</v>
      </c>
      <c r="L128" s="17" t="s">
        <v>765</v>
      </c>
      <c r="M128" s="10" t="s">
        <v>4968</v>
      </c>
    </row>
    <row r="129" spans="1:13" x14ac:dyDescent="0.3">
      <c r="A129" t="s">
        <v>766</v>
      </c>
      <c r="B129" s="7" t="s">
        <v>767</v>
      </c>
      <c r="C129" s="7"/>
      <c r="D129" s="7" t="s">
        <v>767</v>
      </c>
      <c r="E129" s="7" t="s">
        <v>34</v>
      </c>
      <c r="F129" s="15" t="s">
        <v>767</v>
      </c>
      <c r="G129" s="15" t="s">
        <v>767</v>
      </c>
      <c r="H129" s="15" t="s">
        <v>767</v>
      </c>
      <c r="I129" s="15" t="s">
        <v>4968</v>
      </c>
      <c r="J129" s="15" t="s">
        <v>4968</v>
      </c>
      <c r="K129" s="16">
        <v>3</v>
      </c>
      <c r="L129" s="17" t="s">
        <v>767</v>
      </c>
      <c r="M129" s="10" t="s">
        <v>4968</v>
      </c>
    </row>
    <row r="130" spans="1:13" x14ac:dyDescent="0.3">
      <c r="A130" t="s">
        <v>770</v>
      </c>
      <c r="B130" s="7" t="s">
        <v>771</v>
      </c>
      <c r="C130" s="7" t="s">
        <v>772</v>
      </c>
      <c r="D130" s="7" t="s">
        <v>771</v>
      </c>
      <c r="E130" s="7" t="s">
        <v>493</v>
      </c>
      <c r="F130" s="15" t="s">
        <v>5023</v>
      </c>
      <c r="G130" s="15" t="s">
        <v>772</v>
      </c>
      <c r="H130" s="15" t="s">
        <v>5023</v>
      </c>
      <c r="I130" s="15" t="s">
        <v>4968</v>
      </c>
      <c r="J130" s="15" t="s">
        <v>4968</v>
      </c>
      <c r="K130" s="16">
        <v>3</v>
      </c>
      <c r="L130" s="17" t="s">
        <v>5023</v>
      </c>
      <c r="M130" s="10" t="s">
        <v>4968</v>
      </c>
    </row>
    <row r="131" spans="1:13" x14ac:dyDescent="0.3">
      <c r="A131" t="s">
        <v>801</v>
      </c>
      <c r="B131" s="7"/>
      <c r="C131" s="7"/>
      <c r="D131" s="7" t="s">
        <v>802</v>
      </c>
      <c r="E131" s="7" t="s">
        <v>9</v>
      </c>
      <c r="F131" s="15" t="s">
        <v>802</v>
      </c>
      <c r="G131" s="15" t="s">
        <v>5024</v>
      </c>
      <c r="H131" s="15" t="s">
        <v>5024</v>
      </c>
      <c r="I131" s="15" t="s">
        <v>4968</v>
      </c>
      <c r="J131" s="15" t="s">
        <v>4968</v>
      </c>
      <c r="K131" s="16">
        <v>2</v>
      </c>
      <c r="L131" s="17" t="s">
        <v>5024</v>
      </c>
      <c r="M131" s="10" t="s">
        <v>4968</v>
      </c>
    </row>
    <row r="132" spans="1:13" x14ac:dyDescent="0.3">
      <c r="A132" t="s">
        <v>803</v>
      </c>
      <c r="B132" s="7" t="s">
        <v>804</v>
      </c>
      <c r="C132" s="7"/>
      <c r="D132" s="7" t="s">
        <v>804</v>
      </c>
      <c r="E132" s="7" t="s">
        <v>34</v>
      </c>
      <c r="F132" s="15" t="s">
        <v>804</v>
      </c>
      <c r="G132" s="15" t="s">
        <v>804</v>
      </c>
      <c r="H132" s="15" t="s">
        <v>804</v>
      </c>
      <c r="I132" s="15" t="s">
        <v>4968</v>
      </c>
      <c r="J132" s="15" t="s">
        <v>4968</v>
      </c>
      <c r="K132" s="16">
        <v>3</v>
      </c>
      <c r="L132" s="17" t="s">
        <v>804</v>
      </c>
      <c r="M132" s="10" t="s">
        <v>4968</v>
      </c>
    </row>
    <row r="133" spans="1:13" x14ac:dyDescent="0.3">
      <c r="A133" t="s">
        <v>809</v>
      </c>
      <c r="B133" s="7" t="s">
        <v>810</v>
      </c>
      <c r="C133" s="7"/>
      <c r="D133" s="7" t="s">
        <v>810</v>
      </c>
      <c r="E133" s="7" t="s">
        <v>34</v>
      </c>
      <c r="F133" s="15" t="s">
        <v>810</v>
      </c>
      <c r="G133" s="15" t="s">
        <v>810</v>
      </c>
      <c r="H133" s="15" t="s">
        <v>810</v>
      </c>
      <c r="I133" s="15" t="s">
        <v>4968</v>
      </c>
      <c r="J133" s="15" t="s">
        <v>4968</v>
      </c>
      <c r="K133" s="16">
        <v>3</v>
      </c>
      <c r="L133" s="17" t="s">
        <v>810</v>
      </c>
      <c r="M133" s="10" t="s">
        <v>4968</v>
      </c>
    </row>
    <row r="134" spans="1:13" x14ac:dyDescent="0.3">
      <c r="A134" t="s">
        <v>813</v>
      </c>
      <c r="B134" s="7" t="s">
        <v>814</v>
      </c>
      <c r="C134" s="7" t="s">
        <v>815</v>
      </c>
      <c r="D134" s="7" t="s">
        <v>814</v>
      </c>
      <c r="E134" s="7" t="s">
        <v>493</v>
      </c>
      <c r="F134" s="15" t="s">
        <v>815</v>
      </c>
      <c r="G134" s="15" t="s">
        <v>814</v>
      </c>
      <c r="H134" s="15" t="s">
        <v>815</v>
      </c>
      <c r="I134" s="15" t="s">
        <v>4968</v>
      </c>
      <c r="J134" s="15" t="s">
        <v>4968</v>
      </c>
      <c r="K134" s="16">
        <v>2</v>
      </c>
      <c r="L134" s="17" t="s">
        <v>815</v>
      </c>
      <c r="M134" s="10" t="s">
        <v>4968</v>
      </c>
    </row>
    <row r="135" spans="1:13" x14ac:dyDescent="0.3">
      <c r="A135" t="s">
        <v>835</v>
      </c>
      <c r="B135" s="7"/>
      <c r="C135" s="7" t="s">
        <v>836</v>
      </c>
      <c r="D135" s="7" t="s">
        <v>836</v>
      </c>
      <c r="E135" s="7" t="s">
        <v>49</v>
      </c>
      <c r="F135" s="15" t="s">
        <v>4968</v>
      </c>
      <c r="G135" s="15" t="s">
        <v>836</v>
      </c>
      <c r="H135" s="15" t="s">
        <v>836</v>
      </c>
      <c r="I135" s="15" t="s">
        <v>4968</v>
      </c>
      <c r="J135" s="15" t="s">
        <v>4968</v>
      </c>
      <c r="K135" s="16">
        <v>2</v>
      </c>
      <c r="L135" s="17" t="s">
        <v>836</v>
      </c>
      <c r="M135" s="10" t="s">
        <v>4968</v>
      </c>
    </row>
    <row r="136" spans="1:13" x14ac:dyDescent="0.3">
      <c r="A136" t="s">
        <v>837</v>
      </c>
      <c r="B136" s="7" t="s">
        <v>838</v>
      </c>
      <c r="C136" s="7"/>
      <c r="D136" s="7" t="s">
        <v>838</v>
      </c>
      <c r="E136" s="7" t="s">
        <v>34</v>
      </c>
      <c r="F136" s="15" t="s">
        <v>5025</v>
      </c>
      <c r="G136" s="15" t="s">
        <v>5025</v>
      </c>
      <c r="H136" s="15" t="s">
        <v>5025</v>
      </c>
      <c r="I136" s="15" t="s">
        <v>4968</v>
      </c>
      <c r="J136" s="15" t="s">
        <v>4968</v>
      </c>
      <c r="K136" s="16">
        <v>3</v>
      </c>
      <c r="L136" s="17" t="s">
        <v>5025</v>
      </c>
      <c r="M136" s="10" t="s">
        <v>4968</v>
      </c>
    </row>
    <row r="137" spans="1:13" x14ac:dyDescent="0.3">
      <c r="A137" t="s">
        <v>845</v>
      </c>
      <c r="B137" s="7"/>
      <c r="C137" s="7" t="s">
        <v>846</v>
      </c>
      <c r="D137" s="7" t="s">
        <v>846</v>
      </c>
      <c r="E137" s="7" t="s">
        <v>49</v>
      </c>
      <c r="F137" s="15" t="s">
        <v>5026</v>
      </c>
      <c r="G137" s="15" t="s">
        <v>846</v>
      </c>
      <c r="H137" s="15" t="s">
        <v>846</v>
      </c>
      <c r="I137" s="15" t="s">
        <v>4968</v>
      </c>
      <c r="J137" s="15" t="s">
        <v>4968</v>
      </c>
      <c r="K137" s="16">
        <v>3</v>
      </c>
      <c r="L137" s="17" t="s">
        <v>5026</v>
      </c>
      <c r="M137" s="10" t="s">
        <v>4968</v>
      </c>
    </row>
    <row r="138" spans="1:13" x14ac:dyDescent="0.3">
      <c r="A138" t="s">
        <v>847</v>
      </c>
      <c r="B138" s="7" t="s">
        <v>848</v>
      </c>
      <c r="C138" s="7" t="s">
        <v>849</v>
      </c>
      <c r="D138" s="7" t="s">
        <v>849</v>
      </c>
      <c r="E138" s="7" t="s">
        <v>23</v>
      </c>
      <c r="F138" s="15" t="s">
        <v>849</v>
      </c>
      <c r="G138" s="15" t="s">
        <v>849</v>
      </c>
      <c r="H138" s="15" t="s">
        <v>849</v>
      </c>
      <c r="I138" s="15" t="s">
        <v>4968</v>
      </c>
      <c r="J138" s="15" t="s">
        <v>4968</v>
      </c>
      <c r="K138" s="16">
        <v>3</v>
      </c>
      <c r="L138" s="17" t="s">
        <v>849</v>
      </c>
      <c r="M138" s="10" t="s">
        <v>4968</v>
      </c>
    </row>
    <row r="139" spans="1:13" x14ac:dyDescent="0.3">
      <c r="A139" t="s">
        <v>850</v>
      </c>
      <c r="B139" s="7"/>
      <c r="C139" s="7"/>
      <c r="D139" s="7" t="s">
        <v>851</v>
      </c>
      <c r="E139" s="7" t="s">
        <v>9</v>
      </c>
      <c r="F139" s="15" t="s">
        <v>4968</v>
      </c>
      <c r="G139" s="15" t="s">
        <v>5027</v>
      </c>
      <c r="H139" s="15" t="s">
        <v>5027</v>
      </c>
      <c r="I139" s="15" t="s">
        <v>4968</v>
      </c>
      <c r="J139" s="15" t="s">
        <v>4968</v>
      </c>
      <c r="K139" s="16">
        <v>2</v>
      </c>
      <c r="L139" s="17" t="s">
        <v>5028</v>
      </c>
      <c r="M139" s="10" t="s">
        <v>4968</v>
      </c>
    </row>
    <row r="140" spans="1:13" x14ac:dyDescent="0.3">
      <c r="A140" t="s">
        <v>852</v>
      </c>
      <c r="B140" s="7" t="s">
        <v>853</v>
      </c>
      <c r="C140" s="7"/>
      <c r="D140" s="7" t="s">
        <v>853</v>
      </c>
      <c r="E140" s="7" t="s">
        <v>34</v>
      </c>
      <c r="F140" s="15" t="s">
        <v>853</v>
      </c>
      <c r="G140" s="15" t="s">
        <v>853</v>
      </c>
      <c r="H140" s="15" t="s">
        <v>853</v>
      </c>
      <c r="I140" s="15" t="s">
        <v>4968</v>
      </c>
      <c r="J140" s="15" t="s">
        <v>4968</v>
      </c>
      <c r="K140" s="16">
        <v>3</v>
      </c>
      <c r="L140" s="17" t="s">
        <v>853</v>
      </c>
      <c r="M140" s="10" t="s">
        <v>4968</v>
      </c>
    </row>
    <row r="141" spans="1:13" x14ac:dyDescent="0.3">
      <c r="A141" t="s">
        <v>860</v>
      </c>
      <c r="B141" s="7"/>
      <c r="C141" s="7" t="s">
        <v>861</v>
      </c>
      <c r="D141" s="7" t="s">
        <v>861</v>
      </c>
      <c r="E141" s="7" t="s">
        <v>49</v>
      </c>
      <c r="F141" s="15" t="s">
        <v>861</v>
      </c>
      <c r="G141" s="15" t="s">
        <v>861</v>
      </c>
      <c r="H141" s="15" t="s">
        <v>861</v>
      </c>
      <c r="I141" s="15" t="s">
        <v>4968</v>
      </c>
      <c r="J141" s="15" t="s">
        <v>4968</v>
      </c>
      <c r="K141" s="16">
        <v>3</v>
      </c>
      <c r="L141" s="17" t="s">
        <v>861</v>
      </c>
      <c r="M141" s="10" t="s">
        <v>4968</v>
      </c>
    </row>
    <row r="142" spans="1:13" x14ac:dyDescent="0.3">
      <c r="A142" t="s">
        <v>866</v>
      </c>
      <c r="B142" s="7" t="s">
        <v>867</v>
      </c>
      <c r="C142" s="7"/>
      <c r="D142" s="7" t="s">
        <v>867</v>
      </c>
      <c r="E142" s="7" t="s">
        <v>34</v>
      </c>
      <c r="F142" s="15" t="s">
        <v>867</v>
      </c>
      <c r="G142" s="15" t="s">
        <v>5029</v>
      </c>
      <c r="H142" s="15" t="s">
        <v>867</v>
      </c>
      <c r="I142" s="15" t="s">
        <v>4968</v>
      </c>
      <c r="J142" s="15" t="s">
        <v>4968</v>
      </c>
      <c r="K142" s="16">
        <v>3</v>
      </c>
      <c r="L142" s="17" t="s">
        <v>5029</v>
      </c>
      <c r="M142" s="10" t="s">
        <v>4968</v>
      </c>
    </row>
    <row r="143" spans="1:13" x14ac:dyDescent="0.3">
      <c r="A143" t="s">
        <v>885</v>
      </c>
      <c r="B143" s="7" t="s">
        <v>886</v>
      </c>
      <c r="C143" s="7"/>
      <c r="D143" s="7" t="s">
        <v>886</v>
      </c>
      <c r="E143" s="7" t="s">
        <v>34</v>
      </c>
      <c r="F143" s="15" t="s">
        <v>886</v>
      </c>
      <c r="G143" s="15" t="s">
        <v>886</v>
      </c>
      <c r="H143" s="15" t="s">
        <v>886</v>
      </c>
      <c r="I143" s="15" t="s">
        <v>4968</v>
      </c>
      <c r="J143" s="15" t="s">
        <v>4968</v>
      </c>
      <c r="K143" s="16">
        <v>3</v>
      </c>
      <c r="L143" s="17" t="s">
        <v>886</v>
      </c>
      <c r="M143" s="10" t="s">
        <v>4968</v>
      </c>
    </row>
    <row r="144" spans="1:13" x14ac:dyDescent="0.3">
      <c r="A144" t="s">
        <v>890</v>
      </c>
      <c r="B144" s="7"/>
      <c r="C144" s="7" t="s">
        <v>891</v>
      </c>
      <c r="D144" s="7" t="s">
        <v>892</v>
      </c>
      <c r="E144" s="7" t="s">
        <v>9</v>
      </c>
      <c r="F144" s="15" t="s">
        <v>5030</v>
      </c>
      <c r="G144" s="15" t="s">
        <v>891</v>
      </c>
      <c r="H144" s="15" t="s">
        <v>891</v>
      </c>
      <c r="I144" s="15" t="s">
        <v>4968</v>
      </c>
      <c r="J144" s="15" t="s">
        <v>4968</v>
      </c>
      <c r="K144" s="16">
        <v>2</v>
      </c>
      <c r="L144" s="17" t="s">
        <v>891</v>
      </c>
      <c r="M144" s="10" t="s">
        <v>4968</v>
      </c>
    </row>
    <row r="145" spans="1:13" x14ac:dyDescent="0.3">
      <c r="A145" t="s">
        <v>898</v>
      </c>
      <c r="B145" s="7" t="s">
        <v>899</v>
      </c>
      <c r="C145" s="7" t="s">
        <v>900</v>
      </c>
      <c r="D145" s="7" t="s">
        <v>901</v>
      </c>
      <c r="E145" s="7" t="s">
        <v>295</v>
      </c>
      <c r="F145" s="15" t="s">
        <v>899</v>
      </c>
      <c r="G145" s="15" t="s">
        <v>901</v>
      </c>
      <c r="H145" s="15" t="s">
        <v>5031</v>
      </c>
      <c r="I145" s="15" t="s">
        <v>899</v>
      </c>
      <c r="J145" s="15" t="s">
        <v>899</v>
      </c>
      <c r="K145" s="16">
        <v>2</v>
      </c>
      <c r="L145" s="17" t="s">
        <v>900</v>
      </c>
      <c r="M145" s="10" t="s">
        <v>5032</v>
      </c>
    </row>
    <row r="146" spans="1:13" x14ac:dyDescent="0.3">
      <c r="A146" t="s">
        <v>902</v>
      </c>
      <c r="B146" s="7" t="s">
        <v>899</v>
      </c>
      <c r="C146" s="7" t="s">
        <v>899</v>
      </c>
      <c r="D146" s="7" t="s">
        <v>903</v>
      </c>
      <c r="E146" s="7" t="s">
        <v>15</v>
      </c>
      <c r="F146" s="15" t="s">
        <v>899</v>
      </c>
      <c r="G146" s="15" t="s">
        <v>899</v>
      </c>
      <c r="H146" s="15" t="s">
        <v>899</v>
      </c>
      <c r="I146" s="15" t="s">
        <v>4968</v>
      </c>
      <c r="J146" s="15" t="s">
        <v>4968</v>
      </c>
      <c r="K146" s="16">
        <v>3</v>
      </c>
      <c r="L146" s="17" t="s">
        <v>899</v>
      </c>
      <c r="M146" s="10" t="s">
        <v>4968</v>
      </c>
    </row>
    <row r="147" spans="1:13" x14ac:dyDescent="0.3">
      <c r="A147" t="s">
        <v>904</v>
      </c>
      <c r="B147" s="7" t="s">
        <v>905</v>
      </c>
      <c r="C147" s="7" t="s">
        <v>906</v>
      </c>
      <c r="D147" s="7" t="s">
        <v>905</v>
      </c>
      <c r="E147" s="7" t="s">
        <v>493</v>
      </c>
      <c r="F147" s="15" t="s">
        <v>905</v>
      </c>
      <c r="G147" s="15" t="s">
        <v>905</v>
      </c>
      <c r="H147" s="15" t="s">
        <v>906</v>
      </c>
      <c r="I147" s="15" t="s">
        <v>905</v>
      </c>
      <c r="J147" s="15" t="s">
        <v>905</v>
      </c>
      <c r="K147" s="16">
        <v>5</v>
      </c>
      <c r="L147" s="17" t="s">
        <v>905</v>
      </c>
      <c r="M147" s="10" t="s">
        <v>5033</v>
      </c>
    </row>
    <row r="148" spans="1:13" x14ac:dyDescent="0.3">
      <c r="A148" t="s">
        <v>917</v>
      </c>
      <c r="B148" s="7"/>
      <c r="C148" s="7" t="s">
        <v>918</v>
      </c>
      <c r="D148" s="7" t="s">
        <v>918</v>
      </c>
      <c r="E148" s="7" t="s">
        <v>49</v>
      </c>
      <c r="F148" s="15" t="s">
        <v>918</v>
      </c>
      <c r="G148" s="15" t="s">
        <v>918</v>
      </c>
      <c r="H148" s="15" t="s">
        <v>918</v>
      </c>
      <c r="I148" s="15" t="s">
        <v>4968</v>
      </c>
      <c r="J148" s="15" t="s">
        <v>4968</v>
      </c>
      <c r="K148" s="16">
        <v>3</v>
      </c>
      <c r="L148" s="17" t="s">
        <v>918</v>
      </c>
      <c r="M148" s="10" t="s">
        <v>4968</v>
      </c>
    </row>
    <row r="149" spans="1:13" x14ac:dyDescent="0.3">
      <c r="A149" t="s">
        <v>919</v>
      </c>
      <c r="B149" s="7" t="s">
        <v>920</v>
      </c>
      <c r="C149" s="7"/>
      <c r="D149" s="7" t="s">
        <v>920</v>
      </c>
      <c r="E149" s="7" t="s">
        <v>34</v>
      </c>
      <c r="F149" s="15" t="s">
        <v>920</v>
      </c>
      <c r="G149" s="15" t="s">
        <v>920</v>
      </c>
      <c r="H149" s="15" t="s">
        <v>920</v>
      </c>
      <c r="I149" s="15" t="s">
        <v>4968</v>
      </c>
      <c r="J149" s="15" t="s">
        <v>4968</v>
      </c>
      <c r="K149" s="16">
        <v>3</v>
      </c>
      <c r="L149" s="17" t="s">
        <v>920</v>
      </c>
      <c r="M149" s="10" t="s">
        <v>4968</v>
      </c>
    </row>
    <row r="150" spans="1:13" x14ac:dyDescent="0.3">
      <c r="A150" t="s">
        <v>927</v>
      </c>
      <c r="B150" s="7" t="s">
        <v>928</v>
      </c>
      <c r="C150" s="7" t="s">
        <v>929</v>
      </c>
      <c r="D150" s="7" t="s">
        <v>929</v>
      </c>
      <c r="E150" s="7" t="s">
        <v>23</v>
      </c>
      <c r="F150" s="15" t="s">
        <v>929</v>
      </c>
      <c r="G150" s="15" t="s">
        <v>929</v>
      </c>
      <c r="H150" s="15" t="s">
        <v>929</v>
      </c>
      <c r="I150" s="15" t="s">
        <v>4968</v>
      </c>
      <c r="J150" s="15" t="s">
        <v>4968</v>
      </c>
      <c r="K150" s="16">
        <v>3</v>
      </c>
      <c r="L150" s="17" t="s">
        <v>929</v>
      </c>
      <c r="M150" s="10" t="s">
        <v>4968</v>
      </c>
    </row>
    <row r="151" spans="1:13" x14ac:dyDescent="0.3">
      <c r="A151" t="s">
        <v>932</v>
      </c>
      <c r="B151" s="7" t="s">
        <v>933</v>
      </c>
      <c r="C151" s="7" t="s">
        <v>933</v>
      </c>
      <c r="D151" s="7"/>
      <c r="E151" s="7" t="s">
        <v>323</v>
      </c>
      <c r="F151" s="15" t="s">
        <v>933</v>
      </c>
      <c r="G151" s="15" t="s">
        <v>4968</v>
      </c>
      <c r="H151" s="15" t="s">
        <v>933</v>
      </c>
      <c r="I151" s="15" t="s">
        <v>4968</v>
      </c>
      <c r="J151" s="15" t="s">
        <v>4968</v>
      </c>
      <c r="K151" s="16">
        <v>2</v>
      </c>
      <c r="L151" s="17" t="s">
        <v>933</v>
      </c>
      <c r="M151" s="10" t="s">
        <v>4968</v>
      </c>
    </row>
    <row r="152" spans="1:13" x14ac:dyDescent="0.3">
      <c r="A152" t="s">
        <v>960</v>
      </c>
      <c r="B152" s="7" t="s">
        <v>961</v>
      </c>
      <c r="C152" s="7"/>
      <c r="D152" s="7" t="s">
        <v>961</v>
      </c>
      <c r="E152" s="7" t="s">
        <v>34</v>
      </c>
      <c r="F152" s="15" t="s">
        <v>961</v>
      </c>
      <c r="G152" s="15" t="s">
        <v>961</v>
      </c>
      <c r="H152" s="15" t="s">
        <v>961</v>
      </c>
      <c r="I152" s="15" t="s">
        <v>4968</v>
      </c>
      <c r="J152" s="15" t="s">
        <v>4968</v>
      </c>
      <c r="K152" s="16">
        <v>3</v>
      </c>
      <c r="L152" s="17" t="s">
        <v>961</v>
      </c>
      <c r="M152" s="10" t="s">
        <v>4968</v>
      </c>
    </row>
    <row r="153" spans="1:13" x14ac:dyDescent="0.3">
      <c r="A153" t="s">
        <v>964</v>
      </c>
      <c r="B153" s="7" t="s">
        <v>965</v>
      </c>
      <c r="C153" s="7"/>
      <c r="D153" s="7" t="s">
        <v>965</v>
      </c>
      <c r="E153" s="7" t="s">
        <v>34</v>
      </c>
      <c r="F153" s="15" t="s">
        <v>965</v>
      </c>
      <c r="G153" s="15" t="s">
        <v>965</v>
      </c>
      <c r="H153" s="15" t="s">
        <v>965</v>
      </c>
      <c r="I153" s="15" t="s">
        <v>4968</v>
      </c>
      <c r="J153" s="15" t="s">
        <v>4968</v>
      </c>
      <c r="K153" s="16">
        <v>3</v>
      </c>
      <c r="L153" s="17" t="s">
        <v>965</v>
      </c>
      <c r="M153" s="10" t="s">
        <v>4968</v>
      </c>
    </row>
    <row r="154" spans="1:13" x14ac:dyDescent="0.3">
      <c r="A154" t="s">
        <v>968</v>
      </c>
      <c r="B154" s="7"/>
      <c r="C154" s="7" t="s">
        <v>969</v>
      </c>
      <c r="D154" s="7" t="s">
        <v>969</v>
      </c>
      <c r="E154" s="7" t="s">
        <v>49</v>
      </c>
      <c r="F154" s="15" t="s">
        <v>969</v>
      </c>
      <c r="G154" s="15" t="s">
        <v>969</v>
      </c>
      <c r="H154" s="15" t="s">
        <v>969</v>
      </c>
      <c r="I154" s="15" t="s">
        <v>4968</v>
      </c>
      <c r="J154" s="15" t="s">
        <v>4968</v>
      </c>
      <c r="K154" s="16">
        <v>3</v>
      </c>
      <c r="L154" s="17" t="s">
        <v>969</v>
      </c>
      <c r="M154" s="10" t="s">
        <v>4968</v>
      </c>
    </row>
    <row r="155" spans="1:13" x14ac:dyDescent="0.3">
      <c r="A155" t="s">
        <v>970</v>
      </c>
      <c r="B155" s="7" t="s">
        <v>971</v>
      </c>
      <c r="C155" s="7"/>
      <c r="D155" s="7" t="s">
        <v>971</v>
      </c>
      <c r="E155" s="7" t="s">
        <v>34</v>
      </c>
      <c r="F155" s="15" t="s">
        <v>971</v>
      </c>
      <c r="G155" s="15" t="s">
        <v>4968</v>
      </c>
      <c r="H155" s="15" t="s">
        <v>971</v>
      </c>
      <c r="I155" s="15" t="s">
        <v>4968</v>
      </c>
      <c r="J155" s="15" t="s">
        <v>4968</v>
      </c>
      <c r="K155" s="16" t="s">
        <v>4968</v>
      </c>
      <c r="L155" s="17" t="s">
        <v>4968</v>
      </c>
      <c r="M155" s="10" t="s">
        <v>4968</v>
      </c>
    </row>
    <row r="156" spans="1:13" x14ac:dyDescent="0.3">
      <c r="A156" t="s">
        <v>972</v>
      </c>
      <c r="B156" s="7" t="s">
        <v>973</v>
      </c>
      <c r="C156" s="7" t="s">
        <v>974</v>
      </c>
      <c r="D156" s="7" t="s">
        <v>973</v>
      </c>
      <c r="E156" s="7" t="s">
        <v>493</v>
      </c>
      <c r="F156" s="15" t="s">
        <v>973</v>
      </c>
      <c r="G156" s="15" t="s">
        <v>973</v>
      </c>
      <c r="H156" s="15" t="s">
        <v>974</v>
      </c>
      <c r="I156" s="15" t="s">
        <v>973</v>
      </c>
      <c r="J156" s="15" t="s">
        <v>973</v>
      </c>
      <c r="K156" s="16">
        <v>5</v>
      </c>
      <c r="L156" s="17" t="s">
        <v>973</v>
      </c>
      <c r="M156" s="10" t="s">
        <v>5034</v>
      </c>
    </row>
    <row r="157" spans="1:13" x14ac:dyDescent="0.3">
      <c r="A157" t="s">
        <v>977</v>
      </c>
      <c r="B157" s="7" t="s">
        <v>978</v>
      </c>
      <c r="C157" s="7"/>
      <c r="D157" s="7" t="s">
        <v>978</v>
      </c>
      <c r="E157" s="7" t="s">
        <v>34</v>
      </c>
      <c r="F157" s="15" t="s">
        <v>978</v>
      </c>
      <c r="G157" s="15" t="s">
        <v>978</v>
      </c>
      <c r="H157" s="15" t="s">
        <v>978</v>
      </c>
      <c r="I157" s="15" t="s">
        <v>4968</v>
      </c>
      <c r="J157" s="15" t="s">
        <v>4968</v>
      </c>
      <c r="K157" s="16">
        <v>3</v>
      </c>
      <c r="L157" s="17" t="s">
        <v>978</v>
      </c>
      <c r="M157" s="10" t="s">
        <v>4968</v>
      </c>
    </row>
    <row r="158" spans="1:13" x14ac:dyDescent="0.3">
      <c r="A158" t="s">
        <v>985</v>
      </c>
      <c r="B158" s="7" t="s">
        <v>986</v>
      </c>
      <c r="C158" s="7"/>
      <c r="D158" s="7" t="s">
        <v>986</v>
      </c>
      <c r="E158" s="7" t="s">
        <v>34</v>
      </c>
      <c r="F158" s="15" t="s">
        <v>986</v>
      </c>
      <c r="G158" s="15" t="s">
        <v>986</v>
      </c>
      <c r="H158" s="15" t="s">
        <v>986</v>
      </c>
      <c r="I158" s="15" t="s">
        <v>4968</v>
      </c>
      <c r="J158" s="15" t="s">
        <v>4968</v>
      </c>
      <c r="K158" s="16">
        <v>3</v>
      </c>
      <c r="L158" s="17" t="s">
        <v>986</v>
      </c>
      <c r="M158" s="10" t="s">
        <v>4968</v>
      </c>
    </row>
    <row r="159" spans="1:13" x14ac:dyDescent="0.3">
      <c r="A159" t="s">
        <v>1003</v>
      </c>
      <c r="B159" s="7" t="s">
        <v>1004</v>
      </c>
      <c r="C159" s="7" t="s">
        <v>1004</v>
      </c>
      <c r="D159" s="7" t="s">
        <v>1005</v>
      </c>
      <c r="E159" s="7" t="s">
        <v>15</v>
      </c>
      <c r="F159" s="15" t="s">
        <v>1004</v>
      </c>
      <c r="G159" s="15" t="s">
        <v>1005</v>
      </c>
      <c r="H159" s="15" t="s">
        <v>5035</v>
      </c>
      <c r="I159" s="15" t="s">
        <v>5035</v>
      </c>
      <c r="J159" s="15" t="s">
        <v>5035</v>
      </c>
      <c r="K159" s="16">
        <v>4</v>
      </c>
      <c r="L159" s="17" t="s">
        <v>5035</v>
      </c>
      <c r="M159" s="10" t="s">
        <v>5036</v>
      </c>
    </row>
    <row r="160" spans="1:13" x14ac:dyDescent="0.3">
      <c r="A160" t="s">
        <v>1008</v>
      </c>
      <c r="B160" s="7" t="s">
        <v>1009</v>
      </c>
      <c r="C160" s="7" t="s">
        <v>1009</v>
      </c>
      <c r="D160" s="7" t="s">
        <v>1010</v>
      </c>
      <c r="E160" s="7" t="s">
        <v>15</v>
      </c>
      <c r="F160" s="15" t="s">
        <v>1009</v>
      </c>
      <c r="G160" s="15" t="s">
        <v>1010</v>
      </c>
      <c r="H160" s="15" t="s">
        <v>1009</v>
      </c>
      <c r="I160" s="15" t="s">
        <v>4968</v>
      </c>
      <c r="J160" s="15" t="s">
        <v>4968</v>
      </c>
      <c r="K160" s="16">
        <v>2</v>
      </c>
      <c r="L160" s="17" t="s">
        <v>5037</v>
      </c>
      <c r="M160" s="10" t="s">
        <v>4968</v>
      </c>
    </row>
    <row r="161" spans="1:13" x14ac:dyDescent="0.3">
      <c r="A161" t="s">
        <v>1011</v>
      </c>
      <c r="B161" s="7" t="s">
        <v>1012</v>
      </c>
      <c r="C161" s="7" t="s">
        <v>1012</v>
      </c>
      <c r="D161" s="7" t="s">
        <v>1013</v>
      </c>
      <c r="E161" s="7" t="s">
        <v>15</v>
      </c>
      <c r="F161" s="15" t="s">
        <v>1012</v>
      </c>
      <c r="G161" s="15" t="s">
        <v>1013</v>
      </c>
      <c r="H161" s="15" t="s">
        <v>1012</v>
      </c>
      <c r="I161" s="15" t="s">
        <v>4968</v>
      </c>
      <c r="J161" s="15" t="s">
        <v>4968</v>
      </c>
      <c r="K161" s="16">
        <v>2</v>
      </c>
      <c r="L161" s="17" t="s">
        <v>1012</v>
      </c>
      <c r="M161" s="10" t="s">
        <v>4968</v>
      </c>
    </row>
    <row r="162" spans="1:13" x14ac:dyDescent="0.3">
      <c r="A162" t="s">
        <v>1018</v>
      </c>
      <c r="B162" s="7" t="s">
        <v>1019</v>
      </c>
      <c r="C162" s="7" t="s">
        <v>1020</v>
      </c>
      <c r="D162" s="7" t="s">
        <v>1020</v>
      </c>
      <c r="E162" s="7" t="s">
        <v>23</v>
      </c>
      <c r="F162" s="15" t="s">
        <v>1019</v>
      </c>
      <c r="G162" s="15" t="s">
        <v>1020</v>
      </c>
      <c r="H162" s="15" t="s">
        <v>1020</v>
      </c>
      <c r="I162" s="15" t="s">
        <v>4968</v>
      </c>
      <c r="J162" s="15" t="s">
        <v>4968</v>
      </c>
      <c r="K162" s="16">
        <v>2</v>
      </c>
      <c r="L162" s="17" t="s">
        <v>1020</v>
      </c>
      <c r="M162" s="10" t="s">
        <v>4968</v>
      </c>
    </row>
    <row r="163" spans="1:13" x14ac:dyDescent="0.3">
      <c r="A163" t="s">
        <v>1023</v>
      </c>
      <c r="B163" s="7" t="s">
        <v>1024</v>
      </c>
      <c r="C163" s="7" t="s">
        <v>1020</v>
      </c>
      <c r="D163" s="7" t="s">
        <v>1020</v>
      </c>
      <c r="E163" s="7" t="s">
        <v>23</v>
      </c>
      <c r="F163" s="15" t="s">
        <v>1024</v>
      </c>
      <c r="G163" s="15" t="s">
        <v>1020</v>
      </c>
      <c r="H163" s="15" t="s">
        <v>1020</v>
      </c>
      <c r="I163" s="15" t="s">
        <v>4968</v>
      </c>
      <c r="J163" s="15" t="s">
        <v>4968</v>
      </c>
      <c r="K163" s="16">
        <v>2</v>
      </c>
      <c r="L163" s="17" t="s">
        <v>1020</v>
      </c>
      <c r="M163" s="10" t="s">
        <v>4968</v>
      </c>
    </row>
    <row r="164" spans="1:13" x14ac:dyDescent="0.3">
      <c r="A164" t="s">
        <v>1025</v>
      </c>
      <c r="B164" s="7" t="s">
        <v>1026</v>
      </c>
      <c r="C164" s="7" t="s">
        <v>1026</v>
      </c>
      <c r="D164" s="7"/>
      <c r="E164" s="7" t="s">
        <v>323</v>
      </c>
      <c r="F164" s="15" t="s">
        <v>1026</v>
      </c>
      <c r="G164" s="15" t="s">
        <v>5039</v>
      </c>
      <c r="H164" s="15" t="s">
        <v>1026</v>
      </c>
      <c r="I164" s="15" t="s">
        <v>4968</v>
      </c>
      <c r="J164" s="15" t="s">
        <v>4968</v>
      </c>
      <c r="K164" s="16">
        <v>3</v>
      </c>
      <c r="L164" s="17" t="s">
        <v>5039</v>
      </c>
      <c r="M164" s="10" t="s">
        <v>4968</v>
      </c>
    </row>
    <row r="165" spans="1:13" x14ac:dyDescent="0.3">
      <c r="A165" t="s">
        <v>1039</v>
      </c>
      <c r="B165" s="7"/>
      <c r="C165" s="7" t="s">
        <v>1040</v>
      </c>
      <c r="D165" s="7" t="s">
        <v>1040</v>
      </c>
      <c r="E165" s="7" t="s">
        <v>49</v>
      </c>
      <c r="F165" s="15" t="s">
        <v>5040</v>
      </c>
      <c r="G165" s="15" t="s">
        <v>1040</v>
      </c>
      <c r="H165" s="15" t="s">
        <v>1040</v>
      </c>
      <c r="I165" s="15" t="s">
        <v>4968</v>
      </c>
      <c r="J165" s="15" t="s">
        <v>4968</v>
      </c>
      <c r="K165" s="16">
        <v>3</v>
      </c>
      <c r="L165" s="17" t="s">
        <v>5040</v>
      </c>
      <c r="M165" s="10" t="s">
        <v>4968</v>
      </c>
    </row>
    <row r="166" spans="1:13" x14ac:dyDescent="0.3">
      <c r="A166" t="s">
        <v>1043</v>
      </c>
      <c r="B166" s="7" t="s">
        <v>1044</v>
      </c>
      <c r="C166" s="7"/>
      <c r="D166" s="7" t="s">
        <v>1044</v>
      </c>
      <c r="E166" s="7" t="s">
        <v>34</v>
      </c>
      <c r="F166" s="15" t="s">
        <v>1044</v>
      </c>
      <c r="G166" s="15" t="s">
        <v>1044</v>
      </c>
      <c r="H166" s="15" t="s">
        <v>1044</v>
      </c>
      <c r="I166" s="15" t="s">
        <v>4968</v>
      </c>
      <c r="J166" s="15" t="s">
        <v>4968</v>
      </c>
      <c r="K166" s="16">
        <v>3</v>
      </c>
      <c r="L166" s="17" t="s">
        <v>1044</v>
      </c>
      <c r="M166" s="10" t="s">
        <v>4968</v>
      </c>
    </row>
    <row r="167" spans="1:13" x14ac:dyDescent="0.3">
      <c r="A167" t="s">
        <v>1048</v>
      </c>
      <c r="B167" s="7" t="s">
        <v>1049</v>
      </c>
      <c r="C167" s="7" t="s">
        <v>1050</v>
      </c>
      <c r="D167" s="7" t="s">
        <v>1049</v>
      </c>
      <c r="E167" s="7" t="s">
        <v>493</v>
      </c>
      <c r="F167" s="15" t="s">
        <v>5041</v>
      </c>
      <c r="G167" s="15" t="s">
        <v>1050</v>
      </c>
      <c r="H167" s="15" t="s">
        <v>1050</v>
      </c>
      <c r="I167" s="15" t="s">
        <v>4968</v>
      </c>
      <c r="J167" s="15" t="s">
        <v>4968</v>
      </c>
      <c r="K167" s="16">
        <v>2</v>
      </c>
      <c r="L167" s="17" t="s">
        <v>1050</v>
      </c>
      <c r="M167" s="10" t="s">
        <v>4968</v>
      </c>
    </row>
    <row r="168" spans="1:13" x14ac:dyDescent="0.3">
      <c r="A168" t="s">
        <v>1055</v>
      </c>
      <c r="B168" s="7" t="s">
        <v>1056</v>
      </c>
      <c r="C168" s="7" t="s">
        <v>1056</v>
      </c>
      <c r="D168" s="7" t="s">
        <v>1057</v>
      </c>
      <c r="E168" s="7" t="s">
        <v>15</v>
      </c>
      <c r="F168" s="15" t="s">
        <v>1056</v>
      </c>
      <c r="G168" s="15" t="s">
        <v>1057</v>
      </c>
      <c r="H168" s="15" t="s">
        <v>1056</v>
      </c>
      <c r="I168" s="15" t="s">
        <v>4968</v>
      </c>
      <c r="J168" s="15" t="s">
        <v>4968</v>
      </c>
      <c r="K168" s="16">
        <v>2</v>
      </c>
      <c r="L168" s="17" t="s">
        <v>1056</v>
      </c>
      <c r="M168" s="10" t="s">
        <v>4968</v>
      </c>
    </row>
    <row r="169" spans="1:13" x14ac:dyDescent="0.3">
      <c r="A169" t="s">
        <v>1070</v>
      </c>
      <c r="B169" s="7" t="s">
        <v>1071</v>
      </c>
      <c r="C169" s="7" t="s">
        <v>1072</v>
      </c>
      <c r="D169" s="7" t="s">
        <v>1071</v>
      </c>
      <c r="E169" s="7" t="s">
        <v>493</v>
      </c>
      <c r="F169" s="15" t="s">
        <v>1072</v>
      </c>
      <c r="G169" s="15" t="s">
        <v>1071</v>
      </c>
      <c r="H169" s="15" t="s">
        <v>1072</v>
      </c>
      <c r="I169" s="15" t="s">
        <v>4968</v>
      </c>
      <c r="J169" s="15" t="s">
        <v>4968</v>
      </c>
      <c r="K169" s="16">
        <v>2</v>
      </c>
      <c r="L169" s="17" t="s">
        <v>1072</v>
      </c>
      <c r="M169" s="10" t="s">
        <v>4968</v>
      </c>
    </row>
    <row r="170" spans="1:13" x14ac:dyDescent="0.3">
      <c r="A170" t="s">
        <v>1083</v>
      </c>
      <c r="B170" s="7" t="s">
        <v>1084</v>
      </c>
      <c r="C170" s="7"/>
      <c r="D170" s="7" t="s">
        <v>1084</v>
      </c>
      <c r="E170" s="7" t="s">
        <v>34</v>
      </c>
      <c r="F170" s="15" t="s">
        <v>1084</v>
      </c>
      <c r="G170" s="15" t="s">
        <v>1084</v>
      </c>
      <c r="H170" s="15" t="s">
        <v>1084</v>
      </c>
      <c r="I170" s="15" t="s">
        <v>4968</v>
      </c>
      <c r="J170" s="15" t="s">
        <v>4968</v>
      </c>
      <c r="K170" s="16">
        <v>3</v>
      </c>
      <c r="L170" s="17" t="s">
        <v>1084</v>
      </c>
      <c r="M170" s="10" t="s">
        <v>4968</v>
      </c>
    </row>
    <row r="171" spans="1:13" x14ac:dyDescent="0.3">
      <c r="A171" t="s">
        <v>1089</v>
      </c>
      <c r="B171" s="7" t="s">
        <v>1090</v>
      </c>
      <c r="C171" s="7"/>
      <c r="D171" s="7" t="s">
        <v>1090</v>
      </c>
      <c r="E171" s="7" t="s">
        <v>34</v>
      </c>
      <c r="F171" s="15" t="s">
        <v>1090</v>
      </c>
      <c r="G171" s="15" t="s">
        <v>1090</v>
      </c>
      <c r="H171" s="15" t="s">
        <v>1090</v>
      </c>
      <c r="I171" s="15" t="s">
        <v>4968</v>
      </c>
      <c r="J171" s="15" t="s">
        <v>4968</v>
      </c>
      <c r="K171" s="16">
        <v>3</v>
      </c>
      <c r="L171" s="17" t="s">
        <v>1090</v>
      </c>
      <c r="M171" s="10" t="s">
        <v>4968</v>
      </c>
    </row>
    <row r="172" spans="1:13" x14ac:dyDescent="0.3">
      <c r="A172" t="s">
        <v>1095</v>
      </c>
      <c r="B172" s="7"/>
      <c r="C172" s="7" t="s">
        <v>1096</v>
      </c>
      <c r="D172" s="7" t="s">
        <v>1096</v>
      </c>
      <c r="E172" s="7" t="s">
        <v>49</v>
      </c>
      <c r="F172" s="15" t="s">
        <v>1096</v>
      </c>
      <c r="G172" s="15" t="s">
        <v>1096</v>
      </c>
      <c r="H172" s="15" t="s">
        <v>1096</v>
      </c>
      <c r="I172" s="15" t="s">
        <v>4968</v>
      </c>
      <c r="J172" s="15" t="s">
        <v>4968</v>
      </c>
      <c r="K172" s="16">
        <v>3</v>
      </c>
      <c r="L172" s="17" t="s">
        <v>1096</v>
      </c>
      <c r="M172" s="10" t="s">
        <v>4968</v>
      </c>
    </row>
    <row r="173" spans="1:13" x14ac:dyDescent="0.3">
      <c r="A173" t="s">
        <v>1097</v>
      </c>
      <c r="B173" s="7" t="s">
        <v>1098</v>
      </c>
      <c r="C173" s="7"/>
      <c r="D173" s="7" t="s">
        <v>1099</v>
      </c>
      <c r="E173" s="7" t="s">
        <v>9</v>
      </c>
      <c r="F173" s="15" t="s">
        <v>4968</v>
      </c>
      <c r="G173" s="15" t="s">
        <v>5042</v>
      </c>
      <c r="H173" s="15" t="s">
        <v>5042</v>
      </c>
      <c r="I173" s="15" t="s">
        <v>4968</v>
      </c>
      <c r="J173" s="15" t="s">
        <v>4968</v>
      </c>
      <c r="K173" s="16">
        <v>2</v>
      </c>
      <c r="L173" s="17" t="s">
        <v>5042</v>
      </c>
      <c r="M173" s="10" t="s">
        <v>4968</v>
      </c>
    </row>
    <row r="174" spans="1:13" x14ac:dyDescent="0.3">
      <c r="A174" t="s">
        <v>1106</v>
      </c>
      <c r="B174" s="7" t="s">
        <v>1107</v>
      </c>
      <c r="C174" s="7" t="s">
        <v>1107</v>
      </c>
      <c r="D174" s="7"/>
      <c r="E174" s="7" t="s">
        <v>323</v>
      </c>
      <c r="F174" s="15" t="s">
        <v>1107</v>
      </c>
      <c r="G174" s="15" t="s">
        <v>4968</v>
      </c>
      <c r="H174" s="15" t="s">
        <v>1107</v>
      </c>
      <c r="I174" s="15" t="s">
        <v>1107</v>
      </c>
      <c r="J174" s="15" t="s">
        <v>1107</v>
      </c>
      <c r="K174" s="16">
        <v>4</v>
      </c>
      <c r="L174" s="17" t="s">
        <v>1107</v>
      </c>
      <c r="M174" s="10" t="s">
        <v>4968</v>
      </c>
    </row>
    <row r="175" spans="1:13" x14ac:dyDescent="0.3">
      <c r="A175" t="s">
        <v>1108</v>
      </c>
      <c r="B175" s="7" t="s">
        <v>1076</v>
      </c>
      <c r="C175" s="7"/>
      <c r="D175" s="7" t="s">
        <v>1109</v>
      </c>
      <c r="E175" s="7" t="s">
        <v>9</v>
      </c>
      <c r="F175" s="15" t="s">
        <v>4968</v>
      </c>
      <c r="G175" s="15" t="s">
        <v>4968</v>
      </c>
      <c r="H175" s="15" t="s">
        <v>1076</v>
      </c>
      <c r="I175" s="15" t="s">
        <v>1076</v>
      </c>
      <c r="J175" s="15" t="s">
        <v>1076</v>
      </c>
      <c r="K175" s="16">
        <v>4</v>
      </c>
      <c r="L175" s="17" t="s">
        <v>1076</v>
      </c>
      <c r="M175" s="10" t="s">
        <v>4968</v>
      </c>
    </row>
    <row r="176" spans="1:13" x14ac:dyDescent="0.3">
      <c r="A176" t="s">
        <v>1110</v>
      </c>
      <c r="B176" s="7"/>
      <c r="C176" s="7"/>
      <c r="D176" s="7" t="s">
        <v>1111</v>
      </c>
      <c r="E176" s="7" t="s">
        <v>9</v>
      </c>
      <c r="F176" s="15" t="s">
        <v>4968</v>
      </c>
      <c r="G176" s="15" t="s">
        <v>4968</v>
      </c>
      <c r="H176" s="15" t="s">
        <v>1111</v>
      </c>
      <c r="I176" s="15" t="s">
        <v>1111</v>
      </c>
      <c r="J176" s="15" t="s">
        <v>1111</v>
      </c>
      <c r="K176" s="16">
        <v>4</v>
      </c>
      <c r="L176" s="17" t="s">
        <v>1111</v>
      </c>
      <c r="M176" s="10" t="s">
        <v>4968</v>
      </c>
    </row>
    <row r="177" spans="1:13" x14ac:dyDescent="0.3">
      <c r="A177" t="s">
        <v>1120</v>
      </c>
      <c r="B177" s="7" t="s">
        <v>1121</v>
      </c>
      <c r="C177" s="7"/>
      <c r="D177" s="7" t="s">
        <v>1121</v>
      </c>
      <c r="E177" s="7" t="s">
        <v>34</v>
      </c>
      <c r="F177" s="15" t="s">
        <v>1121</v>
      </c>
      <c r="G177" s="15" t="s">
        <v>4968</v>
      </c>
      <c r="H177" s="15" t="s">
        <v>1121</v>
      </c>
      <c r="I177" s="15" t="s">
        <v>1121</v>
      </c>
      <c r="J177" s="15" t="s">
        <v>1121</v>
      </c>
      <c r="K177" s="16">
        <v>4</v>
      </c>
      <c r="L177" s="17" t="s">
        <v>1121</v>
      </c>
      <c r="M177" s="10" t="s">
        <v>4968</v>
      </c>
    </row>
    <row r="178" spans="1:13" x14ac:dyDescent="0.3">
      <c r="A178" t="s">
        <v>1122</v>
      </c>
      <c r="B178" s="7" t="s">
        <v>1123</v>
      </c>
      <c r="C178" s="7" t="s">
        <v>1124</v>
      </c>
      <c r="D178" s="7" t="s">
        <v>1125</v>
      </c>
      <c r="E178" s="7" t="s">
        <v>295</v>
      </c>
      <c r="F178" s="15" t="s">
        <v>1124</v>
      </c>
      <c r="G178" s="15" t="s">
        <v>4968</v>
      </c>
      <c r="H178" s="15" t="s">
        <v>1124</v>
      </c>
      <c r="I178" s="15" t="s">
        <v>1124</v>
      </c>
      <c r="J178" s="15" t="s">
        <v>4968</v>
      </c>
      <c r="K178" s="16">
        <v>3</v>
      </c>
      <c r="L178" s="17" t="s">
        <v>1124</v>
      </c>
      <c r="M178" s="10" t="s">
        <v>4968</v>
      </c>
    </row>
    <row r="179" spans="1:13" x14ac:dyDescent="0.3">
      <c r="A179" t="s">
        <v>1126</v>
      </c>
      <c r="B179" s="7" t="s">
        <v>1127</v>
      </c>
      <c r="C179" s="7" t="s">
        <v>1128</v>
      </c>
      <c r="D179" s="7"/>
      <c r="E179" s="7" t="s">
        <v>9</v>
      </c>
      <c r="F179" s="15" t="s">
        <v>1127</v>
      </c>
      <c r="G179" s="15" t="s">
        <v>4968</v>
      </c>
      <c r="H179" s="15" t="s">
        <v>1128</v>
      </c>
      <c r="I179" s="15" t="s">
        <v>1128</v>
      </c>
      <c r="J179" s="15" t="s">
        <v>1128</v>
      </c>
      <c r="K179" s="16">
        <v>4</v>
      </c>
      <c r="L179" s="17" t="s">
        <v>1128</v>
      </c>
      <c r="M179" s="10" t="s">
        <v>4968</v>
      </c>
    </row>
    <row r="180" spans="1:13" x14ac:dyDescent="0.3">
      <c r="A180" t="s">
        <v>1137</v>
      </c>
      <c r="B180" s="7" t="s">
        <v>1138</v>
      </c>
      <c r="C180" s="7" t="s">
        <v>1138</v>
      </c>
      <c r="D180" s="7"/>
      <c r="E180" s="7" t="s">
        <v>323</v>
      </c>
      <c r="F180" s="15" t="s">
        <v>1138</v>
      </c>
      <c r="G180" s="15" t="s">
        <v>4968</v>
      </c>
      <c r="H180" s="15" t="s">
        <v>1138</v>
      </c>
      <c r="I180" s="15" t="s">
        <v>1138</v>
      </c>
      <c r="J180" s="15" t="s">
        <v>1138</v>
      </c>
      <c r="K180" s="16">
        <v>4</v>
      </c>
      <c r="L180" s="17" t="s">
        <v>1138</v>
      </c>
      <c r="M180" s="10" t="s">
        <v>4968</v>
      </c>
    </row>
    <row r="181" spans="1:13" x14ac:dyDescent="0.3">
      <c r="A181" t="s">
        <v>1143</v>
      </c>
      <c r="B181" s="7" t="s">
        <v>1144</v>
      </c>
      <c r="C181" s="7"/>
      <c r="D181" s="7" t="s">
        <v>1144</v>
      </c>
      <c r="E181" s="7" t="s">
        <v>34</v>
      </c>
      <c r="F181" s="15" t="s">
        <v>1144</v>
      </c>
      <c r="G181" s="15" t="s">
        <v>4968</v>
      </c>
      <c r="H181" s="15" t="s">
        <v>1144</v>
      </c>
      <c r="I181" s="15" t="s">
        <v>1144</v>
      </c>
      <c r="J181" s="15" t="s">
        <v>1144</v>
      </c>
      <c r="K181" s="16">
        <v>4</v>
      </c>
      <c r="L181" s="17" t="s">
        <v>1144</v>
      </c>
      <c r="M181" s="10" t="s">
        <v>4968</v>
      </c>
    </row>
    <row r="182" spans="1:13" x14ac:dyDescent="0.3">
      <c r="A182" t="s">
        <v>1147</v>
      </c>
      <c r="B182" s="7" t="s">
        <v>1148</v>
      </c>
      <c r="C182" s="7"/>
      <c r="D182" s="7" t="s">
        <v>1148</v>
      </c>
      <c r="E182" s="7" t="s">
        <v>34</v>
      </c>
      <c r="F182" s="15" t="s">
        <v>1148</v>
      </c>
      <c r="G182" s="15" t="s">
        <v>4968</v>
      </c>
      <c r="H182" s="15" t="s">
        <v>1148</v>
      </c>
      <c r="I182" s="15" t="s">
        <v>1148</v>
      </c>
      <c r="J182" s="15" t="s">
        <v>1148</v>
      </c>
      <c r="K182" s="16">
        <v>4</v>
      </c>
      <c r="L182" s="17" t="s">
        <v>1148</v>
      </c>
      <c r="M182" s="10" t="s">
        <v>4968</v>
      </c>
    </row>
    <row r="183" spans="1:13" x14ac:dyDescent="0.3">
      <c r="A183" t="s">
        <v>1151</v>
      </c>
      <c r="B183" s="7" t="s">
        <v>1152</v>
      </c>
      <c r="C183" s="7" t="s">
        <v>1152</v>
      </c>
      <c r="D183" s="7" t="s">
        <v>1153</v>
      </c>
      <c r="E183" s="7" t="s">
        <v>15</v>
      </c>
      <c r="F183" s="15" t="s">
        <v>1152</v>
      </c>
      <c r="G183" s="15" t="s">
        <v>4968</v>
      </c>
      <c r="H183" s="15" t="s">
        <v>1152</v>
      </c>
      <c r="I183" s="15" t="s">
        <v>1152</v>
      </c>
      <c r="J183" s="15" t="s">
        <v>1152</v>
      </c>
      <c r="K183" s="16">
        <v>4</v>
      </c>
      <c r="L183" s="17" t="s">
        <v>1152</v>
      </c>
      <c r="M183" s="10" t="s">
        <v>4968</v>
      </c>
    </row>
    <row r="184" spans="1:13" x14ac:dyDescent="0.3">
      <c r="A184" t="s">
        <v>1154</v>
      </c>
      <c r="B184" s="7"/>
      <c r="C184" s="7"/>
      <c r="D184" s="7" t="s">
        <v>1155</v>
      </c>
      <c r="E184" s="7" t="s">
        <v>9</v>
      </c>
      <c r="F184" s="15" t="s">
        <v>4968</v>
      </c>
      <c r="G184" s="15" t="s">
        <v>4968</v>
      </c>
      <c r="H184" s="15" t="s">
        <v>5050</v>
      </c>
      <c r="I184" s="15" t="s">
        <v>5050</v>
      </c>
      <c r="J184" s="15" t="s">
        <v>5050</v>
      </c>
      <c r="K184" s="16">
        <v>3</v>
      </c>
      <c r="L184" s="17" t="s">
        <v>5050</v>
      </c>
      <c r="M184" s="10" t="s">
        <v>4968</v>
      </c>
    </row>
    <row r="185" spans="1:13" x14ac:dyDescent="0.3">
      <c r="A185" t="s">
        <v>1158</v>
      </c>
      <c r="B185" s="7"/>
      <c r="C185" s="7"/>
      <c r="D185" s="7" t="s">
        <v>1159</v>
      </c>
      <c r="E185" s="7" t="s">
        <v>9</v>
      </c>
      <c r="F185" s="15" t="s">
        <v>4968</v>
      </c>
      <c r="G185" s="15" t="s">
        <v>4968</v>
      </c>
      <c r="H185" s="15" t="s">
        <v>1161</v>
      </c>
      <c r="I185" s="15" t="s">
        <v>1161</v>
      </c>
      <c r="J185" s="15" t="s">
        <v>1161</v>
      </c>
      <c r="K185" s="16">
        <v>3</v>
      </c>
      <c r="L185" s="17" t="s">
        <v>1161</v>
      </c>
      <c r="M185" s="10" t="s">
        <v>4968</v>
      </c>
    </row>
    <row r="186" spans="1:13" x14ac:dyDescent="0.3">
      <c r="A186" t="s">
        <v>1160</v>
      </c>
      <c r="B186" s="7"/>
      <c r="C186" s="7"/>
      <c r="D186" s="7" t="s">
        <v>1161</v>
      </c>
      <c r="E186" s="7" t="s">
        <v>9</v>
      </c>
      <c r="F186" s="15" t="s">
        <v>1161</v>
      </c>
      <c r="G186" s="15" t="s">
        <v>4968</v>
      </c>
      <c r="H186" s="15" t="s">
        <v>1161</v>
      </c>
      <c r="I186" s="15" t="s">
        <v>1161</v>
      </c>
      <c r="J186" s="15" t="s">
        <v>1161</v>
      </c>
      <c r="K186" s="16">
        <v>4</v>
      </c>
      <c r="L186" s="17" t="s">
        <v>1161</v>
      </c>
      <c r="M186" s="10" t="s">
        <v>4968</v>
      </c>
    </row>
    <row r="187" spans="1:13" x14ac:dyDescent="0.3">
      <c r="A187" t="s">
        <v>1168</v>
      </c>
      <c r="B187" s="7" t="s">
        <v>1169</v>
      </c>
      <c r="C187" s="7" t="s">
        <v>1169</v>
      </c>
      <c r="D187" s="7" t="s">
        <v>1170</v>
      </c>
      <c r="E187" s="7" t="s">
        <v>15</v>
      </c>
      <c r="F187" s="15" t="s">
        <v>1169</v>
      </c>
      <c r="G187" s="15" t="s">
        <v>4968</v>
      </c>
      <c r="H187" s="15" t="s">
        <v>1169</v>
      </c>
      <c r="I187" s="15" t="s">
        <v>1169</v>
      </c>
      <c r="J187" s="15" t="s">
        <v>1169</v>
      </c>
      <c r="K187" s="16">
        <v>4</v>
      </c>
      <c r="L187" s="17" t="s">
        <v>1169</v>
      </c>
      <c r="M187" s="10" t="s">
        <v>4968</v>
      </c>
    </row>
    <row r="188" spans="1:13" x14ac:dyDescent="0.3">
      <c r="A188" t="s">
        <v>1198</v>
      </c>
      <c r="B188" s="7" t="s">
        <v>1199</v>
      </c>
      <c r="C188" s="7"/>
      <c r="D188" s="7" t="s">
        <v>1199</v>
      </c>
      <c r="E188" s="7" t="s">
        <v>34</v>
      </c>
      <c r="F188" s="15" t="s">
        <v>1199</v>
      </c>
      <c r="G188" s="15" t="s">
        <v>4968</v>
      </c>
      <c r="H188" s="15" t="s">
        <v>1199</v>
      </c>
      <c r="I188" s="15" t="s">
        <v>1199</v>
      </c>
      <c r="J188" s="15" t="s">
        <v>1199</v>
      </c>
      <c r="K188" s="16">
        <v>4</v>
      </c>
      <c r="L188" s="17" t="s">
        <v>1199</v>
      </c>
      <c r="M188" s="10" t="s">
        <v>4968</v>
      </c>
    </row>
    <row r="189" spans="1:13" x14ac:dyDescent="0.3">
      <c r="A189" t="s">
        <v>1202</v>
      </c>
      <c r="B189" s="7" t="s">
        <v>1203</v>
      </c>
      <c r="C189" s="7" t="s">
        <v>1203</v>
      </c>
      <c r="D189" s="7" t="s">
        <v>1204</v>
      </c>
      <c r="E189" s="7" t="s">
        <v>15</v>
      </c>
      <c r="F189" s="15" t="s">
        <v>1203</v>
      </c>
      <c r="G189" s="15" t="s">
        <v>4968</v>
      </c>
      <c r="H189" s="15" t="s">
        <v>1203</v>
      </c>
      <c r="I189" s="15" t="s">
        <v>1203</v>
      </c>
      <c r="J189" s="15" t="s">
        <v>1203</v>
      </c>
      <c r="K189" s="16">
        <v>4</v>
      </c>
      <c r="L189" s="17" t="s">
        <v>1203</v>
      </c>
      <c r="M189" s="10" t="s">
        <v>4968</v>
      </c>
    </row>
    <row r="190" spans="1:13" x14ac:dyDescent="0.3">
      <c r="A190" t="s">
        <v>1214</v>
      </c>
      <c r="B190" s="7" t="s">
        <v>1215</v>
      </c>
      <c r="C190" s="7" t="s">
        <v>800</v>
      </c>
      <c r="D190" s="7" t="s">
        <v>800</v>
      </c>
      <c r="E190" s="7" t="s">
        <v>23</v>
      </c>
      <c r="F190" s="15" t="s">
        <v>1215</v>
      </c>
      <c r="G190" s="15" t="s">
        <v>4968</v>
      </c>
      <c r="H190" s="15" t="s">
        <v>1215</v>
      </c>
      <c r="I190" s="15" t="s">
        <v>1215</v>
      </c>
      <c r="J190" s="15" t="s">
        <v>1215</v>
      </c>
      <c r="K190" s="16">
        <v>4</v>
      </c>
      <c r="L190" s="17" t="s">
        <v>1215</v>
      </c>
      <c r="M190" s="10" t="s">
        <v>4968</v>
      </c>
    </row>
    <row r="191" spans="1:13" x14ac:dyDescent="0.3">
      <c r="A191" t="s">
        <v>1226</v>
      </c>
      <c r="B191" s="7"/>
      <c r="C191" s="7"/>
      <c r="D191" s="7" t="s">
        <v>1227</v>
      </c>
      <c r="E191" s="7" t="s">
        <v>9</v>
      </c>
      <c r="F191" s="15" t="s">
        <v>5051</v>
      </c>
      <c r="G191" s="15" t="s">
        <v>4968</v>
      </c>
      <c r="H191" s="15" t="s">
        <v>1227</v>
      </c>
      <c r="I191" s="15" t="s">
        <v>1227</v>
      </c>
      <c r="J191" s="15" t="s">
        <v>1227</v>
      </c>
      <c r="K191" s="16">
        <v>3</v>
      </c>
      <c r="L191" s="17" t="s">
        <v>1227</v>
      </c>
      <c r="M191" s="10" t="s">
        <v>4968</v>
      </c>
    </row>
    <row r="192" spans="1:13" x14ac:dyDescent="0.3">
      <c r="A192" t="s">
        <v>1232</v>
      </c>
      <c r="B192" s="7" t="s">
        <v>1233</v>
      </c>
      <c r="C192" s="7"/>
      <c r="D192" s="7" t="s">
        <v>1233</v>
      </c>
      <c r="E192" s="7" t="s">
        <v>34</v>
      </c>
      <c r="F192" s="15" t="s">
        <v>1233</v>
      </c>
      <c r="G192" s="15" t="s">
        <v>4968</v>
      </c>
      <c r="H192" s="15" t="s">
        <v>1233</v>
      </c>
      <c r="I192" s="15" t="s">
        <v>1233</v>
      </c>
      <c r="J192" s="15" t="s">
        <v>1233</v>
      </c>
      <c r="K192" s="16">
        <v>4</v>
      </c>
      <c r="L192" s="17" t="s">
        <v>1233</v>
      </c>
      <c r="M192" s="10" t="s">
        <v>4968</v>
      </c>
    </row>
    <row r="193" spans="1:13" x14ac:dyDescent="0.3">
      <c r="A193" t="s">
        <v>1234</v>
      </c>
      <c r="B193" s="7" t="s">
        <v>1235</v>
      </c>
      <c r="C193" s="7" t="s">
        <v>1235</v>
      </c>
      <c r="D193" s="7" t="s">
        <v>1236</v>
      </c>
      <c r="E193" s="7" t="s">
        <v>15</v>
      </c>
      <c r="F193" s="15" t="s">
        <v>1235</v>
      </c>
      <c r="G193" s="15" t="s">
        <v>4968</v>
      </c>
      <c r="H193" s="15" t="s">
        <v>1235</v>
      </c>
      <c r="I193" s="15" t="s">
        <v>1235</v>
      </c>
      <c r="J193" s="15" t="s">
        <v>1235</v>
      </c>
      <c r="K193" s="16">
        <v>4</v>
      </c>
      <c r="L193" s="17" t="s">
        <v>1235</v>
      </c>
      <c r="M193" s="10" t="s">
        <v>4968</v>
      </c>
    </row>
    <row r="194" spans="1:13" x14ac:dyDescent="0.3">
      <c r="A194" t="s">
        <v>1237</v>
      </c>
      <c r="B194" s="7" t="s">
        <v>1238</v>
      </c>
      <c r="C194" s="7"/>
      <c r="D194" s="7" t="s">
        <v>1238</v>
      </c>
      <c r="E194" s="7" t="s">
        <v>34</v>
      </c>
      <c r="F194" s="15" t="s">
        <v>1238</v>
      </c>
      <c r="G194" s="15" t="s">
        <v>4968</v>
      </c>
      <c r="H194" s="15" t="s">
        <v>1238</v>
      </c>
      <c r="I194" s="15" t="s">
        <v>1238</v>
      </c>
      <c r="J194" s="15" t="s">
        <v>1238</v>
      </c>
      <c r="K194" s="16">
        <v>4</v>
      </c>
      <c r="L194" s="17" t="s">
        <v>1238</v>
      </c>
      <c r="M194" s="10" t="s">
        <v>4968</v>
      </c>
    </row>
    <row r="195" spans="1:13" x14ac:dyDescent="0.3">
      <c r="A195" t="s">
        <v>1242</v>
      </c>
      <c r="B195" s="7"/>
      <c r="C195" s="7"/>
      <c r="D195" s="7" t="s">
        <v>1243</v>
      </c>
      <c r="E195" s="7" t="s">
        <v>9</v>
      </c>
      <c r="F195" s="15" t="s">
        <v>4968</v>
      </c>
      <c r="G195" s="15" t="s">
        <v>4968</v>
      </c>
      <c r="H195" s="15" t="s">
        <v>5052</v>
      </c>
      <c r="I195" s="15" t="s">
        <v>5052</v>
      </c>
      <c r="J195" s="15" t="s">
        <v>5052</v>
      </c>
      <c r="K195" s="16">
        <v>3</v>
      </c>
      <c r="L195" s="17" t="s">
        <v>5052</v>
      </c>
      <c r="M195" s="10" t="s">
        <v>4968</v>
      </c>
    </row>
    <row r="196" spans="1:13" x14ac:dyDescent="0.3">
      <c r="A196" t="s">
        <v>1245</v>
      </c>
      <c r="B196" s="7" t="s">
        <v>1246</v>
      </c>
      <c r="C196" s="7" t="s">
        <v>1247</v>
      </c>
      <c r="D196" s="7" t="s">
        <v>1246</v>
      </c>
      <c r="E196" s="7" t="s">
        <v>493</v>
      </c>
      <c r="F196" s="15" t="s">
        <v>5053</v>
      </c>
      <c r="G196" s="15" t="s">
        <v>4968</v>
      </c>
      <c r="H196" s="15" t="s">
        <v>5053</v>
      </c>
      <c r="I196" s="15" t="s">
        <v>5053</v>
      </c>
      <c r="J196" s="15" t="s">
        <v>5053</v>
      </c>
      <c r="K196" s="16">
        <v>4</v>
      </c>
      <c r="L196" s="17" t="s">
        <v>5053</v>
      </c>
      <c r="M196" s="10" t="s">
        <v>4968</v>
      </c>
    </row>
    <row r="197" spans="1:13" x14ac:dyDescent="0.3">
      <c r="A197" t="s">
        <v>1248</v>
      </c>
      <c r="B197" s="7" t="s">
        <v>1249</v>
      </c>
      <c r="C197" s="7" t="s">
        <v>1250</v>
      </c>
      <c r="D197" s="7" t="s">
        <v>1249</v>
      </c>
      <c r="E197" s="7" t="s">
        <v>493</v>
      </c>
      <c r="F197" s="15" t="s">
        <v>5054</v>
      </c>
      <c r="G197" s="15" t="s">
        <v>4968</v>
      </c>
      <c r="H197" s="15" t="s">
        <v>5054</v>
      </c>
      <c r="I197" s="15" t="s">
        <v>5054</v>
      </c>
      <c r="J197" s="15" t="s">
        <v>5054</v>
      </c>
      <c r="K197" s="16">
        <v>4</v>
      </c>
      <c r="L197" s="17" t="s">
        <v>5054</v>
      </c>
      <c r="M197" s="10" t="s">
        <v>4968</v>
      </c>
    </row>
    <row r="198" spans="1:13" x14ac:dyDescent="0.3">
      <c r="A198" t="s">
        <v>1257</v>
      </c>
      <c r="B198" s="7"/>
      <c r="C198" s="7"/>
      <c r="D198" s="7" t="s">
        <v>1258</v>
      </c>
      <c r="E198" s="7" t="s">
        <v>9</v>
      </c>
      <c r="F198" s="15" t="s">
        <v>4968</v>
      </c>
      <c r="G198" s="15" t="s">
        <v>4968</v>
      </c>
      <c r="H198" s="15" t="s">
        <v>1258</v>
      </c>
      <c r="I198" s="15" t="s">
        <v>1258</v>
      </c>
      <c r="J198" s="15" t="s">
        <v>1258</v>
      </c>
      <c r="K198" s="16">
        <v>3</v>
      </c>
      <c r="L198" s="17" t="s">
        <v>1258</v>
      </c>
      <c r="M198" s="10" t="s">
        <v>4968</v>
      </c>
    </row>
    <row r="199" spans="1:13" x14ac:dyDescent="0.3">
      <c r="A199" t="s">
        <v>1276</v>
      </c>
      <c r="B199" s="7" t="s">
        <v>1277</v>
      </c>
      <c r="C199" s="7"/>
      <c r="D199" s="7" t="s">
        <v>1277</v>
      </c>
      <c r="E199" s="7" t="s">
        <v>34</v>
      </c>
      <c r="F199" s="15" t="s">
        <v>1277</v>
      </c>
      <c r="G199" s="15" t="s">
        <v>4968</v>
      </c>
      <c r="H199" s="15" t="s">
        <v>1277</v>
      </c>
      <c r="I199" s="15" t="s">
        <v>1277</v>
      </c>
      <c r="J199" s="15" t="s">
        <v>1277</v>
      </c>
      <c r="K199" s="16">
        <v>4</v>
      </c>
      <c r="L199" s="17" t="s">
        <v>1277</v>
      </c>
      <c r="M199" s="10" t="s">
        <v>4968</v>
      </c>
    </row>
    <row r="200" spans="1:13" x14ac:dyDescent="0.3">
      <c r="A200" t="s">
        <v>1278</v>
      </c>
      <c r="B200" s="7" t="s">
        <v>1279</v>
      </c>
      <c r="C200" s="7"/>
      <c r="D200" s="7" t="s">
        <v>1279</v>
      </c>
      <c r="E200" s="7" t="s">
        <v>34</v>
      </c>
      <c r="F200" s="15" t="s">
        <v>1279</v>
      </c>
      <c r="G200" s="15" t="s">
        <v>4968</v>
      </c>
      <c r="H200" s="15" t="s">
        <v>1279</v>
      </c>
      <c r="I200" s="15" t="s">
        <v>1279</v>
      </c>
      <c r="J200" s="15" t="s">
        <v>1279</v>
      </c>
      <c r="K200" s="16">
        <v>4</v>
      </c>
      <c r="L200" s="17" t="s">
        <v>1279</v>
      </c>
      <c r="M200" s="10" t="s">
        <v>4968</v>
      </c>
    </row>
    <row r="201" spans="1:13" x14ac:dyDescent="0.3">
      <c r="A201" t="s">
        <v>1280</v>
      </c>
      <c r="B201" s="7" t="s">
        <v>1281</v>
      </c>
      <c r="C201" s="7"/>
      <c r="D201" s="7" t="s">
        <v>1281</v>
      </c>
      <c r="E201" s="7" t="s">
        <v>34</v>
      </c>
      <c r="F201" s="15" t="s">
        <v>1281</v>
      </c>
      <c r="G201" s="15" t="s">
        <v>4968</v>
      </c>
      <c r="H201" s="15" t="s">
        <v>1281</v>
      </c>
      <c r="I201" s="15" t="s">
        <v>1281</v>
      </c>
      <c r="J201" s="15" t="s">
        <v>1281</v>
      </c>
      <c r="K201" s="16">
        <v>4</v>
      </c>
      <c r="L201" s="17" t="s">
        <v>1281</v>
      </c>
      <c r="M201" s="10" t="s">
        <v>4968</v>
      </c>
    </row>
    <row r="202" spans="1:13" x14ac:dyDescent="0.3">
      <c r="A202" t="s">
        <v>1304</v>
      </c>
      <c r="B202" s="7"/>
      <c r="C202" s="7" t="s">
        <v>1305</v>
      </c>
      <c r="D202" s="7" t="s">
        <v>1305</v>
      </c>
      <c r="E202" s="7" t="s">
        <v>49</v>
      </c>
      <c r="F202" s="15" t="s">
        <v>1305</v>
      </c>
      <c r="G202" s="15" t="s">
        <v>4968</v>
      </c>
      <c r="H202" s="15" t="s">
        <v>1305</v>
      </c>
      <c r="I202" s="15" t="s">
        <v>1305</v>
      </c>
      <c r="J202" s="15" t="s">
        <v>1305</v>
      </c>
      <c r="K202" s="16">
        <v>4</v>
      </c>
      <c r="L202" s="17" t="s">
        <v>1305</v>
      </c>
      <c r="M202" s="10" t="s">
        <v>4968</v>
      </c>
    </row>
    <row r="203" spans="1:13" x14ac:dyDescent="0.3">
      <c r="A203" t="s">
        <v>1328</v>
      </c>
      <c r="B203" s="7" t="s">
        <v>1329</v>
      </c>
      <c r="C203" s="7"/>
      <c r="D203" s="7" t="s">
        <v>1330</v>
      </c>
      <c r="E203" s="7" t="s">
        <v>9</v>
      </c>
      <c r="F203" s="15" t="s">
        <v>5055</v>
      </c>
      <c r="G203" s="15" t="s">
        <v>4968</v>
      </c>
      <c r="H203" s="15" t="s">
        <v>5055</v>
      </c>
      <c r="I203" s="15" t="s">
        <v>5055</v>
      </c>
      <c r="J203" s="15" t="s">
        <v>5055</v>
      </c>
      <c r="K203" s="16">
        <v>4</v>
      </c>
      <c r="L203" s="17" t="s">
        <v>5055</v>
      </c>
      <c r="M203" s="10" t="s">
        <v>4968</v>
      </c>
    </row>
    <row r="204" spans="1:13" x14ac:dyDescent="0.3">
      <c r="A204" t="s">
        <v>1331</v>
      </c>
      <c r="B204" s="7" t="s">
        <v>1332</v>
      </c>
      <c r="C204" s="7"/>
      <c r="D204" s="7" t="s">
        <v>1332</v>
      </c>
      <c r="E204" s="7" t="s">
        <v>34</v>
      </c>
      <c r="F204" s="15" t="s">
        <v>1332</v>
      </c>
      <c r="G204" s="15" t="s">
        <v>4968</v>
      </c>
      <c r="H204" s="15" t="s">
        <v>1332</v>
      </c>
      <c r="I204" s="15" t="s">
        <v>1332</v>
      </c>
      <c r="J204" s="15" t="s">
        <v>1332</v>
      </c>
      <c r="K204" s="16">
        <v>4</v>
      </c>
      <c r="L204" s="17" t="s">
        <v>1332</v>
      </c>
      <c r="M204" s="10" t="s">
        <v>4968</v>
      </c>
    </row>
    <row r="205" spans="1:13" x14ac:dyDescent="0.3">
      <c r="A205" t="s">
        <v>1357</v>
      </c>
      <c r="B205" s="7" t="s">
        <v>1358</v>
      </c>
      <c r="C205" s="7" t="s">
        <v>1358</v>
      </c>
      <c r="D205" s="7" t="s">
        <v>1359</v>
      </c>
      <c r="E205" s="7" t="s">
        <v>15</v>
      </c>
      <c r="F205" s="15" t="s">
        <v>1358</v>
      </c>
      <c r="G205" s="15" t="s">
        <v>4968</v>
      </c>
      <c r="H205" s="15" t="s">
        <v>1358</v>
      </c>
      <c r="I205" s="15" t="s">
        <v>1358</v>
      </c>
      <c r="J205" s="15" t="s">
        <v>1358</v>
      </c>
      <c r="K205" s="16">
        <v>4</v>
      </c>
      <c r="L205" s="17" t="s">
        <v>1358</v>
      </c>
      <c r="M205" s="10" t="s">
        <v>4968</v>
      </c>
    </row>
    <row r="206" spans="1:13" x14ac:dyDescent="0.3">
      <c r="A206" t="s">
        <v>1374</v>
      </c>
      <c r="B206" s="7" t="s">
        <v>1375</v>
      </c>
      <c r="C206" s="7" t="s">
        <v>1376</v>
      </c>
      <c r="D206" s="7" t="s">
        <v>1375</v>
      </c>
      <c r="E206" s="7" t="s">
        <v>493</v>
      </c>
      <c r="F206" s="15" t="s">
        <v>1376</v>
      </c>
      <c r="G206" s="15" t="s">
        <v>4968</v>
      </c>
      <c r="H206" s="15" t="s">
        <v>1376</v>
      </c>
      <c r="I206" s="15" t="s">
        <v>1376</v>
      </c>
      <c r="J206" s="15" t="s">
        <v>1376</v>
      </c>
      <c r="K206" s="16">
        <v>4</v>
      </c>
      <c r="L206" s="17" t="s">
        <v>1376</v>
      </c>
      <c r="M206" s="10" t="s">
        <v>4968</v>
      </c>
    </row>
    <row r="207" spans="1:13" x14ac:dyDescent="0.3">
      <c r="A207" t="s">
        <v>1377</v>
      </c>
      <c r="B207" s="7"/>
      <c r="C207" s="7" t="s">
        <v>1378</v>
      </c>
      <c r="D207" s="7" t="s">
        <v>1378</v>
      </c>
      <c r="E207" s="7" t="s">
        <v>49</v>
      </c>
      <c r="F207" s="15" t="s">
        <v>1378</v>
      </c>
      <c r="G207" s="15" t="s">
        <v>4968</v>
      </c>
      <c r="H207" s="15" t="s">
        <v>1378</v>
      </c>
      <c r="I207" s="15" t="s">
        <v>1378</v>
      </c>
      <c r="J207" s="15" t="s">
        <v>1378</v>
      </c>
      <c r="K207" s="16">
        <v>4</v>
      </c>
      <c r="L207" s="17" t="s">
        <v>1378</v>
      </c>
      <c r="M207" s="10" t="s">
        <v>4968</v>
      </c>
    </row>
    <row r="208" spans="1:13" x14ac:dyDescent="0.3">
      <c r="A208" t="s">
        <v>1381</v>
      </c>
      <c r="B208" s="7" t="s">
        <v>1382</v>
      </c>
      <c r="C208" s="7" t="s">
        <v>1380</v>
      </c>
      <c r="D208" s="7" t="s">
        <v>1380</v>
      </c>
      <c r="E208" s="7" t="s">
        <v>23</v>
      </c>
      <c r="F208" s="15" t="s">
        <v>1380</v>
      </c>
      <c r="G208" s="15" t="s">
        <v>4968</v>
      </c>
      <c r="H208" s="15" t="s">
        <v>1380</v>
      </c>
      <c r="I208" s="15" t="s">
        <v>1380</v>
      </c>
      <c r="J208" s="15" t="s">
        <v>1380</v>
      </c>
      <c r="K208" s="16">
        <v>4</v>
      </c>
      <c r="L208" s="17" t="s">
        <v>1380</v>
      </c>
      <c r="M208" s="10" t="s">
        <v>4968</v>
      </c>
    </row>
    <row r="209" spans="1:13" x14ac:dyDescent="0.3">
      <c r="A209" t="s">
        <v>1383</v>
      </c>
      <c r="B209" s="7" t="s">
        <v>1384</v>
      </c>
      <c r="C209" s="7"/>
      <c r="D209" s="7" t="s">
        <v>1385</v>
      </c>
      <c r="E209" s="7" t="s">
        <v>9</v>
      </c>
      <c r="F209" s="15" t="s">
        <v>1384</v>
      </c>
      <c r="G209" s="15" t="s">
        <v>4968</v>
      </c>
      <c r="H209" s="15" t="s">
        <v>1384</v>
      </c>
      <c r="I209" s="15" t="s">
        <v>1384</v>
      </c>
      <c r="J209" s="15" t="s">
        <v>1384</v>
      </c>
      <c r="K209" s="16">
        <v>4</v>
      </c>
      <c r="L209" s="17" t="s">
        <v>1384</v>
      </c>
      <c r="M209" s="10" t="s">
        <v>4968</v>
      </c>
    </row>
    <row r="210" spans="1:13" x14ac:dyDescent="0.3">
      <c r="A210" t="s">
        <v>1422</v>
      </c>
      <c r="B210" s="7" t="s">
        <v>1423</v>
      </c>
      <c r="C210" s="7" t="s">
        <v>1424</v>
      </c>
      <c r="D210" s="7" t="s">
        <v>1424</v>
      </c>
      <c r="E210" s="7" t="s">
        <v>23</v>
      </c>
      <c r="F210" s="15" t="s">
        <v>1424</v>
      </c>
      <c r="G210" s="15" t="s">
        <v>4968</v>
      </c>
      <c r="H210" s="15" t="s">
        <v>1424</v>
      </c>
      <c r="I210" s="15" t="s">
        <v>1424</v>
      </c>
      <c r="J210" s="15" t="s">
        <v>1411</v>
      </c>
      <c r="K210" s="16">
        <v>3</v>
      </c>
      <c r="L210" s="17" t="s">
        <v>1424</v>
      </c>
      <c r="M210" s="10" t="s">
        <v>4968</v>
      </c>
    </row>
    <row r="211" spans="1:13" x14ac:dyDescent="0.3">
      <c r="A211" t="s">
        <v>1427</v>
      </c>
      <c r="B211" s="7" t="s">
        <v>1428</v>
      </c>
      <c r="C211" s="7"/>
      <c r="D211" s="7" t="s">
        <v>1429</v>
      </c>
      <c r="E211" s="7" t="s">
        <v>9</v>
      </c>
      <c r="F211" s="15" t="s">
        <v>5057</v>
      </c>
      <c r="G211" s="15" t="s">
        <v>4968</v>
      </c>
      <c r="H211" s="15" t="s">
        <v>5056</v>
      </c>
      <c r="I211" s="15" t="s">
        <v>5056</v>
      </c>
      <c r="J211" s="15" t="s">
        <v>5056</v>
      </c>
      <c r="K211" s="16">
        <v>3</v>
      </c>
      <c r="L211" s="17" t="s">
        <v>5056</v>
      </c>
      <c r="M211" s="10" t="s">
        <v>4968</v>
      </c>
    </row>
    <row r="212" spans="1:13" x14ac:dyDescent="0.3">
      <c r="A212" t="s">
        <v>1442</v>
      </c>
      <c r="B212" s="7" t="s">
        <v>1443</v>
      </c>
      <c r="C212" s="7"/>
      <c r="D212" s="7" t="s">
        <v>1443</v>
      </c>
      <c r="E212" s="7" t="s">
        <v>34</v>
      </c>
      <c r="F212" s="15" t="s">
        <v>1443</v>
      </c>
      <c r="G212" s="15" t="s">
        <v>4968</v>
      </c>
      <c r="H212" s="15" t="s">
        <v>1443</v>
      </c>
      <c r="I212" s="15" t="s">
        <v>1443</v>
      </c>
      <c r="J212" s="15" t="s">
        <v>1443</v>
      </c>
      <c r="K212" s="16">
        <v>4</v>
      </c>
      <c r="L212" s="17" t="s">
        <v>1443</v>
      </c>
      <c r="M212" s="10" t="s">
        <v>4968</v>
      </c>
    </row>
    <row r="213" spans="1:13" x14ac:dyDescent="0.3">
      <c r="A213" t="s">
        <v>1460</v>
      </c>
      <c r="B213" s="7" t="s">
        <v>1461</v>
      </c>
      <c r="C213" s="7"/>
      <c r="D213" s="7" t="s">
        <v>1461</v>
      </c>
      <c r="E213" s="7" t="s">
        <v>34</v>
      </c>
      <c r="F213" s="15" t="s">
        <v>1461</v>
      </c>
      <c r="G213" s="15" t="s">
        <v>4968</v>
      </c>
      <c r="H213" s="15" t="s">
        <v>1461</v>
      </c>
      <c r="I213" s="15" t="s">
        <v>1461</v>
      </c>
      <c r="J213" s="15" t="s">
        <v>1461</v>
      </c>
      <c r="K213" s="16">
        <v>4</v>
      </c>
      <c r="L213" s="17" t="s">
        <v>1461</v>
      </c>
      <c r="M213" s="10" t="s">
        <v>4968</v>
      </c>
    </row>
    <row r="214" spans="1:13" x14ac:dyDescent="0.3">
      <c r="A214" t="s">
        <v>1462</v>
      </c>
      <c r="B214" s="7" t="s">
        <v>1463</v>
      </c>
      <c r="C214" s="7"/>
      <c r="D214" s="7"/>
      <c r="E214" s="7" t="s">
        <v>9</v>
      </c>
      <c r="F214" s="15" t="s">
        <v>5058</v>
      </c>
      <c r="G214" s="15" t="s">
        <v>4968</v>
      </c>
      <c r="H214" s="15" t="s">
        <v>5058</v>
      </c>
      <c r="I214" s="15" t="s">
        <v>5058</v>
      </c>
      <c r="J214" s="15" t="s">
        <v>5058</v>
      </c>
      <c r="K214" s="16">
        <v>3</v>
      </c>
      <c r="L214" s="17" t="s">
        <v>5058</v>
      </c>
      <c r="M214" s="10" t="s">
        <v>4968</v>
      </c>
    </row>
    <row r="215" spans="1:13" x14ac:dyDescent="0.3">
      <c r="A215" t="s">
        <v>1480</v>
      </c>
      <c r="B215" s="7"/>
      <c r="C215" s="7" t="s">
        <v>1481</v>
      </c>
      <c r="D215" s="7" t="s">
        <v>1481</v>
      </c>
      <c r="E215" s="7" t="s">
        <v>49</v>
      </c>
      <c r="F215" s="15" t="s">
        <v>1481</v>
      </c>
      <c r="G215" s="15" t="s">
        <v>4968</v>
      </c>
      <c r="H215" s="15" t="s">
        <v>1481</v>
      </c>
      <c r="I215" s="15" t="s">
        <v>1481</v>
      </c>
      <c r="J215" s="15" t="s">
        <v>1481</v>
      </c>
      <c r="K215" s="16">
        <v>4</v>
      </c>
      <c r="L215" s="17" t="s">
        <v>1481</v>
      </c>
      <c r="M215" s="10" t="s">
        <v>4968</v>
      </c>
    </row>
    <row r="216" spans="1:13" x14ac:dyDescent="0.3">
      <c r="A216" t="s">
        <v>1486</v>
      </c>
      <c r="B216" s="7" t="s">
        <v>1487</v>
      </c>
      <c r="C216" s="7" t="s">
        <v>1488</v>
      </c>
      <c r="D216" s="7" t="s">
        <v>1488</v>
      </c>
      <c r="E216" s="7" t="s">
        <v>23</v>
      </c>
      <c r="F216" s="15" t="s">
        <v>1488</v>
      </c>
      <c r="G216" s="15" t="s">
        <v>4968</v>
      </c>
      <c r="H216" s="15" t="s">
        <v>1488</v>
      </c>
      <c r="I216" s="15" t="s">
        <v>1488</v>
      </c>
      <c r="J216" s="15" t="s">
        <v>1488</v>
      </c>
      <c r="K216" s="16">
        <v>4</v>
      </c>
      <c r="L216" s="17" t="s">
        <v>1488</v>
      </c>
      <c r="M216" s="10" t="s">
        <v>4968</v>
      </c>
    </row>
    <row r="217" spans="1:13" x14ac:dyDescent="0.3">
      <c r="A217" t="s">
        <v>1491</v>
      </c>
      <c r="B217" s="7" t="s">
        <v>1492</v>
      </c>
      <c r="C217" s="7" t="s">
        <v>1493</v>
      </c>
      <c r="D217" s="7" t="s">
        <v>1493</v>
      </c>
      <c r="E217" s="7" t="s">
        <v>23</v>
      </c>
      <c r="F217" s="15" t="s">
        <v>1492</v>
      </c>
      <c r="G217" s="15" t="s">
        <v>4968</v>
      </c>
      <c r="H217" s="15" t="s">
        <v>1493</v>
      </c>
      <c r="I217" s="15" t="s">
        <v>1492</v>
      </c>
      <c r="J217" s="15" t="s">
        <v>1492</v>
      </c>
      <c r="K217" s="16">
        <v>3</v>
      </c>
      <c r="L217" s="17" t="s">
        <v>1492</v>
      </c>
      <c r="M217" s="10" t="s">
        <v>4968</v>
      </c>
    </row>
    <row r="218" spans="1:13" x14ac:dyDescent="0.3">
      <c r="A218" t="s">
        <v>1494</v>
      </c>
      <c r="B218" s="7" t="s">
        <v>1495</v>
      </c>
      <c r="C218" s="7" t="s">
        <v>1496</v>
      </c>
      <c r="D218" s="7" t="s">
        <v>1496</v>
      </c>
      <c r="E218" s="7" t="s">
        <v>23</v>
      </c>
      <c r="F218" s="15" t="s">
        <v>1496</v>
      </c>
      <c r="G218" s="15" t="s">
        <v>4968</v>
      </c>
      <c r="H218" s="15" t="s">
        <v>1496</v>
      </c>
      <c r="I218" s="15" t="s">
        <v>1496</v>
      </c>
      <c r="J218" s="15" t="s">
        <v>1496</v>
      </c>
      <c r="K218" s="16">
        <v>4</v>
      </c>
      <c r="L218" s="17" t="s">
        <v>1496</v>
      </c>
      <c r="M218" s="10" t="s">
        <v>4968</v>
      </c>
    </row>
    <row r="219" spans="1:13" x14ac:dyDescent="0.3">
      <c r="A219" t="s">
        <v>1505</v>
      </c>
      <c r="B219" s="7" t="s">
        <v>1506</v>
      </c>
      <c r="C219" s="7" t="s">
        <v>1507</v>
      </c>
      <c r="D219" s="7" t="s">
        <v>1507</v>
      </c>
      <c r="E219" s="7" t="s">
        <v>23</v>
      </c>
      <c r="F219" s="15" t="s">
        <v>1506</v>
      </c>
      <c r="G219" s="15" t="s">
        <v>4968</v>
      </c>
      <c r="H219" s="15" t="s">
        <v>1507</v>
      </c>
      <c r="I219" s="15" t="s">
        <v>1506</v>
      </c>
      <c r="J219" s="15" t="s">
        <v>1506</v>
      </c>
      <c r="K219" s="16">
        <v>3</v>
      </c>
      <c r="L219" s="17" t="s">
        <v>1506</v>
      </c>
      <c r="M219" s="10" t="s">
        <v>4968</v>
      </c>
    </row>
    <row r="220" spans="1:13" x14ac:dyDescent="0.3">
      <c r="A220" t="s">
        <v>1514</v>
      </c>
      <c r="B220" s="7" t="s">
        <v>1515</v>
      </c>
      <c r="C220" s="7" t="s">
        <v>1513</v>
      </c>
      <c r="D220" s="7"/>
      <c r="E220" s="7" t="s">
        <v>9</v>
      </c>
      <c r="F220" s="15" t="s">
        <v>5059</v>
      </c>
      <c r="G220" s="15" t="s">
        <v>4968</v>
      </c>
      <c r="H220" s="15" t="s">
        <v>1513</v>
      </c>
      <c r="I220" s="15" t="s">
        <v>1515</v>
      </c>
      <c r="J220" s="15" t="s">
        <v>1515</v>
      </c>
      <c r="K220" s="16">
        <v>3</v>
      </c>
      <c r="L220" s="17" t="s">
        <v>1515</v>
      </c>
      <c r="M220" s="10" t="s">
        <v>4968</v>
      </c>
    </row>
    <row r="221" spans="1:13" x14ac:dyDescent="0.3">
      <c r="A221" t="s">
        <v>1516</v>
      </c>
      <c r="B221" s="7"/>
      <c r="C221" s="7" t="s">
        <v>1517</v>
      </c>
      <c r="D221" s="7" t="s">
        <v>1517</v>
      </c>
      <c r="E221" s="7" t="s">
        <v>49</v>
      </c>
      <c r="F221" s="15" t="s">
        <v>5060</v>
      </c>
      <c r="G221" s="15" t="s">
        <v>4968</v>
      </c>
      <c r="H221" s="15" t="s">
        <v>1517</v>
      </c>
      <c r="I221" s="15" t="s">
        <v>5061</v>
      </c>
      <c r="J221" s="15" t="s">
        <v>5062</v>
      </c>
      <c r="K221" s="16">
        <v>3</v>
      </c>
      <c r="L221" s="17" t="s">
        <v>1517</v>
      </c>
      <c r="M221" s="10" t="s">
        <v>4968</v>
      </c>
    </row>
    <row r="222" spans="1:13" x14ac:dyDescent="0.3">
      <c r="A222" t="s">
        <v>1523</v>
      </c>
      <c r="B222" s="7" t="s">
        <v>1524</v>
      </c>
      <c r="C222" s="7"/>
      <c r="D222" s="7" t="s">
        <v>1524</v>
      </c>
      <c r="E222" s="7" t="s">
        <v>34</v>
      </c>
      <c r="F222" s="15" t="s">
        <v>1524</v>
      </c>
      <c r="G222" s="15" t="s">
        <v>4968</v>
      </c>
      <c r="H222" s="15" t="s">
        <v>1524</v>
      </c>
      <c r="I222" s="15" t="s">
        <v>1524</v>
      </c>
      <c r="J222" s="15" t="s">
        <v>1524</v>
      </c>
      <c r="K222" s="16">
        <v>4</v>
      </c>
      <c r="L222" s="17" t="s">
        <v>1524</v>
      </c>
      <c r="M222" s="10" t="s">
        <v>4968</v>
      </c>
    </row>
    <row r="223" spans="1:13" x14ac:dyDescent="0.3">
      <c r="A223" t="s">
        <v>1527</v>
      </c>
      <c r="B223" s="7" t="s">
        <v>1528</v>
      </c>
      <c r="C223" s="7"/>
      <c r="D223" s="7" t="s">
        <v>1528</v>
      </c>
      <c r="E223" s="7" t="s">
        <v>34</v>
      </c>
      <c r="F223" s="15" t="s">
        <v>1528</v>
      </c>
      <c r="G223" s="15" t="s">
        <v>4968</v>
      </c>
      <c r="H223" s="15" t="s">
        <v>1528</v>
      </c>
      <c r="I223" s="15" t="s">
        <v>1528</v>
      </c>
      <c r="J223" s="15" t="s">
        <v>1528</v>
      </c>
      <c r="K223" s="16">
        <v>4</v>
      </c>
      <c r="L223" s="17" t="s">
        <v>1528</v>
      </c>
      <c r="M223" s="10" t="s">
        <v>4968</v>
      </c>
    </row>
    <row r="224" spans="1:13" x14ac:dyDescent="0.3">
      <c r="A224" t="s">
        <v>1533</v>
      </c>
      <c r="B224" s="7" t="s">
        <v>1534</v>
      </c>
      <c r="C224" s="7" t="s">
        <v>1535</v>
      </c>
      <c r="D224" s="7" t="s">
        <v>1534</v>
      </c>
      <c r="E224" s="7" t="s">
        <v>493</v>
      </c>
      <c r="F224" s="15" t="s">
        <v>1534</v>
      </c>
      <c r="G224" s="15" t="s">
        <v>4968</v>
      </c>
      <c r="H224" s="15" t="s">
        <v>1535</v>
      </c>
      <c r="I224" s="15" t="s">
        <v>1534</v>
      </c>
      <c r="J224" s="15" t="s">
        <v>1534</v>
      </c>
      <c r="K224" s="16">
        <v>3</v>
      </c>
      <c r="L224" s="17" t="s">
        <v>1534</v>
      </c>
      <c r="M224" s="10" t="s">
        <v>4968</v>
      </c>
    </row>
    <row r="225" spans="1:13" x14ac:dyDescent="0.3">
      <c r="A225" t="s">
        <v>1538</v>
      </c>
      <c r="B225" s="7" t="s">
        <v>1539</v>
      </c>
      <c r="C225" s="7"/>
      <c r="D225" s="7" t="s">
        <v>1539</v>
      </c>
      <c r="E225" s="7" t="s">
        <v>34</v>
      </c>
      <c r="F225" s="15" t="s">
        <v>1539</v>
      </c>
      <c r="G225" s="15" t="s">
        <v>4968</v>
      </c>
      <c r="H225" s="15" t="s">
        <v>1539</v>
      </c>
      <c r="I225" s="15" t="s">
        <v>1539</v>
      </c>
      <c r="J225" s="15" t="s">
        <v>1539</v>
      </c>
      <c r="K225" s="16">
        <v>4</v>
      </c>
      <c r="L225" s="17" t="s">
        <v>1539</v>
      </c>
      <c r="M225" s="10" t="s">
        <v>4968</v>
      </c>
    </row>
    <row r="226" spans="1:13" x14ac:dyDescent="0.3">
      <c r="A226" t="s">
        <v>1544</v>
      </c>
      <c r="B226" s="7"/>
      <c r="C226" s="7" t="s">
        <v>1545</v>
      </c>
      <c r="D226" s="7" t="s">
        <v>1545</v>
      </c>
      <c r="E226" s="7" t="s">
        <v>49</v>
      </c>
      <c r="F226" s="15" t="s">
        <v>1545</v>
      </c>
      <c r="G226" s="15" t="s">
        <v>4968</v>
      </c>
      <c r="H226" s="15" t="s">
        <v>1545</v>
      </c>
      <c r="I226" s="15" t="s">
        <v>1545</v>
      </c>
      <c r="J226" s="15" t="s">
        <v>1545</v>
      </c>
      <c r="K226" s="16">
        <v>4</v>
      </c>
      <c r="L226" s="17" t="s">
        <v>1545</v>
      </c>
      <c r="M226" s="10" t="s">
        <v>4968</v>
      </c>
    </row>
    <row r="227" spans="1:13" x14ac:dyDescent="0.3">
      <c r="A227" t="s">
        <v>1555</v>
      </c>
      <c r="B227" s="7" t="s">
        <v>1556</v>
      </c>
      <c r="C227" s="7" t="s">
        <v>1557</v>
      </c>
      <c r="D227" s="7" t="s">
        <v>1557</v>
      </c>
      <c r="E227" s="7" t="s">
        <v>23</v>
      </c>
      <c r="F227" s="15" t="s">
        <v>1557</v>
      </c>
      <c r="G227" s="15" t="s">
        <v>4968</v>
      </c>
      <c r="H227" s="15" t="s">
        <v>1557</v>
      </c>
      <c r="I227" s="15" t="s">
        <v>1557</v>
      </c>
      <c r="J227" s="15" t="s">
        <v>1557</v>
      </c>
      <c r="K227" s="16">
        <v>4</v>
      </c>
      <c r="L227" s="17" t="s">
        <v>1557</v>
      </c>
      <c r="M227" s="10" t="s">
        <v>4968</v>
      </c>
    </row>
    <row r="228" spans="1:13" x14ac:dyDescent="0.3">
      <c r="A228" t="s">
        <v>1568</v>
      </c>
      <c r="B228" s="7" t="s">
        <v>1569</v>
      </c>
      <c r="C228" s="7"/>
      <c r="D228" s="7" t="s">
        <v>1569</v>
      </c>
      <c r="E228" s="7" t="s">
        <v>34</v>
      </c>
      <c r="F228" s="15" t="s">
        <v>1569</v>
      </c>
      <c r="G228" s="15" t="s">
        <v>4968</v>
      </c>
      <c r="H228" s="15" t="s">
        <v>1569</v>
      </c>
      <c r="I228" s="15" t="s">
        <v>1569</v>
      </c>
      <c r="J228" s="15" t="s">
        <v>1569</v>
      </c>
      <c r="K228" s="16">
        <v>4</v>
      </c>
      <c r="L228" s="17" t="s">
        <v>1569</v>
      </c>
      <c r="M228" s="10" t="s">
        <v>4968</v>
      </c>
    </row>
    <row r="229" spans="1:13" x14ac:dyDescent="0.3">
      <c r="A229" t="s">
        <v>1572</v>
      </c>
      <c r="B229" s="7" t="s">
        <v>1573</v>
      </c>
      <c r="C229" s="7"/>
      <c r="D229" s="7" t="s">
        <v>1573</v>
      </c>
      <c r="E229" s="7" t="s">
        <v>34</v>
      </c>
      <c r="F229" s="15" t="s">
        <v>1573</v>
      </c>
      <c r="G229" s="15" t="s">
        <v>4968</v>
      </c>
      <c r="H229" s="15" t="s">
        <v>1573</v>
      </c>
      <c r="I229" s="15" t="s">
        <v>5063</v>
      </c>
      <c r="J229" s="15" t="s">
        <v>1573</v>
      </c>
      <c r="K229" s="16">
        <v>3</v>
      </c>
      <c r="L229" s="17" t="s">
        <v>1573</v>
      </c>
      <c r="M229" s="10" t="s">
        <v>4968</v>
      </c>
    </row>
    <row r="230" spans="1:13" x14ac:dyDescent="0.3">
      <c r="A230" t="s">
        <v>1588</v>
      </c>
      <c r="B230" s="7" t="s">
        <v>1589</v>
      </c>
      <c r="C230" s="7"/>
      <c r="D230" s="7" t="s">
        <v>1589</v>
      </c>
      <c r="E230" s="7" t="s">
        <v>34</v>
      </c>
      <c r="F230" s="15" t="s">
        <v>1589</v>
      </c>
      <c r="G230" s="15" t="s">
        <v>4968</v>
      </c>
      <c r="H230" s="15" t="s">
        <v>1589</v>
      </c>
      <c r="I230" s="15" t="s">
        <v>1589</v>
      </c>
      <c r="J230" s="15" t="s">
        <v>1589</v>
      </c>
      <c r="K230" s="16">
        <v>4</v>
      </c>
      <c r="L230" s="17" t="s">
        <v>1589</v>
      </c>
      <c r="M230" s="10" t="s">
        <v>4968</v>
      </c>
    </row>
    <row r="231" spans="1:13" x14ac:dyDescent="0.3">
      <c r="A231" t="s">
        <v>1594</v>
      </c>
      <c r="B231" s="7"/>
      <c r="C231" s="7" t="s">
        <v>1595</v>
      </c>
      <c r="D231" s="7" t="s">
        <v>1595</v>
      </c>
      <c r="E231" s="7" t="s">
        <v>49</v>
      </c>
      <c r="F231" s="15" t="s">
        <v>1595</v>
      </c>
      <c r="G231" s="15" t="s">
        <v>4968</v>
      </c>
      <c r="H231" s="15" t="s">
        <v>1595</v>
      </c>
      <c r="I231" s="15" t="s">
        <v>1595</v>
      </c>
      <c r="J231" s="15" t="s">
        <v>1595</v>
      </c>
      <c r="K231" s="16">
        <v>4</v>
      </c>
      <c r="L231" s="17" t="s">
        <v>1595</v>
      </c>
      <c r="M231" s="10" t="s">
        <v>4968</v>
      </c>
    </row>
    <row r="232" spans="1:13" x14ac:dyDescent="0.3">
      <c r="A232" t="s">
        <v>1608</v>
      </c>
      <c r="B232" s="7" t="s">
        <v>1609</v>
      </c>
      <c r="C232" s="7"/>
      <c r="D232" s="7" t="s">
        <v>1609</v>
      </c>
      <c r="E232" s="7" t="s">
        <v>34</v>
      </c>
      <c r="F232" s="15" t="s">
        <v>1609</v>
      </c>
      <c r="G232" s="15" t="s">
        <v>4968</v>
      </c>
      <c r="H232" s="15" t="s">
        <v>1609</v>
      </c>
      <c r="I232" s="15" t="s">
        <v>1609</v>
      </c>
      <c r="J232" s="15" t="s">
        <v>1609</v>
      </c>
      <c r="K232" s="16">
        <v>4</v>
      </c>
      <c r="L232" s="17" t="s">
        <v>1609</v>
      </c>
      <c r="M232" s="10" t="s">
        <v>4968</v>
      </c>
    </row>
    <row r="233" spans="1:13" x14ac:dyDescent="0.3">
      <c r="A233" t="s">
        <v>1614</v>
      </c>
      <c r="B233" s="7"/>
      <c r="C233" s="7"/>
      <c r="D233" s="7" t="s">
        <v>1615</v>
      </c>
      <c r="E233" s="7" t="s">
        <v>9</v>
      </c>
      <c r="F233" s="15" t="s">
        <v>4968</v>
      </c>
      <c r="G233" s="15" t="s">
        <v>4968</v>
      </c>
      <c r="H233" s="15" t="s">
        <v>5065</v>
      </c>
      <c r="I233" s="15" t="s">
        <v>5064</v>
      </c>
      <c r="J233" s="15" t="s">
        <v>5064</v>
      </c>
      <c r="K233" s="16">
        <v>2</v>
      </c>
      <c r="L233" s="17" t="s">
        <v>5064</v>
      </c>
      <c r="M233" s="10" t="s">
        <v>4968</v>
      </c>
    </row>
    <row r="234" spans="1:13" x14ac:dyDescent="0.3">
      <c r="A234" t="s">
        <v>1625</v>
      </c>
      <c r="B234" s="7"/>
      <c r="C234" s="7" t="s">
        <v>1020</v>
      </c>
      <c r="D234" s="7" t="s">
        <v>1020</v>
      </c>
      <c r="E234" s="7" t="s">
        <v>49</v>
      </c>
      <c r="F234" s="15" t="s">
        <v>5064</v>
      </c>
      <c r="G234" s="15" t="s">
        <v>4968</v>
      </c>
      <c r="H234" s="15" t="s">
        <v>1020</v>
      </c>
      <c r="I234" s="15" t="s">
        <v>5064</v>
      </c>
      <c r="J234" s="15" t="s">
        <v>5064</v>
      </c>
      <c r="K234" s="16">
        <v>3</v>
      </c>
      <c r="L234" s="17" t="s">
        <v>5064</v>
      </c>
      <c r="M234" s="10" t="s">
        <v>4968</v>
      </c>
    </row>
    <row r="235" spans="1:13" x14ac:dyDescent="0.3">
      <c r="A235" t="s">
        <v>1626</v>
      </c>
      <c r="B235" s="7" t="s">
        <v>1627</v>
      </c>
      <c r="C235" s="7"/>
      <c r="D235" s="7" t="s">
        <v>1627</v>
      </c>
      <c r="E235" s="7" t="s">
        <v>34</v>
      </c>
      <c r="F235" s="15" t="s">
        <v>1627</v>
      </c>
      <c r="G235" s="15" t="s">
        <v>4968</v>
      </c>
      <c r="H235" s="15" t="s">
        <v>1627</v>
      </c>
      <c r="I235" s="15" t="s">
        <v>1627</v>
      </c>
      <c r="J235" s="15" t="s">
        <v>1627</v>
      </c>
      <c r="K235" s="16">
        <v>4</v>
      </c>
      <c r="L235" s="17" t="s">
        <v>1627</v>
      </c>
      <c r="M235" s="10" t="s">
        <v>4968</v>
      </c>
    </row>
    <row r="236" spans="1:13" x14ac:dyDescent="0.3">
      <c r="A236" t="s">
        <v>1634</v>
      </c>
      <c r="B236" s="7"/>
      <c r="C236" s="7" t="s">
        <v>1635</v>
      </c>
      <c r="D236" s="7" t="s">
        <v>1635</v>
      </c>
      <c r="E236" s="7" t="s">
        <v>49</v>
      </c>
      <c r="F236" s="15" t="s">
        <v>4968</v>
      </c>
      <c r="G236" s="15" t="s">
        <v>4968</v>
      </c>
      <c r="H236" s="15" t="s">
        <v>1635</v>
      </c>
      <c r="I236" s="15" t="s">
        <v>1635</v>
      </c>
      <c r="J236" s="15" t="s">
        <v>1635</v>
      </c>
      <c r="K236" s="16">
        <v>4</v>
      </c>
      <c r="L236" s="17" t="s">
        <v>1635</v>
      </c>
      <c r="M236" s="10" t="s">
        <v>4968</v>
      </c>
    </row>
    <row r="237" spans="1:13" x14ac:dyDescent="0.3">
      <c r="A237" t="s">
        <v>1636</v>
      </c>
      <c r="B237" s="7"/>
      <c r="C237" s="7" t="s">
        <v>1637</v>
      </c>
      <c r="D237" s="7" t="s">
        <v>1638</v>
      </c>
      <c r="E237" s="7" t="s">
        <v>9</v>
      </c>
      <c r="F237" s="15" t="s">
        <v>1637</v>
      </c>
      <c r="G237" s="15" t="s">
        <v>4968</v>
      </c>
      <c r="H237" s="15" t="s">
        <v>1637</v>
      </c>
      <c r="I237" s="15" t="s">
        <v>1637</v>
      </c>
      <c r="J237" s="15" t="s">
        <v>1637</v>
      </c>
      <c r="K237" s="16">
        <v>4</v>
      </c>
      <c r="L237" s="17" t="s">
        <v>1637</v>
      </c>
      <c r="M237" s="10" t="s">
        <v>4968</v>
      </c>
    </row>
    <row r="238" spans="1:13" x14ac:dyDescent="0.3">
      <c r="A238" t="s">
        <v>1639</v>
      </c>
      <c r="B238" s="7" t="s">
        <v>1640</v>
      </c>
      <c r="C238" s="7"/>
      <c r="D238" s="7" t="s">
        <v>1640</v>
      </c>
      <c r="E238" s="7" t="s">
        <v>34</v>
      </c>
      <c r="F238" s="15" t="s">
        <v>1640</v>
      </c>
      <c r="G238" s="15" t="s">
        <v>4968</v>
      </c>
      <c r="H238" s="15" t="s">
        <v>1640</v>
      </c>
      <c r="I238" s="15" t="s">
        <v>1640</v>
      </c>
      <c r="J238" s="15" t="s">
        <v>1640</v>
      </c>
      <c r="K238" s="16">
        <v>4</v>
      </c>
      <c r="L238" s="17" t="s">
        <v>1640</v>
      </c>
      <c r="M238" s="10" t="s">
        <v>4968</v>
      </c>
    </row>
    <row r="239" spans="1:13" x14ac:dyDescent="0.3">
      <c r="A239" t="s">
        <v>1641</v>
      </c>
      <c r="B239" s="7" t="s">
        <v>1642</v>
      </c>
      <c r="C239" s="7"/>
      <c r="D239" s="7" t="s">
        <v>1642</v>
      </c>
      <c r="E239" s="7" t="s">
        <v>34</v>
      </c>
      <c r="F239" s="15" t="s">
        <v>1642</v>
      </c>
      <c r="G239" s="15" t="s">
        <v>4968</v>
      </c>
      <c r="H239" s="15" t="s">
        <v>1642</v>
      </c>
      <c r="I239" s="15" t="s">
        <v>1640</v>
      </c>
      <c r="J239" s="15" t="s">
        <v>1642</v>
      </c>
      <c r="K239" s="16">
        <v>3</v>
      </c>
      <c r="L239" s="17" t="s">
        <v>1642</v>
      </c>
      <c r="M239" s="10" t="s">
        <v>4968</v>
      </c>
    </row>
    <row r="240" spans="1:13" x14ac:dyDescent="0.3">
      <c r="A240" t="s">
        <v>1649</v>
      </c>
      <c r="B240" s="7"/>
      <c r="C240" s="7"/>
      <c r="D240" s="7" t="s">
        <v>1650</v>
      </c>
      <c r="E240" s="7" t="s">
        <v>9</v>
      </c>
      <c r="F240" s="15" t="s">
        <v>4968</v>
      </c>
      <c r="G240" s="15" t="s">
        <v>4968</v>
      </c>
      <c r="H240" s="15" t="s">
        <v>5069</v>
      </c>
      <c r="I240" s="15" t="s">
        <v>5068</v>
      </c>
      <c r="J240" s="15" t="s">
        <v>5068</v>
      </c>
      <c r="K240" s="16">
        <v>2</v>
      </c>
      <c r="L240" s="17" t="s">
        <v>5068</v>
      </c>
      <c r="M240" s="10" t="s">
        <v>4968</v>
      </c>
    </row>
    <row r="241" spans="1:13" x14ac:dyDescent="0.3">
      <c r="A241" t="s">
        <v>1651</v>
      </c>
      <c r="B241" s="7"/>
      <c r="C241" s="7" t="s">
        <v>1652</v>
      </c>
      <c r="D241" s="7" t="s">
        <v>1652</v>
      </c>
      <c r="E241" s="7" t="s">
        <v>49</v>
      </c>
      <c r="F241" s="15" t="s">
        <v>4968</v>
      </c>
      <c r="G241" s="15" t="s">
        <v>4968</v>
      </c>
      <c r="H241" s="15" t="s">
        <v>1652</v>
      </c>
      <c r="I241" s="15" t="s">
        <v>1652</v>
      </c>
      <c r="J241" s="15" t="s">
        <v>1652</v>
      </c>
      <c r="K241" s="16">
        <v>3</v>
      </c>
      <c r="L241" s="17" t="s">
        <v>1652</v>
      </c>
      <c r="M241" s="10" t="s">
        <v>4968</v>
      </c>
    </row>
    <row r="242" spans="1:13" x14ac:dyDescent="0.3">
      <c r="A242" t="s">
        <v>1655</v>
      </c>
      <c r="B242" s="7" t="s">
        <v>1656</v>
      </c>
      <c r="C242" s="7"/>
      <c r="D242" s="7" t="s">
        <v>1656</v>
      </c>
      <c r="E242" s="7" t="s">
        <v>34</v>
      </c>
      <c r="F242" s="15" t="s">
        <v>1656</v>
      </c>
      <c r="G242" s="15" t="s">
        <v>4968</v>
      </c>
      <c r="H242" s="15" t="s">
        <v>1656</v>
      </c>
      <c r="I242" s="15" t="s">
        <v>1656</v>
      </c>
      <c r="J242" s="15" t="s">
        <v>1656</v>
      </c>
      <c r="K242" s="16">
        <v>4</v>
      </c>
      <c r="L242" s="17" t="s">
        <v>1656</v>
      </c>
      <c r="M242" s="10" t="s">
        <v>4968</v>
      </c>
    </row>
    <row r="243" spans="1:13" x14ac:dyDescent="0.3">
      <c r="A243" t="s">
        <v>1659</v>
      </c>
      <c r="B243" s="7" t="s">
        <v>1660</v>
      </c>
      <c r="C243" s="7"/>
      <c r="D243" s="7" t="s">
        <v>1660</v>
      </c>
      <c r="E243" s="7" t="s">
        <v>34</v>
      </c>
      <c r="F243" s="15" t="s">
        <v>1660</v>
      </c>
      <c r="G243" s="15" t="s">
        <v>4968</v>
      </c>
      <c r="H243" s="15" t="s">
        <v>1660</v>
      </c>
      <c r="I243" s="15" t="s">
        <v>1660</v>
      </c>
      <c r="J243" s="15" t="s">
        <v>1660</v>
      </c>
      <c r="K243" s="16">
        <v>4</v>
      </c>
      <c r="L243" s="17" t="s">
        <v>1660</v>
      </c>
      <c r="M243" s="10" t="s">
        <v>4968</v>
      </c>
    </row>
    <row r="244" spans="1:13" x14ac:dyDescent="0.3">
      <c r="A244" t="s">
        <v>1661</v>
      </c>
      <c r="B244" s="7" t="s">
        <v>1662</v>
      </c>
      <c r="C244" s="7"/>
      <c r="D244" s="7" t="s">
        <v>1662</v>
      </c>
      <c r="E244" s="7" t="s">
        <v>34</v>
      </c>
      <c r="F244" s="15" t="s">
        <v>1662</v>
      </c>
      <c r="G244" s="15" t="s">
        <v>4968</v>
      </c>
      <c r="H244" s="15" t="s">
        <v>1662</v>
      </c>
      <c r="I244" s="15" t="s">
        <v>1662</v>
      </c>
      <c r="J244" s="15" t="s">
        <v>1662</v>
      </c>
      <c r="K244" s="16">
        <v>4</v>
      </c>
      <c r="L244" s="17" t="s">
        <v>1662</v>
      </c>
      <c r="M244" s="10" t="s">
        <v>4968</v>
      </c>
    </row>
    <row r="245" spans="1:13" x14ac:dyDescent="0.3">
      <c r="A245" t="s">
        <v>1670</v>
      </c>
      <c r="B245" s="7" t="s">
        <v>1671</v>
      </c>
      <c r="C245" s="7" t="s">
        <v>1672</v>
      </c>
      <c r="D245" s="7" t="s">
        <v>1672</v>
      </c>
      <c r="E245" s="7" t="s">
        <v>23</v>
      </c>
      <c r="F245" s="15" t="s">
        <v>1672</v>
      </c>
      <c r="G245" s="15" t="s">
        <v>4968</v>
      </c>
      <c r="H245" s="15" t="s">
        <v>1672</v>
      </c>
      <c r="I245" s="15" t="s">
        <v>1672</v>
      </c>
      <c r="J245" s="15" t="s">
        <v>1672</v>
      </c>
      <c r="K245" s="16">
        <v>4</v>
      </c>
      <c r="L245" s="17" t="s">
        <v>1672</v>
      </c>
      <c r="M245" s="10" t="s">
        <v>4968</v>
      </c>
    </row>
    <row r="246" spans="1:13" x14ac:dyDescent="0.3">
      <c r="A246" t="s">
        <v>1698</v>
      </c>
      <c r="B246" s="7" t="s">
        <v>1699</v>
      </c>
      <c r="C246" s="7" t="s">
        <v>1700</v>
      </c>
      <c r="D246" s="7" t="s">
        <v>1699</v>
      </c>
      <c r="E246" s="7" t="s">
        <v>493</v>
      </c>
      <c r="F246" s="15" t="s">
        <v>1700</v>
      </c>
      <c r="G246" s="15" t="s">
        <v>4968</v>
      </c>
      <c r="H246" s="15" t="s">
        <v>1700</v>
      </c>
      <c r="I246" s="15" t="s">
        <v>1699</v>
      </c>
      <c r="J246" s="15" t="s">
        <v>1700</v>
      </c>
      <c r="K246" s="16">
        <v>3</v>
      </c>
      <c r="L246" s="17" t="s">
        <v>1700</v>
      </c>
      <c r="M246" s="10" t="s">
        <v>4968</v>
      </c>
    </row>
    <row r="247" spans="1:13" x14ac:dyDescent="0.3">
      <c r="A247" t="s">
        <v>1719</v>
      </c>
      <c r="B247" s="7"/>
      <c r="C247" s="7" t="s">
        <v>1720</v>
      </c>
      <c r="D247" s="7" t="s">
        <v>1721</v>
      </c>
      <c r="E247" s="7" t="s">
        <v>9</v>
      </c>
      <c r="F247" s="15" t="s">
        <v>1725</v>
      </c>
      <c r="G247" s="15" t="s">
        <v>4968</v>
      </c>
      <c r="H247" s="15" t="s">
        <v>1725</v>
      </c>
      <c r="I247" s="15" t="s">
        <v>1725</v>
      </c>
      <c r="J247" s="15" t="s">
        <v>1725</v>
      </c>
      <c r="K247" s="16">
        <v>4</v>
      </c>
      <c r="L247" s="17" t="s">
        <v>1725</v>
      </c>
      <c r="M247" s="10" t="s">
        <v>4968</v>
      </c>
    </row>
    <row r="248" spans="1:13" x14ac:dyDescent="0.3">
      <c r="A248" t="s">
        <v>1722</v>
      </c>
      <c r="B248" s="7"/>
      <c r="C248" s="7"/>
      <c r="D248" s="7" t="s">
        <v>1723</v>
      </c>
      <c r="E248" s="7" t="s">
        <v>9</v>
      </c>
      <c r="F248" s="15" t="s">
        <v>5070</v>
      </c>
      <c r="G248" s="15" t="s">
        <v>4968</v>
      </c>
      <c r="H248" s="15" t="s">
        <v>5070</v>
      </c>
      <c r="I248" s="15" t="s">
        <v>5070</v>
      </c>
      <c r="J248" s="15" t="s">
        <v>5070</v>
      </c>
      <c r="K248" s="16">
        <v>4</v>
      </c>
      <c r="L248" s="17" t="s">
        <v>5070</v>
      </c>
      <c r="M248" s="10" t="s">
        <v>4968</v>
      </c>
    </row>
    <row r="249" spans="1:13" x14ac:dyDescent="0.3">
      <c r="A249" t="s">
        <v>1728</v>
      </c>
      <c r="B249" s="7"/>
      <c r="C249" s="7"/>
      <c r="D249" s="7" t="s">
        <v>1723</v>
      </c>
      <c r="E249" s="7" t="s">
        <v>9</v>
      </c>
      <c r="F249" s="15" t="s">
        <v>5072</v>
      </c>
      <c r="G249" s="15" t="s">
        <v>4968</v>
      </c>
      <c r="H249" s="15" t="s">
        <v>1723</v>
      </c>
      <c r="I249" s="15" t="s">
        <v>5071</v>
      </c>
      <c r="J249" s="15" t="s">
        <v>5071</v>
      </c>
      <c r="K249" s="16">
        <v>2</v>
      </c>
      <c r="L249" s="17" t="s">
        <v>5071</v>
      </c>
      <c r="M249" s="10" t="s">
        <v>4968</v>
      </c>
    </row>
    <row r="250" spans="1:13" x14ac:dyDescent="0.3">
      <c r="A250" t="s">
        <v>1731</v>
      </c>
      <c r="B250" s="7"/>
      <c r="C250" s="7" t="s">
        <v>1732</v>
      </c>
      <c r="D250" s="7" t="s">
        <v>1732</v>
      </c>
      <c r="E250" s="7" t="s">
        <v>49</v>
      </c>
      <c r="F250" s="15" t="s">
        <v>1732</v>
      </c>
      <c r="G250" s="15" t="s">
        <v>4968</v>
      </c>
      <c r="H250" s="15" t="s">
        <v>1732</v>
      </c>
      <c r="I250" s="15" t="s">
        <v>1732</v>
      </c>
      <c r="J250" s="15" t="s">
        <v>1732</v>
      </c>
      <c r="K250" s="16">
        <v>4</v>
      </c>
      <c r="L250" s="17" t="s">
        <v>1732</v>
      </c>
      <c r="M250" s="10" t="s">
        <v>4968</v>
      </c>
    </row>
    <row r="251" spans="1:13" x14ac:dyDescent="0.3">
      <c r="A251" t="s">
        <v>1733</v>
      </c>
      <c r="B251" s="7" t="s">
        <v>1734</v>
      </c>
      <c r="C251" s="7"/>
      <c r="D251" s="7" t="s">
        <v>1734</v>
      </c>
      <c r="E251" s="7" t="s">
        <v>34</v>
      </c>
      <c r="F251" s="15" t="s">
        <v>1734</v>
      </c>
      <c r="G251" s="15" t="s">
        <v>4968</v>
      </c>
      <c r="H251" s="15" t="s">
        <v>1734</v>
      </c>
      <c r="I251" s="15" t="s">
        <v>1734</v>
      </c>
      <c r="J251" s="15" t="s">
        <v>1734</v>
      </c>
      <c r="K251" s="16">
        <v>4</v>
      </c>
      <c r="L251" s="17" t="s">
        <v>1734</v>
      </c>
      <c r="M251" s="10" t="s">
        <v>4968</v>
      </c>
    </row>
    <row r="252" spans="1:13" x14ac:dyDescent="0.3">
      <c r="A252" t="s">
        <v>1741</v>
      </c>
      <c r="B252" s="7" t="s">
        <v>1742</v>
      </c>
      <c r="C252" s="7"/>
      <c r="D252" s="7" t="s">
        <v>1743</v>
      </c>
      <c r="E252" s="7" t="s">
        <v>9</v>
      </c>
      <c r="F252" s="15" t="s">
        <v>5073</v>
      </c>
      <c r="G252" s="15" t="s">
        <v>4968</v>
      </c>
      <c r="H252" s="15" t="s">
        <v>5073</v>
      </c>
      <c r="I252" s="15" t="s">
        <v>5073</v>
      </c>
      <c r="J252" s="15" t="s">
        <v>5073</v>
      </c>
      <c r="K252" s="16">
        <v>4</v>
      </c>
      <c r="L252" s="17" t="s">
        <v>5073</v>
      </c>
      <c r="M252" s="10" t="s">
        <v>4968</v>
      </c>
    </row>
    <row r="253" spans="1:13" x14ac:dyDescent="0.3">
      <c r="A253" t="s">
        <v>1748</v>
      </c>
      <c r="B253" s="7"/>
      <c r="C253" s="7" t="s">
        <v>1749</v>
      </c>
      <c r="D253" s="7" t="s">
        <v>1749</v>
      </c>
      <c r="E253" s="7" t="s">
        <v>49</v>
      </c>
      <c r="F253" s="15" t="s">
        <v>1749</v>
      </c>
      <c r="G253" s="15" t="s">
        <v>4968</v>
      </c>
      <c r="H253" s="15" t="s">
        <v>1749</v>
      </c>
      <c r="I253" s="15" t="s">
        <v>1749</v>
      </c>
      <c r="J253" s="15" t="s">
        <v>1749</v>
      </c>
      <c r="K253" s="16">
        <v>4</v>
      </c>
      <c r="L253" s="17" t="s">
        <v>1749</v>
      </c>
      <c r="M253" s="10" t="s">
        <v>4968</v>
      </c>
    </row>
    <row r="254" spans="1:13" x14ac:dyDescent="0.3">
      <c r="A254" t="s">
        <v>1752</v>
      </c>
      <c r="B254" s="7" t="s">
        <v>1753</v>
      </c>
      <c r="C254" s="7"/>
      <c r="D254" s="7" t="s">
        <v>1753</v>
      </c>
      <c r="E254" s="7" t="s">
        <v>34</v>
      </c>
      <c r="F254" s="15" t="s">
        <v>5074</v>
      </c>
      <c r="G254" s="15" t="s">
        <v>4968</v>
      </c>
      <c r="H254" s="15" t="s">
        <v>5074</v>
      </c>
      <c r="I254" s="15" t="s">
        <v>5074</v>
      </c>
      <c r="J254" s="15" t="s">
        <v>5074</v>
      </c>
      <c r="K254" s="16">
        <v>4</v>
      </c>
      <c r="L254" s="17" t="s">
        <v>5074</v>
      </c>
      <c r="M254" s="10" t="s">
        <v>4968</v>
      </c>
    </row>
    <row r="255" spans="1:13" x14ac:dyDescent="0.3">
      <c r="A255" t="s">
        <v>1756</v>
      </c>
      <c r="B255" s="7" t="s">
        <v>1757</v>
      </c>
      <c r="C255" s="7" t="s">
        <v>1758</v>
      </c>
      <c r="D255" s="7" t="s">
        <v>1758</v>
      </c>
      <c r="E255" s="7" t="s">
        <v>23</v>
      </c>
      <c r="F255" s="15" t="s">
        <v>1758</v>
      </c>
      <c r="G255" s="15" t="s">
        <v>4968</v>
      </c>
      <c r="H255" s="15" t="s">
        <v>1758</v>
      </c>
      <c r="I255" s="15" t="s">
        <v>1758</v>
      </c>
      <c r="J255" s="15" t="s">
        <v>1758</v>
      </c>
      <c r="K255" s="16">
        <v>4</v>
      </c>
      <c r="L255" s="17" t="s">
        <v>1758</v>
      </c>
      <c r="M255" s="10" t="s">
        <v>4968</v>
      </c>
    </row>
    <row r="256" spans="1:13" x14ac:dyDescent="0.3">
      <c r="A256" t="s">
        <v>1759</v>
      </c>
      <c r="B256" s="7"/>
      <c r="C256" s="7"/>
      <c r="D256" s="7" t="s">
        <v>1760</v>
      </c>
      <c r="E256" s="7" t="s">
        <v>9</v>
      </c>
      <c r="F256" s="15" t="s">
        <v>4968</v>
      </c>
      <c r="G256" s="15" t="s">
        <v>4968</v>
      </c>
      <c r="H256" s="15" t="s">
        <v>1760</v>
      </c>
      <c r="I256" s="15" t="s">
        <v>1760</v>
      </c>
      <c r="J256" s="15" t="s">
        <v>1760</v>
      </c>
      <c r="K256" s="16">
        <v>3</v>
      </c>
      <c r="L256" s="17" t="s">
        <v>1760</v>
      </c>
      <c r="M256" s="10" t="s">
        <v>4968</v>
      </c>
    </row>
    <row r="257" spans="1:13" x14ac:dyDescent="0.3">
      <c r="A257" t="s">
        <v>1766</v>
      </c>
      <c r="B257" s="7" t="s">
        <v>1767</v>
      </c>
      <c r="C257" s="7"/>
      <c r="D257" s="7" t="s">
        <v>1767</v>
      </c>
      <c r="E257" s="7" t="s">
        <v>34</v>
      </c>
      <c r="F257" s="15" t="s">
        <v>1767</v>
      </c>
      <c r="G257" s="15" t="s">
        <v>4968</v>
      </c>
      <c r="H257" s="15" t="s">
        <v>1767</v>
      </c>
      <c r="I257" s="15" t="s">
        <v>1767</v>
      </c>
      <c r="J257" s="15" t="s">
        <v>5075</v>
      </c>
      <c r="K257" s="16">
        <v>3</v>
      </c>
      <c r="L257" s="17" t="s">
        <v>1767</v>
      </c>
      <c r="M257" s="10" t="s">
        <v>4968</v>
      </c>
    </row>
    <row r="258" spans="1:13" x14ac:dyDescent="0.3">
      <c r="A258" t="s">
        <v>1770</v>
      </c>
      <c r="B258" s="7"/>
      <c r="C258" s="7"/>
      <c r="D258" s="7" t="s">
        <v>1771</v>
      </c>
      <c r="E258" s="7" t="s">
        <v>9</v>
      </c>
      <c r="F258" s="15" t="s">
        <v>5076</v>
      </c>
      <c r="G258" s="15" t="s">
        <v>5076</v>
      </c>
      <c r="H258" s="15" t="s">
        <v>4968</v>
      </c>
      <c r="I258" s="15" t="s">
        <v>5076</v>
      </c>
      <c r="J258" s="15" t="s">
        <v>5076</v>
      </c>
      <c r="K258" s="16">
        <v>4</v>
      </c>
      <c r="L258" s="17" t="s">
        <v>5076</v>
      </c>
      <c r="M258" s="10" t="s">
        <v>4968</v>
      </c>
    </row>
    <row r="259" spans="1:13" x14ac:dyDescent="0.3">
      <c r="A259" t="s">
        <v>1772</v>
      </c>
      <c r="B259" s="7"/>
      <c r="C259" s="7" t="s">
        <v>1773</v>
      </c>
      <c r="D259" s="7" t="s">
        <v>1774</v>
      </c>
      <c r="E259" s="7" t="s">
        <v>9</v>
      </c>
      <c r="F259" s="15" t="s">
        <v>1773</v>
      </c>
      <c r="G259" s="15" t="s">
        <v>1773</v>
      </c>
      <c r="H259" s="15" t="s">
        <v>4968</v>
      </c>
      <c r="I259" s="15" t="s">
        <v>1773</v>
      </c>
      <c r="J259" s="15" t="s">
        <v>1773</v>
      </c>
      <c r="K259" s="16">
        <v>4</v>
      </c>
      <c r="L259" s="17" t="s">
        <v>1773</v>
      </c>
      <c r="M259" s="10" t="s">
        <v>4968</v>
      </c>
    </row>
    <row r="260" spans="1:13" x14ac:dyDescent="0.3">
      <c r="A260" t="s">
        <v>1779</v>
      </c>
      <c r="B260" s="7"/>
      <c r="C260" s="7"/>
      <c r="D260" s="7" t="s">
        <v>1780</v>
      </c>
      <c r="E260" s="7" t="s">
        <v>9</v>
      </c>
      <c r="F260" s="15" t="s">
        <v>5077</v>
      </c>
      <c r="G260" s="15" t="s">
        <v>5077</v>
      </c>
      <c r="H260" s="15" t="s">
        <v>4968</v>
      </c>
      <c r="I260" s="15" t="s">
        <v>5077</v>
      </c>
      <c r="J260" s="15" t="s">
        <v>5077</v>
      </c>
      <c r="K260" s="16">
        <v>4</v>
      </c>
      <c r="L260" s="17" t="s">
        <v>5077</v>
      </c>
      <c r="M260" s="10" t="s">
        <v>4968</v>
      </c>
    </row>
    <row r="261" spans="1:13" x14ac:dyDescent="0.3">
      <c r="A261" t="s">
        <v>1783</v>
      </c>
      <c r="B261" s="7"/>
      <c r="C261" s="7"/>
      <c r="D261" s="7" t="s">
        <v>1784</v>
      </c>
      <c r="E261" s="7" t="s">
        <v>9</v>
      </c>
      <c r="F261" s="15" t="s">
        <v>1784</v>
      </c>
      <c r="G261" s="15" t="s">
        <v>1784</v>
      </c>
      <c r="H261" s="15" t="s">
        <v>4968</v>
      </c>
      <c r="I261" s="15" t="s">
        <v>1784</v>
      </c>
      <c r="J261" s="15" t="s">
        <v>1784</v>
      </c>
      <c r="K261" s="16">
        <v>4</v>
      </c>
      <c r="L261" s="17" t="s">
        <v>1784</v>
      </c>
      <c r="M261" s="10" t="s">
        <v>4968</v>
      </c>
    </row>
    <row r="262" spans="1:13" x14ac:dyDescent="0.3">
      <c r="A262" t="s">
        <v>1791</v>
      </c>
      <c r="B262" s="7" t="s">
        <v>1792</v>
      </c>
      <c r="C262" s="7"/>
      <c r="D262" s="7" t="s">
        <v>1792</v>
      </c>
      <c r="E262" s="7" t="s">
        <v>34</v>
      </c>
      <c r="F262" s="15" t="s">
        <v>1792</v>
      </c>
      <c r="G262" s="15" t="s">
        <v>1792</v>
      </c>
      <c r="H262" s="15" t="s">
        <v>4968</v>
      </c>
      <c r="I262" s="15" t="s">
        <v>1792</v>
      </c>
      <c r="J262" s="15" t="s">
        <v>1792</v>
      </c>
      <c r="K262" s="16">
        <v>4</v>
      </c>
      <c r="L262" s="17" t="s">
        <v>1792</v>
      </c>
      <c r="M262" s="10" t="s">
        <v>4968</v>
      </c>
    </row>
    <row r="263" spans="1:13" x14ac:dyDescent="0.3">
      <c r="A263" t="s">
        <v>1793</v>
      </c>
      <c r="B263" s="7"/>
      <c r="C263" s="7" t="s">
        <v>1794</v>
      </c>
      <c r="D263" s="7" t="s">
        <v>1794</v>
      </c>
      <c r="E263" s="7" t="s">
        <v>49</v>
      </c>
      <c r="F263" s="15" t="s">
        <v>1794</v>
      </c>
      <c r="G263" s="15" t="s">
        <v>1794</v>
      </c>
      <c r="H263" s="15" t="s">
        <v>4968</v>
      </c>
      <c r="I263" s="15" t="s">
        <v>1794</v>
      </c>
      <c r="J263" s="15" t="s">
        <v>1794</v>
      </c>
      <c r="K263" s="16">
        <v>4</v>
      </c>
      <c r="L263" s="17" t="s">
        <v>1794</v>
      </c>
      <c r="M263" s="10" t="s">
        <v>4968</v>
      </c>
    </row>
    <row r="264" spans="1:13" x14ac:dyDescent="0.3">
      <c r="A264" t="s">
        <v>1813</v>
      </c>
      <c r="B264" s="7"/>
      <c r="C264" s="7" t="s">
        <v>1814</v>
      </c>
      <c r="D264" s="7" t="s">
        <v>1814</v>
      </c>
      <c r="E264" s="7" t="s">
        <v>49</v>
      </c>
      <c r="F264" s="15" t="s">
        <v>1814</v>
      </c>
      <c r="G264" s="15" t="s">
        <v>1814</v>
      </c>
      <c r="H264" s="15" t="s">
        <v>4968</v>
      </c>
      <c r="I264" s="15" t="s">
        <v>1814</v>
      </c>
      <c r="J264" s="15" t="s">
        <v>1814</v>
      </c>
      <c r="K264" s="16">
        <v>4</v>
      </c>
      <c r="L264" s="17" t="s">
        <v>1814</v>
      </c>
      <c r="M264" s="10" t="s">
        <v>4968</v>
      </c>
    </row>
    <row r="265" spans="1:13" x14ac:dyDescent="0.3">
      <c r="A265" t="s">
        <v>1817</v>
      </c>
      <c r="B265" s="7"/>
      <c r="C265" s="7"/>
      <c r="D265" s="7" t="s">
        <v>1818</v>
      </c>
      <c r="E265" s="7" t="s">
        <v>9</v>
      </c>
      <c r="F265" s="15" t="s">
        <v>1818</v>
      </c>
      <c r="G265" s="15" t="s">
        <v>1818</v>
      </c>
      <c r="H265" s="15" t="s">
        <v>4968</v>
      </c>
      <c r="I265" s="15" t="s">
        <v>1818</v>
      </c>
      <c r="J265" s="15" t="s">
        <v>1818</v>
      </c>
      <c r="K265" s="16">
        <v>4</v>
      </c>
      <c r="L265" s="17" t="s">
        <v>1818</v>
      </c>
      <c r="M265" s="10" t="s">
        <v>4968</v>
      </c>
    </row>
    <row r="266" spans="1:13" x14ac:dyDescent="0.3">
      <c r="A266" t="s">
        <v>1819</v>
      </c>
      <c r="B266" s="7"/>
      <c r="C266" s="7" t="s">
        <v>1820</v>
      </c>
      <c r="D266" s="7" t="s">
        <v>1820</v>
      </c>
      <c r="E266" s="7" t="s">
        <v>49</v>
      </c>
      <c r="F266" s="15" t="s">
        <v>1820</v>
      </c>
      <c r="G266" s="15" t="s">
        <v>1820</v>
      </c>
      <c r="H266" s="15" t="s">
        <v>4968</v>
      </c>
      <c r="I266" s="15" t="s">
        <v>1820</v>
      </c>
      <c r="J266" s="15" t="s">
        <v>1820</v>
      </c>
      <c r="K266" s="16">
        <v>4</v>
      </c>
      <c r="L266" s="17" t="s">
        <v>1820</v>
      </c>
      <c r="M266" s="10" t="s">
        <v>4968</v>
      </c>
    </row>
    <row r="267" spans="1:13" x14ac:dyDescent="0.3">
      <c r="A267" t="s">
        <v>1821</v>
      </c>
      <c r="B267" s="7" t="s">
        <v>1822</v>
      </c>
      <c r="C267" s="7" t="s">
        <v>1823</v>
      </c>
      <c r="D267" s="7" t="s">
        <v>1823</v>
      </c>
      <c r="E267" s="7" t="s">
        <v>23</v>
      </c>
      <c r="F267" s="15" t="s">
        <v>1822</v>
      </c>
      <c r="G267" s="15" t="s">
        <v>1823</v>
      </c>
      <c r="H267" s="15" t="s">
        <v>4968</v>
      </c>
      <c r="I267" s="15" t="s">
        <v>5078</v>
      </c>
      <c r="J267" s="15" t="s">
        <v>5078</v>
      </c>
      <c r="K267" s="16">
        <v>3</v>
      </c>
      <c r="L267" s="17" t="s">
        <v>5078</v>
      </c>
      <c r="M267" s="10" t="s">
        <v>4968</v>
      </c>
    </row>
    <row r="268" spans="1:13" x14ac:dyDescent="0.3">
      <c r="A268" t="s">
        <v>1824</v>
      </c>
      <c r="B268" s="7"/>
      <c r="C268" s="7" t="s">
        <v>1825</v>
      </c>
      <c r="D268" s="7" t="s">
        <v>1825</v>
      </c>
      <c r="E268" s="7" t="s">
        <v>49</v>
      </c>
      <c r="F268" s="15" t="s">
        <v>1825</v>
      </c>
      <c r="G268" s="15" t="s">
        <v>1825</v>
      </c>
      <c r="H268" s="15" t="s">
        <v>4968</v>
      </c>
      <c r="I268" s="15" t="s">
        <v>1825</v>
      </c>
      <c r="J268" s="15" t="s">
        <v>1825</v>
      </c>
      <c r="K268" s="16">
        <v>4</v>
      </c>
      <c r="L268" s="17" t="s">
        <v>1825</v>
      </c>
      <c r="M268" s="10" t="s">
        <v>4968</v>
      </c>
    </row>
    <row r="269" spans="1:13" x14ac:dyDescent="0.3">
      <c r="A269" t="s">
        <v>1828</v>
      </c>
      <c r="B269" s="7" t="s">
        <v>1829</v>
      </c>
      <c r="C269" s="7" t="s">
        <v>1829</v>
      </c>
      <c r="D269" s="7"/>
      <c r="E269" s="7" t="s">
        <v>323</v>
      </c>
      <c r="F269" s="15" t="s">
        <v>1829</v>
      </c>
      <c r="G269" s="15" t="s">
        <v>1829</v>
      </c>
      <c r="H269" s="15" t="s">
        <v>4968</v>
      </c>
      <c r="I269" s="15" t="s">
        <v>1829</v>
      </c>
      <c r="J269" s="15" t="s">
        <v>1829</v>
      </c>
      <c r="K269" s="16">
        <v>4</v>
      </c>
      <c r="L269" s="17" t="s">
        <v>1829</v>
      </c>
      <c r="M269" s="10" t="s">
        <v>4968</v>
      </c>
    </row>
    <row r="270" spans="1:13" x14ac:dyDescent="0.3">
      <c r="A270" t="s">
        <v>1830</v>
      </c>
      <c r="B270" s="7" t="s">
        <v>1831</v>
      </c>
      <c r="C270" s="7" t="s">
        <v>1831</v>
      </c>
      <c r="D270" s="7" t="s">
        <v>1832</v>
      </c>
      <c r="E270" s="7" t="s">
        <v>15</v>
      </c>
      <c r="F270" s="15" t="s">
        <v>1831</v>
      </c>
      <c r="G270" s="15" t="s">
        <v>1832</v>
      </c>
      <c r="H270" s="15" t="s">
        <v>4968</v>
      </c>
      <c r="I270" s="15" t="s">
        <v>1831</v>
      </c>
      <c r="J270" s="15" t="s">
        <v>1831</v>
      </c>
      <c r="K270" s="16">
        <v>3</v>
      </c>
      <c r="L270" s="17" t="s">
        <v>1831</v>
      </c>
      <c r="M270" s="10" t="s">
        <v>4968</v>
      </c>
    </row>
    <row r="271" spans="1:13" x14ac:dyDescent="0.3">
      <c r="A271" t="s">
        <v>1835</v>
      </c>
      <c r="B271" s="7"/>
      <c r="C271" s="7" t="s">
        <v>1836</v>
      </c>
      <c r="D271" s="7" t="s">
        <v>1836</v>
      </c>
      <c r="E271" s="7" t="s">
        <v>49</v>
      </c>
      <c r="F271" s="15" t="s">
        <v>1836</v>
      </c>
      <c r="G271" s="15" t="s">
        <v>1836</v>
      </c>
      <c r="H271" s="15" t="s">
        <v>4968</v>
      </c>
      <c r="I271" s="15" t="s">
        <v>1836</v>
      </c>
      <c r="J271" s="15" t="s">
        <v>1836</v>
      </c>
      <c r="K271" s="16">
        <v>4</v>
      </c>
      <c r="L271" s="17" t="s">
        <v>1836</v>
      </c>
      <c r="M271" s="10" t="s">
        <v>4968</v>
      </c>
    </row>
    <row r="272" spans="1:13" x14ac:dyDescent="0.3">
      <c r="A272" t="s">
        <v>1847</v>
      </c>
      <c r="B272" s="7" t="s">
        <v>1848</v>
      </c>
      <c r="C272" s="7" t="s">
        <v>1848</v>
      </c>
      <c r="D272" s="7" t="s">
        <v>1849</v>
      </c>
      <c r="E272" s="7" t="s">
        <v>15</v>
      </c>
      <c r="F272" s="15" t="s">
        <v>1848</v>
      </c>
      <c r="G272" s="15" t="s">
        <v>1848</v>
      </c>
      <c r="H272" s="15" t="s">
        <v>4968</v>
      </c>
      <c r="I272" s="15" t="s">
        <v>1848</v>
      </c>
      <c r="J272" s="15" t="s">
        <v>1848</v>
      </c>
      <c r="K272" s="16">
        <v>4</v>
      </c>
      <c r="L272" s="17" t="s">
        <v>5079</v>
      </c>
      <c r="M272" s="10" t="s">
        <v>4968</v>
      </c>
    </row>
    <row r="273" spans="1:13" x14ac:dyDescent="0.3">
      <c r="A273" t="s">
        <v>1852</v>
      </c>
      <c r="B273" s="7" t="s">
        <v>1853</v>
      </c>
      <c r="C273" s="7" t="s">
        <v>1854</v>
      </c>
      <c r="D273" s="7" t="s">
        <v>1854</v>
      </c>
      <c r="E273" s="7" t="s">
        <v>23</v>
      </c>
      <c r="F273" s="15" t="s">
        <v>1853</v>
      </c>
      <c r="G273" s="15" t="s">
        <v>1853</v>
      </c>
      <c r="H273" s="15" t="s">
        <v>4968</v>
      </c>
      <c r="I273" s="15" t="s">
        <v>1853</v>
      </c>
      <c r="J273" s="15" t="s">
        <v>1853</v>
      </c>
      <c r="K273" s="16">
        <v>4</v>
      </c>
      <c r="L273" s="17" t="s">
        <v>1854</v>
      </c>
      <c r="M273" s="10" t="s">
        <v>4968</v>
      </c>
    </row>
    <row r="274" spans="1:13" x14ac:dyDescent="0.3">
      <c r="A274" t="s">
        <v>1876</v>
      </c>
      <c r="B274" s="7"/>
      <c r="C274" s="7"/>
      <c r="D274" s="7" t="s">
        <v>1877</v>
      </c>
      <c r="E274" s="7" t="s">
        <v>9</v>
      </c>
      <c r="F274" s="15" t="s">
        <v>5081</v>
      </c>
      <c r="G274" s="15" t="s">
        <v>5081</v>
      </c>
      <c r="H274" s="15" t="s">
        <v>4968</v>
      </c>
      <c r="I274" s="15" t="s">
        <v>5081</v>
      </c>
      <c r="J274" s="15" t="s">
        <v>5081</v>
      </c>
      <c r="K274" s="16">
        <v>4</v>
      </c>
      <c r="L274" s="17" t="s">
        <v>5080</v>
      </c>
      <c r="M274" s="10" t="s">
        <v>4968</v>
      </c>
    </row>
    <row r="275" spans="1:13" x14ac:dyDescent="0.3">
      <c r="A275" t="s">
        <v>1887</v>
      </c>
      <c r="B275" s="7" t="s">
        <v>1888</v>
      </c>
      <c r="C275" s="7" t="s">
        <v>1889</v>
      </c>
      <c r="D275" s="7" t="s">
        <v>1888</v>
      </c>
      <c r="E275" s="7" t="s">
        <v>493</v>
      </c>
      <c r="F275" s="15" t="s">
        <v>1889</v>
      </c>
      <c r="G275" s="15" t="s">
        <v>1889</v>
      </c>
      <c r="H275" s="15" t="s">
        <v>4968</v>
      </c>
      <c r="I275" s="15" t="s">
        <v>1889</v>
      </c>
      <c r="J275" s="15" t="s">
        <v>1889</v>
      </c>
      <c r="K275" s="16">
        <v>4</v>
      </c>
      <c r="L275" s="17" t="s">
        <v>1889</v>
      </c>
      <c r="M275" s="10" t="s">
        <v>4968</v>
      </c>
    </row>
    <row r="276" spans="1:13" x14ac:dyDescent="0.3">
      <c r="A276" t="s">
        <v>1890</v>
      </c>
      <c r="B276" s="7"/>
      <c r="C276" s="7" t="s">
        <v>1891</v>
      </c>
      <c r="D276" s="7" t="s">
        <v>1891</v>
      </c>
      <c r="E276" s="7" t="s">
        <v>49</v>
      </c>
      <c r="F276" s="15" t="s">
        <v>1891</v>
      </c>
      <c r="G276" s="15" t="s">
        <v>1891</v>
      </c>
      <c r="H276" s="15" t="s">
        <v>4968</v>
      </c>
      <c r="I276" s="15" t="s">
        <v>1891</v>
      </c>
      <c r="J276" s="15" t="s">
        <v>1891</v>
      </c>
      <c r="K276" s="16">
        <v>4</v>
      </c>
      <c r="L276" s="17" t="s">
        <v>1891</v>
      </c>
      <c r="M276" s="10" t="s">
        <v>4968</v>
      </c>
    </row>
    <row r="277" spans="1:13" x14ac:dyDescent="0.3">
      <c r="A277" t="s">
        <v>1892</v>
      </c>
      <c r="B277" s="7" t="s">
        <v>1893</v>
      </c>
      <c r="C277" s="7" t="s">
        <v>1894</v>
      </c>
      <c r="D277" s="7" t="s">
        <v>1893</v>
      </c>
      <c r="E277" s="7" t="s">
        <v>493</v>
      </c>
      <c r="F277" s="15" t="s">
        <v>1893</v>
      </c>
      <c r="G277" s="15" t="s">
        <v>1893</v>
      </c>
      <c r="H277" s="15" t="s">
        <v>4968</v>
      </c>
      <c r="I277" s="15" t="s">
        <v>1893</v>
      </c>
      <c r="J277" s="15" t="s">
        <v>1893</v>
      </c>
      <c r="K277" s="16">
        <v>4</v>
      </c>
      <c r="L277" s="17" t="s">
        <v>1893</v>
      </c>
      <c r="M277" s="10" t="s">
        <v>4968</v>
      </c>
    </row>
    <row r="278" spans="1:13" x14ac:dyDescent="0.3">
      <c r="A278" t="s">
        <v>1897</v>
      </c>
      <c r="B278" s="7"/>
      <c r="C278" s="7" t="s">
        <v>1898</v>
      </c>
      <c r="D278" s="7" t="s">
        <v>1898</v>
      </c>
      <c r="E278" s="7" t="s">
        <v>49</v>
      </c>
      <c r="F278" s="15" t="s">
        <v>1898</v>
      </c>
      <c r="G278" s="15" t="s">
        <v>1898</v>
      </c>
      <c r="H278" s="15" t="s">
        <v>4968</v>
      </c>
      <c r="I278" s="15" t="s">
        <v>1898</v>
      </c>
      <c r="J278" s="15" t="s">
        <v>1898</v>
      </c>
      <c r="K278" s="16">
        <v>4</v>
      </c>
      <c r="L278" s="17" t="s">
        <v>1898</v>
      </c>
      <c r="M278" s="10" t="s">
        <v>4968</v>
      </c>
    </row>
    <row r="279" spans="1:13" x14ac:dyDescent="0.3">
      <c r="A279" t="s">
        <v>1899</v>
      </c>
      <c r="B279" s="7" t="s">
        <v>1900</v>
      </c>
      <c r="C279" s="7"/>
      <c r="D279" s="7" t="s">
        <v>1900</v>
      </c>
      <c r="E279" s="7" t="s">
        <v>34</v>
      </c>
      <c r="F279" s="15" t="s">
        <v>1900</v>
      </c>
      <c r="G279" s="15" t="s">
        <v>1900</v>
      </c>
      <c r="H279" s="15" t="s">
        <v>4968</v>
      </c>
      <c r="I279" s="15" t="s">
        <v>5082</v>
      </c>
      <c r="J279" s="15" t="s">
        <v>1900</v>
      </c>
      <c r="K279" s="16">
        <v>3</v>
      </c>
      <c r="L279" s="17" t="s">
        <v>1900</v>
      </c>
      <c r="M279" s="10" t="s">
        <v>4968</v>
      </c>
    </row>
    <row r="280" spans="1:13" x14ac:dyDescent="0.3">
      <c r="A280" t="s">
        <v>1905</v>
      </c>
      <c r="B280" s="7" t="s">
        <v>1906</v>
      </c>
      <c r="C280" s="7"/>
      <c r="D280" s="7" t="s">
        <v>1906</v>
      </c>
      <c r="E280" s="7" t="s">
        <v>34</v>
      </c>
      <c r="F280" s="15" t="s">
        <v>1906</v>
      </c>
      <c r="G280" s="15" t="s">
        <v>1906</v>
      </c>
      <c r="H280" s="15" t="s">
        <v>5083</v>
      </c>
      <c r="I280" s="15" t="s">
        <v>5083</v>
      </c>
      <c r="J280" s="15" t="s">
        <v>5083</v>
      </c>
      <c r="K280" s="16">
        <v>3</v>
      </c>
      <c r="L280" s="17" t="s">
        <v>5083</v>
      </c>
      <c r="M280" s="10" t="s">
        <v>4968</v>
      </c>
    </row>
    <row r="281" spans="1:13" x14ac:dyDescent="0.3">
      <c r="A281" t="s">
        <v>1907</v>
      </c>
      <c r="B281" s="7"/>
      <c r="C281" s="7"/>
      <c r="D281" s="7" t="s">
        <v>1908</v>
      </c>
      <c r="E281" s="7" t="s">
        <v>9</v>
      </c>
      <c r="F281" s="15" t="s">
        <v>1908</v>
      </c>
      <c r="G281" s="15" t="s">
        <v>1908</v>
      </c>
      <c r="H281" s="15" t="s">
        <v>1908</v>
      </c>
      <c r="I281" s="15" t="s">
        <v>5084</v>
      </c>
      <c r="J281" s="15" t="s">
        <v>5084</v>
      </c>
      <c r="K281" s="16">
        <v>3</v>
      </c>
      <c r="L281" s="17" t="s">
        <v>1908</v>
      </c>
      <c r="M281" s="10" t="s">
        <v>4968</v>
      </c>
    </row>
    <row r="282" spans="1:13" x14ac:dyDescent="0.3">
      <c r="A282" t="s">
        <v>1911</v>
      </c>
      <c r="B282" s="7" t="s">
        <v>1912</v>
      </c>
      <c r="C282" s="7"/>
      <c r="D282" s="7" t="s">
        <v>1912</v>
      </c>
      <c r="E282" s="7" t="s">
        <v>34</v>
      </c>
      <c r="F282" s="15" t="s">
        <v>1912</v>
      </c>
      <c r="G282" s="15" t="s">
        <v>1912</v>
      </c>
      <c r="H282" s="15" t="s">
        <v>4968</v>
      </c>
      <c r="I282" s="15" t="s">
        <v>1912</v>
      </c>
      <c r="J282" s="15" t="s">
        <v>1912</v>
      </c>
      <c r="K282" s="16">
        <v>4</v>
      </c>
      <c r="L282" s="17" t="s">
        <v>1912</v>
      </c>
      <c r="M282" s="10" t="s">
        <v>4968</v>
      </c>
    </row>
    <row r="283" spans="1:13" x14ac:dyDescent="0.3">
      <c r="A283" t="s">
        <v>1917</v>
      </c>
      <c r="B283" s="7"/>
      <c r="C283" s="7" t="s">
        <v>1918</v>
      </c>
      <c r="D283" s="7" t="s">
        <v>1916</v>
      </c>
      <c r="E283" s="7" t="s">
        <v>9</v>
      </c>
      <c r="F283" s="15" t="s">
        <v>5085</v>
      </c>
      <c r="G283" s="15" t="s">
        <v>5086</v>
      </c>
      <c r="H283" s="15" t="s">
        <v>4968</v>
      </c>
      <c r="I283" s="15" t="s">
        <v>5085</v>
      </c>
      <c r="J283" s="15" t="s">
        <v>5085</v>
      </c>
      <c r="K283" s="16">
        <v>3</v>
      </c>
      <c r="L283" s="17" t="s">
        <v>5085</v>
      </c>
      <c r="M283" s="10" t="s">
        <v>4968</v>
      </c>
    </row>
    <row r="284" spans="1:13" x14ac:dyDescent="0.3">
      <c r="A284" t="s">
        <v>1921</v>
      </c>
      <c r="B284" s="7" t="s">
        <v>1922</v>
      </c>
      <c r="C284" s="7" t="s">
        <v>1922</v>
      </c>
      <c r="D284" s="7" t="s">
        <v>1923</v>
      </c>
      <c r="E284" s="7" t="s">
        <v>15</v>
      </c>
      <c r="F284" s="15" t="s">
        <v>1922</v>
      </c>
      <c r="G284" s="15" t="s">
        <v>5088</v>
      </c>
      <c r="H284" s="15" t="s">
        <v>4968</v>
      </c>
      <c r="I284" s="15" t="s">
        <v>5087</v>
      </c>
      <c r="J284" s="15" t="s">
        <v>5087</v>
      </c>
      <c r="K284" s="16">
        <v>3</v>
      </c>
      <c r="L284" s="17" t="s">
        <v>5087</v>
      </c>
      <c r="M284" s="10" t="s">
        <v>4968</v>
      </c>
    </row>
    <row r="285" spans="1:13" x14ac:dyDescent="0.3">
      <c r="A285" t="s">
        <v>1930</v>
      </c>
      <c r="B285" s="7" t="s">
        <v>1931</v>
      </c>
      <c r="C285" s="7"/>
      <c r="D285" s="7" t="s">
        <v>1931</v>
      </c>
      <c r="E285" s="7" t="s">
        <v>34</v>
      </c>
      <c r="F285" s="15" t="s">
        <v>1931</v>
      </c>
      <c r="G285" s="15" t="s">
        <v>1931</v>
      </c>
      <c r="H285" s="15" t="s">
        <v>4968</v>
      </c>
      <c r="I285" s="15" t="s">
        <v>1931</v>
      </c>
      <c r="J285" s="15" t="s">
        <v>1931</v>
      </c>
      <c r="K285" s="16">
        <v>4</v>
      </c>
      <c r="L285" s="17" t="s">
        <v>1931</v>
      </c>
      <c r="M285" s="10" t="s">
        <v>4968</v>
      </c>
    </row>
    <row r="286" spans="1:13" x14ac:dyDescent="0.3">
      <c r="A286" t="s">
        <v>1948</v>
      </c>
      <c r="B286" s="7"/>
      <c r="C286" s="7"/>
      <c r="D286" s="7" t="s">
        <v>1949</v>
      </c>
      <c r="E286" s="7" t="s">
        <v>9</v>
      </c>
      <c r="F286" s="15" t="s">
        <v>5089</v>
      </c>
      <c r="G286" s="15" t="s">
        <v>5120</v>
      </c>
      <c r="H286" s="15" t="s">
        <v>5119</v>
      </c>
      <c r="I286" s="15" t="s">
        <v>5120</v>
      </c>
      <c r="J286" s="15" t="s">
        <v>5089</v>
      </c>
      <c r="K286" s="16">
        <v>3</v>
      </c>
      <c r="L286" s="17" t="s">
        <v>5119</v>
      </c>
      <c r="M286" s="10" t="s">
        <v>4968</v>
      </c>
    </row>
    <row r="287" spans="1:13" x14ac:dyDescent="0.3">
      <c r="A287" t="s">
        <v>1954</v>
      </c>
      <c r="B287" s="7"/>
      <c r="C287" s="7"/>
      <c r="D287" s="7" t="s">
        <v>1955</v>
      </c>
      <c r="E287" s="7" t="s">
        <v>9</v>
      </c>
      <c r="F287" s="15" t="s">
        <v>5090</v>
      </c>
      <c r="G287" s="15" t="s">
        <v>1955</v>
      </c>
      <c r="H287" s="15" t="s">
        <v>4968</v>
      </c>
      <c r="I287" s="15" t="s">
        <v>5090</v>
      </c>
      <c r="J287" s="15" t="s">
        <v>5090</v>
      </c>
      <c r="K287" s="16">
        <v>3</v>
      </c>
      <c r="L287" s="17" t="s">
        <v>5090</v>
      </c>
      <c r="M287" s="10" t="s">
        <v>4968</v>
      </c>
    </row>
    <row r="288" spans="1:13" x14ac:dyDescent="0.3">
      <c r="A288" t="s">
        <v>1958</v>
      </c>
      <c r="B288" s="7" t="s">
        <v>1959</v>
      </c>
      <c r="C288" s="7"/>
      <c r="D288" s="7" t="s">
        <v>1959</v>
      </c>
      <c r="E288" s="7" t="s">
        <v>34</v>
      </c>
      <c r="F288" s="15" t="s">
        <v>1959</v>
      </c>
      <c r="G288" s="15" t="s">
        <v>1959</v>
      </c>
      <c r="H288" s="15" t="s">
        <v>4968</v>
      </c>
      <c r="I288" s="15" t="s">
        <v>1959</v>
      </c>
      <c r="J288" s="15" t="s">
        <v>1959</v>
      </c>
      <c r="K288" s="16">
        <v>4</v>
      </c>
      <c r="L288" s="17" t="s">
        <v>1959</v>
      </c>
      <c r="M288" s="10" t="s">
        <v>4968</v>
      </c>
    </row>
    <row r="289" spans="1:13" x14ac:dyDescent="0.3">
      <c r="A289" t="s">
        <v>1964</v>
      </c>
      <c r="B289" s="7" t="s">
        <v>1965</v>
      </c>
      <c r="C289" s="7"/>
      <c r="D289" s="7" t="s">
        <v>1965</v>
      </c>
      <c r="E289" s="7" t="s">
        <v>34</v>
      </c>
      <c r="F289" s="15" t="s">
        <v>1965</v>
      </c>
      <c r="G289" s="15" t="s">
        <v>1965</v>
      </c>
      <c r="H289" s="15" t="s">
        <v>4968</v>
      </c>
      <c r="I289" s="15" t="s">
        <v>1965</v>
      </c>
      <c r="J289" s="15" t="s">
        <v>1965</v>
      </c>
      <c r="K289" s="16">
        <v>4</v>
      </c>
      <c r="L289" s="17" t="s">
        <v>1965</v>
      </c>
      <c r="M289" s="10" t="s">
        <v>4968</v>
      </c>
    </row>
    <row r="290" spans="1:13" x14ac:dyDescent="0.3">
      <c r="A290" t="s">
        <v>1970</v>
      </c>
      <c r="B290" s="7"/>
      <c r="C290" s="7"/>
      <c r="D290" s="7" t="s">
        <v>1971</v>
      </c>
      <c r="E290" s="7" t="s">
        <v>9</v>
      </c>
      <c r="F290" s="15" t="s">
        <v>5091</v>
      </c>
      <c r="G290" s="15" t="s">
        <v>5091</v>
      </c>
      <c r="H290" s="15" t="s">
        <v>4968</v>
      </c>
      <c r="I290" s="15" t="s">
        <v>5091</v>
      </c>
      <c r="J290" s="15" t="s">
        <v>5091</v>
      </c>
      <c r="K290" s="16">
        <v>4</v>
      </c>
      <c r="L290" s="17" t="s">
        <v>5091</v>
      </c>
      <c r="M290" s="10" t="s">
        <v>4968</v>
      </c>
    </row>
    <row r="291" spans="1:13" x14ac:dyDescent="0.3">
      <c r="A291" t="s">
        <v>1978</v>
      </c>
      <c r="B291" s="7"/>
      <c r="C291" s="7"/>
      <c r="D291" s="7" t="s">
        <v>1979</v>
      </c>
      <c r="E291" s="7" t="s">
        <v>9</v>
      </c>
      <c r="F291" s="15" t="s">
        <v>5092</v>
      </c>
      <c r="G291" s="15" t="s">
        <v>5092</v>
      </c>
      <c r="H291" s="15" t="s">
        <v>4968</v>
      </c>
      <c r="I291" s="15" t="s">
        <v>5092</v>
      </c>
      <c r="J291" s="15" t="s">
        <v>1979</v>
      </c>
      <c r="K291" s="16">
        <v>3</v>
      </c>
      <c r="L291" s="17" t="s">
        <v>5092</v>
      </c>
      <c r="M291" s="10" t="s">
        <v>4968</v>
      </c>
    </row>
    <row r="292" spans="1:13" x14ac:dyDescent="0.3">
      <c r="A292" t="s">
        <v>1986</v>
      </c>
      <c r="B292" s="7"/>
      <c r="C292" s="7" t="s">
        <v>1987</v>
      </c>
      <c r="D292" s="7" t="s">
        <v>1987</v>
      </c>
      <c r="E292" s="7" t="s">
        <v>49</v>
      </c>
      <c r="F292" s="15" t="s">
        <v>1987</v>
      </c>
      <c r="G292" s="15" t="s">
        <v>1987</v>
      </c>
      <c r="H292" s="15" t="s">
        <v>4968</v>
      </c>
      <c r="I292" s="15" t="s">
        <v>1987</v>
      </c>
      <c r="J292" s="15" t="s">
        <v>1987</v>
      </c>
      <c r="K292" s="16">
        <v>4</v>
      </c>
      <c r="L292" s="17" t="s">
        <v>1987</v>
      </c>
      <c r="M292" s="10" t="s">
        <v>4968</v>
      </c>
    </row>
    <row r="293" spans="1:13" x14ac:dyDescent="0.3">
      <c r="A293" t="s">
        <v>2006</v>
      </c>
      <c r="B293" s="7" t="s">
        <v>2007</v>
      </c>
      <c r="C293" s="7" t="s">
        <v>2008</v>
      </c>
      <c r="D293" s="7" t="s">
        <v>2008</v>
      </c>
      <c r="E293" s="7" t="s">
        <v>23</v>
      </c>
      <c r="F293" s="15" t="s">
        <v>5093</v>
      </c>
      <c r="G293" s="15" t="s">
        <v>5093</v>
      </c>
      <c r="H293" s="15" t="s">
        <v>4968</v>
      </c>
      <c r="I293" s="15" t="s">
        <v>5093</v>
      </c>
      <c r="J293" s="15" t="s">
        <v>5093</v>
      </c>
      <c r="K293" s="16">
        <v>4</v>
      </c>
      <c r="L293" s="17" t="s">
        <v>5093</v>
      </c>
      <c r="M293" s="10" t="s">
        <v>4968</v>
      </c>
    </row>
    <row r="294" spans="1:13" x14ac:dyDescent="0.3">
      <c r="A294" t="s">
        <v>2027</v>
      </c>
      <c r="B294" s="7"/>
      <c r="C294" s="7"/>
      <c r="D294" s="7" t="s">
        <v>2028</v>
      </c>
      <c r="E294" s="7" t="s">
        <v>9</v>
      </c>
      <c r="F294" s="15" t="s">
        <v>5094</v>
      </c>
      <c r="G294" s="15" t="s">
        <v>5095</v>
      </c>
      <c r="H294" s="15" t="s">
        <v>4968</v>
      </c>
      <c r="I294" s="15" t="s">
        <v>5094</v>
      </c>
      <c r="J294" s="15" t="s">
        <v>5094</v>
      </c>
      <c r="K294" s="16">
        <v>3</v>
      </c>
      <c r="L294" s="17" t="s">
        <v>5094</v>
      </c>
      <c r="M294" s="10" t="s">
        <v>4968</v>
      </c>
    </row>
    <row r="295" spans="1:13" x14ac:dyDescent="0.3">
      <c r="A295" t="s">
        <v>2029</v>
      </c>
      <c r="B295" s="7"/>
      <c r="C295" s="7"/>
      <c r="D295" s="7" t="s">
        <v>2030</v>
      </c>
      <c r="E295" s="7" t="s">
        <v>9</v>
      </c>
      <c r="F295" s="15" t="s">
        <v>5096</v>
      </c>
      <c r="G295" s="15" t="s">
        <v>5096</v>
      </c>
      <c r="H295" s="15" t="s">
        <v>4968</v>
      </c>
      <c r="I295" s="15" t="s">
        <v>5096</v>
      </c>
      <c r="J295" s="15" t="s">
        <v>5096</v>
      </c>
      <c r="K295" s="16">
        <v>4</v>
      </c>
      <c r="L295" s="17" t="s">
        <v>5096</v>
      </c>
      <c r="M295" s="10" t="s">
        <v>4968</v>
      </c>
    </row>
    <row r="296" spans="1:13" x14ac:dyDescent="0.3">
      <c r="A296" t="s">
        <v>2048</v>
      </c>
      <c r="B296" s="7"/>
      <c r="C296" s="7" t="s">
        <v>2049</v>
      </c>
      <c r="D296" s="7" t="s">
        <v>2050</v>
      </c>
      <c r="E296" s="7" t="s">
        <v>9</v>
      </c>
      <c r="F296" s="15" t="s">
        <v>5097</v>
      </c>
      <c r="G296" s="15" t="s">
        <v>5098</v>
      </c>
      <c r="H296" s="15" t="s">
        <v>4968</v>
      </c>
      <c r="I296" s="15" t="s">
        <v>5097</v>
      </c>
      <c r="J296" s="15" t="s">
        <v>2050</v>
      </c>
      <c r="K296" s="16">
        <v>4</v>
      </c>
      <c r="L296" s="17" t="s">
        <v>2050</v>
      </c>
      <c r="M296" s="10" t="s">
        <v>4968</v>
      </c>
    </row>
    <row r="297" spans="1:13" x14ac:dyDescent="0.3">
      <c r="A297" t="s">
        <v>2059</v>
      </c>
      <c r="B297" s="7" t="s">
        <v>2060</v>
      </c>
      <c r="C297" s="7" t="s">
        <v>2060</v>
      </c>
      <c r="D297" s="7"/>
      <c r="E297" s="7" t="s">
        <v>323</v>
      </c>
      <c r="F297" s="15" t="s">
        <v>2060</v>
      </c>
      <c r="G297" s="15" t="s">
        <v>2060</v>
      </c>
      <c r="H297" s="15" t="s">
        <v>4968</v>
      </c>
      <c r="I297" s="15" t="s">
        <v>2060</v>
      </c>
      <c r="J297" s="15" t="s">
        <v>2060</v>
      </c>
      <c r="K297" s="16">
        <v>4</v>
      </c>
      <c r="L297" s="17" t="s">
        <v>2060</v>
      </c>
      <c r="M297" s="10" t="s">
        <v>4968</v>
      </c>
    </row>
    <row r="298" spans="1:13" x14ac:dyDescent="0.3">
      <c r="A298" t="s">
        <v>2063</v>
      </c>
      <c r="B298" s="7" t="s">
        <v>2064</v>
      </c>
      <c r="C298" s="7" t="s">
        <v>2064</v>
      </c>
      <c r="D298" s="7" t="s">
        <v>2065</v>
      </c>
      <c r="E298" s="7" t="s">
        <v>15</v>
      </c>
      <c r="F298" s="15" t="s">
        <v>2064</v>
      </c>
      <c r="G298" s="20" t="s">
        <v>5099</v>
      </c>
      <c r="H298" s="15" t="s">
        <v>4968</v>
      </c>
      <c r="I298" s="15" t="s">
        <v>2064</v>
      </c>
      <c r="J298" s="15" t="s">
        <v>2064</v>
      </c>
      <c r="K298" s="16">
        <v>3</v>
      </c>
      <c r="L298" s="17" t="s">
        <v>2064</v>
      </c>
      <c r="M298" s="10" t="s">
        <v>4968</v>
      </c>
    </row>
    <row r="299" spans="1:13" x14ac:dyDescent="0.3">
      <c r="A299" t="s">
        <v>2066</v>
      </c>
      <c r="B299" s="7" t="s">
        <v>2067</v>
      </c>
      <c r="C299" s="7" t="s">
        <v>2067</v>
      </c>
      <c r="D299" s="7" t="s">
        <v>2068</v>
      </c>
      <c r="E299" s="7" t="s">
        <v>15</v>
      </c>
      <c r="F299" s="15" t="s">
        <v>2067</v>
      </c>
      <c r="G299" s="20" t="s">
        <v>5100</v>
      </c>
      <c r="H299" s="15" t="s">
        <v>4968</v>
      </c>
      <c r="I299" s="15" t="s">
        <v>2067</v>
      </c>
      <c r="J299" s="15" t="s">
        <v>2067</v>
      </c>
      <c r="K299" s="16">
        <v>3</v>
      </c>
      <c r="L299" s="17" t="s">
        <v>2067</v>
      </c>
      <c r="M299" s="10" t="s">
        <v>4968</v>
      </c>
    </row>
    <row r="300" spans="1:13" x14ac:dyDescent="0.3">
      <c r="A300" t="s">
        <v>2069</v>
      </c>
      <c r="B300" s="7" t="s">
        <v>2070</v>
      </c>
      <c r="C300" s="7" t="s">
        <v>2071</v>
      </c>
      <c r="D300" s="7" t="s">
        <v>2071</v>
      </c>
      <c r="E300" s="7" t="s">
        <v>23</v>
      </c>
      <c r="F300" s="15" t="s">
        <v>2071</v>
      </c>
      <c r="G300" s="15" t="s">
        <v>2071</v>
      </c>
      <c r="H300" s="15" t="s">
        <v>4968</v>
      </c>
      <c r="I300" s="15" t="s">
        <v>2071</v>
      </c>
      <c r="J300" s="15" t="s">
        <v>2071</v>
      </c>
      <c r="K300" s="16">
        <v>4</v>
      </c>
      <c r="L300" s="17" t="s">
        <v>2071</v>
      </c>
      <c r="M300" s="10" t="s">
        <v>4968</v>
      </c>
    </row>
    <row r="301" spans="1:13" x14ac:dyDescent="0.3">
      <c r="A301" t="s">
        <v>2072</v>
      </c>
      <c r="B301" s="7" t="s">
        <v>2073</v>
      </c>
      <c r="C301" s="7" t="s">
        <v>2074</v>
      </c>
      <c r="D301" s="7" t="s">
        <v>2074</v>
      </c>
      <c r="E301" s="7" t="s">
        <v>23</v>
      </c>
      <c r="F301" s="15" t="s">
        <v>5101</v>
      </c>
      <c r="G301" s="15" t="s">
        <v>2074</v>
      </c>
      <c r="H301" s="15" t="s">
        <v>4968</v>
      </c>
      <c r="I301" s="15" t="s">
        <v>5101</v>
      </c>
      <c r="J301" s="15" t="s">
        <v>5101</v>
      </c>
      <c r="K301" s="16">
        <v>3</v>
      </c>
      <c r="L301" s="17" t="s">
        <v>5101</v>
      </c>
      <c r="M301" s="10" t="s">
        <v>4968</v>
      </c>
    </row>
    <row r="302" spans="1:13" x14ac:dyDescent="0.3">
      <c r="A302" t="s">
        <v>2075</v>
      </c>
      <c r="B302" s="7"/>
      <c r="C302" s="7"/>
      <c r="D302" s="7" t="s">
        <v>2076</v>
      </c>
      <c r="E302" s="7" t="s">
        <v>9</v>
      </c>
      <c r="F302" s="15" t="s">
        <v>2076</v>
      </c>
      <c r="G302" s="15" t="s">
        <v>2076</v>
      </c>
      <c r="H302" s="15" t="s">
        <v>4968</v>
      </c>
      <c r="I302" s="15" t="s">
        <v>2076</v>
      </c>
      <c r="J302" s="15" t="s">
        <v>2076</v>
      </c>
      <c r="K302" s="16">
        <v>4</v>
      </c>
      <c r="L302" s="17" t="s">
        <v>2076</v>
      </c>
      <c r="M302" s="10" t="s">
        <v>4968</v>
      </c>
    </row>
    <row r="303" spans="1:13" x14ac:dyDescent="0.3">
      <c r="A303" t="s">
        <v>2077</v>
      </c>
      <c r="B303" s="7"/>
      <c r="C303" s="7" t="s">
        <v>2078</v>
      </c>
      <c r="D303" s="7" t="s">
        <v>2078</v>
      </c>
      <c r="E303" s="7" t="s">
        <v>49</v>
      </c>
      <c r="F303" s="15" t="s">
        <v>2078</v>
      </c>
      <c r="G303" s="15" t="s">
        <v>2078</v>
      </c>
      <c r="H303" s="15" t="s">
        <v>4968</v>
      </c>
      <c r="I303" s="15" t="s">
        <v>2078</v>
      </c>
      <c r="J303" s="15" t="s">
        <v>2078</v>
      </c>
      <c r="K303" s="16">
        <v>4</v>
      </c>
      <c r="L303" s="17" t="s">
        <v>2078</v>
      </c>
      <c r="M303" s="10" t="s">
        <v>4968</v>
      </c>
    </row>
    <row r="304" spans="1:13" x14ac:dyDescent="0.3">
      <c r="A304" t="s">
        <v>2099</v>
      </c>
      <c r="B304" s="7" t="s">
        <v>2100</v>
      </c>
      <c r="C304" s="7" t="s">
        <v>2101</v>
      </c>
      <c r="D304" s="7" t="s">
        <v>2100</v>
      </c>
      <c r="E304" s="7" t="s">
        <v>493</v>
      </c>
      <c r="F304" s="15" t="s">
        <v>2100</v>
      </c>
      <c r="G304" s="15" t="s">
        <v>2100</v>
      </c>
      <c r="H304" s="15" t="s">
        <v>4968</v>
      </c>
      <c r="I304" s="15" t="s">
        <v>2100</v>
      </c>
      <c r="J304" s="15" t="s">
        <v>2100</v>
      </c>
      <c r="K304" s="16">
        <v>4</v>
      </c>
      <c r="L304" s="17" t="s">
        <v>2100</v>
      </c>
      <c r="M304" s="10" t="s">
        <v>4968</v>
      </c>
    </row>
    <row r="305" spans="1:13" x14ac:dyDescent="0.3">
      <c r="A305" t="s">
        <v>2102</v>
      </c>
      <c r="B305" s="7" t="s">
        <v>2103</v>
      </c>
      <c r="C305" s="7" t="s">
        <v>2104</v>
      </c>
      <c r="D305" s="7" t="s">
        <v>2104</v>
      </c>
      <c r="E305" s="7" t="s">
        <v>23</v>
      </c>
      <c r="F305" s="15" t="s">
        <v>2103</v>
      </c>
      <c r="G305" s="15" t="s">
        <v>5103</v>
      </c>
      <c r="H305" s="15" t="s">
        <v>4968</v>
      </c>
      <c r="I305" s="15" t="s">
        <v>5102</v>
      </c>
      <c r="J305" s="15" t="s">
        <v>5102</v>
      </c>
      <c r="K305" s="16">
        <v>3</v>
      </c>
      <c r="L305" s="17" t="s">
        <v>5102</v>
      </c>
      <c r="M305" s="10" t="s">
        <v>4968</v>
      </c>
    </row>
    <row r="306" spans="1:13" x14ac:dyDescent="0.3">
      <c r="A306" t="s">
        <v>2105</v>
      </c>
      <c r="B306" s="7" t="s">
        <v>2106</v>
      </c>
      <c r="C306" s="7"/>
      <c r="D306" s="7" t="s">
        <v>2106</v>
      </c>
      <c r="E306" s="7" t="s">
        <v>34</v>
      </c>
      <c r="F306" s="15" t="s">
        <v>2106</v>
      </c>
      <c r="G306" s="15" t="s">
        <v>2106</v>
      </c>
      <c r="H306" s="15" t="s">
        <v>4968</v>
      </c>
      <c r="I306" s="15" t="s">
        <v>2106</v>
      </c>
      <c r="J306" s="15" t="s">
        <v>2106</v>
      </c>
      <c r="K306" s="16">
        <v>4</v>
      </c>
      <c r="L306" s="17" t="s">
        <v>2106</v>
      </c>
      <c r="M306" s="10" t="s">
        <v>4968</v>
      </c>
    </row>
    <row r="307" spans="1:13" x14ac:dyDescent="0.3">
      <c r="A307" t="s">
        <v>2107</v>
      </c>
      <c r="B307" s="7" t="s">
        <v>2108</v>
      </c>
      <c r="C307" s="7"/>
      <c r="D307" s="7" t="s">
        <v>2108</v>
      </c>
      <c r="E307" s="7" t="s">
        <v>34</v>
      </c>
      <c r="F307" s="15" t="s">
        <v>2108</v>
      </c>
      <c r="G307" s="15" t="s">
        <v>2108</v>
      </c>
      <c r="H307" s="15" t="s">
        <v>4968</v>
      </c>
      <c r="I307" s="15" t="s">
        <v>2108</v>
      </c>
      <c r="J307" s="15" t="s">
        <v>2108</v>
      </c>
      <c r="K307" s="16">
        <v>4</v>
      </c>
      <c r="L307" s="17" t="s">
        <v>2108</v>
      </c>
      <c r="M307" s="10" t="s">
        <v>4968</v>
      </c>
    </row>
    <row r="308" spans="1:13" x14ac:dyDescent="0.3">
      <c r="A308" t="s">
        <v>2113</v>
      </c>
      <c r="B308" s="7" t="s">
        <v>2114</v>
      </c>
      <c r="C308" s="7"/>
      <c r="D308" s="7" t="s">
        <v>2114</v>
      </c>
      <c r="E308" s="7" t="s">
        <v>34</v>
      </c>
      <c r="F308" s="15" t="s">
        <v>2114</v>
      </c>
      <c r="G308" s="15" t="s">
        <v>2114</v>
      </c>
      <c r="H308" s="15" t="s">
        <v>4968</v>
      </c>
      <c r="I308" s="15" t="s">
        <v>2114</v>
      </c>
      <c r="J308" s="15" t="s">
        <v>2114</v>
      </c>
      <c r="K308" s="16">
        <v>4</v>
      </c>
      <c r="L308" s="17" t="s">
        <v>2114</v>
      </c>
      <c r="M308" s="10" t="s">
        <v>4968</v>
      </c>
    </row>
    <row r="309" spans="1:13" x14ac:dyDescent="0.3">
      <c r="A309" t="s">
        <v>2115</v>
      </c>
      <c r="B309" s="7" t="s">
        <v>2116</v>
      </c>
      <c r="C309" s="7" t="s">
        <v>2116</v>
      </c>
      <c r="D309" s="7" t="s">
        <v>2117</v>
      </c>
      <c r="E309" s="7" t="s">
        <v>15</v>
      </c>
      <c r="F309" s="15" t="s">
        <v>2116</v>
      </c>
      <c r="G309" s="15" t="s">
        <v>2117</v>
      </c>
      <c r="H309" s="15" t="s">
        <v>4968</v>
      </c>
      <c r="I309" s="15" t="s">
        <v>2116</v>
      </c>
      <c r="J309" s="15" t="s">
        <v>2116</v>
      </c>
      <c r="K309" s="16">
        <v>3</v>
      </c>
      <c r="L309" s="17" t="s">
        <v>2116</v>
      </c>
      <c r="M309" s="10" t="s">
        <v>4968</v>
      </c>
    </row>
    <row r="310" spans="1:13" x14ac:dyDescent="0.3">
      <c r="A310" t="s">
        <v>2118</v>
      </c>
      <c r="B310" s="7" t="s">
        <v>2119</v>
      </c>
      <c r="C310" s="7"/>
      <c r="D310" s="7" t="s">
        <v>2119</v>
      </c>
      <c r="E310" s="7" t="s">
        <v>34</v>
      </c>
      <c r="F310" s="15" t="s">
        <v>2119</v>
      </c>
      <c r="G310" s="15" t="s">
        <v>2119</v>
      </c>
      <c r="H310" s="15" t="s">
        <v>4968</v>
      </c>
      <c r="I310" s="15" t="s">
        <v>2119</v>
      </c>
      <c r="J310" s="15" t="s">
        <v>2119</v>
      </c>
      <c r="K310" s="16">
        <v>4</v>
      </c>
      <c r="L310" s="17" t="s">
        <v>2119</v>
      </c>
      <c r="M310" s="10" t="s">
        <v>4968</v>
      </c>
    </row>
    <row r="311" spans="1:13" x14ac:dyDescent="0.3">
      <c r="A311" t="s">
        <v>2120</v>
      </c>
      <c r="B311" s="7" t="s">
        <v>2121</v>
      </c>
      <c r="C311" s="7"/>
      <c r="D311" s="7" t="s">
        <v>2121</v>
      </c>
      <c r="E311" s="7" t="s">
        <v>34</v>
      </c>
      <c r="F311" s="15" t="s">
        <v>2121</v>
      </c>
      <c r="G311" s="15" t="s">
        <v>2121</v>
      </c>
      <c r="H311" s="15" t="s">
        <v>4968</v>
      </c>
      <c r="I311" s="15" t="s">
        <v>2121</v>
      </c>
      <c r="J311" s="15" t="s">
        <v>2121</v>
      </c>
      <c r="K311" s="16">
        <v>4</v>
      </c>
      <c r="L311" s="17" t="s">
        <v>2121</v>
      </c>
      <c r="M311" s="10" t="s">
        <v>4968</v>
      </c>
    </row>
    <row r="312" spans="1:13" x14ac:dyDescent="0.3">
      <c r="A312" t="s">
        <v>2122</v>
      </c>
      <c r="B312" s="7" t="s">
        <v>2123</v>
      </c>
      <c r="C312" s="7"/>
      <c r="D312" s="7"/>
      <c r="E312" s="7" t="s">
        <v>9</v>
      </c>
      <c r="F312" s="15" t="s">
        <v>2123</v>
      </c>
      <c r="G312" s="15" t="s">
        <v>2123</v>
      </c>
      <c r="H312" s="15" t="s">
        <v>4968</v>
      </c>
      <c r="I312" s="15" t="s">
        <v>2123</v>
      </c>
      <c r="J312" s="15" t="s">
        <v>2123</v>
      </c>
      <c r="K312" s="16">
        <v>4</v>
      </c>
      <c r="L312" s="17" t="s">
        <v>2123</v>
      </c>
      <c r="M312" s="10" t="s">
        <v>4968</v>
      </c>
    </row>
    <row r="313" spans="1:13" x14ac:dyDescent="0.3">
      <c r="A313" t="s">
        <v>2124</v>
      </c>
      <c r="B313" s="7" t="s">
        <v>2125</v>
      </c>
      <c r="C313" s="7" t="s">
        <v>2126</v>
      </c>
      <c r="D313" s="7" t="s">
        <v>2126</v>
      </c>
      <c r="E313" s="7" t="s">
        <v>23</v>
      </c>
      <c r="F313" s="15" t="s">
        <v>5104</v>
      </c>
      <c r="G313" s="15" t="s">
        <v>5104</v>
      </c>
      <c r="H313" s="15" t="s">
        <v>4968</v>
      </c>
      <c r="I313" s="15" t="s">
        <v>5104</v>
      </c>
      <c r="J313" s="15" t="s">
        <v>5104</v>
      </c>
      <c r="K313" s="16">
        <v>4</v>
      </c>
      <c r="L313" s="17" t="s">
        <v>5104</v>
      </c>
      <c r="M313" s="10" t="s">
        <v>4968</v>
      </c>
    </row>
    <row r="314" spans="1:13" x14ac:dyDescent="0.3">
      <c r="A314" t="s">
        <v>2127</v>
      </c>
      <c r="B314" s="7"/>
      <c r="C314" s="7"/>
      <c r="D314" s="7"/>
      <c r="E314" s="7" t="s">
        <v>11</v>
      </c>
      <c r="F314" s="15" t="s">
        <v>5105</v>
      </c>
      <c r="G314" s="15" t="s">
        <v>4968</v>
      </c>
      <c r="H314" s="15" t="s">
        <v>4968</v>
      </c>
      <c r="I314" s="15" t="s">
        <v>5105</v>
      </c>
      <c r="J314" s="15" t="s">
        <v>5105</v>
      </c>
      <c r="K314" s="16">
        <v>3</v>
      </c>
      <c r="L314" s="17" t="s">
        <v>5105</v>
      </c>
      <c r="M314" s="10" t="s">
        <v>4968</v>
      </c>
    </row>
    <row r="315" spans="1:13" x14ac:dyDescent="0.3">
      <c r="A315" t="s">
        <v>2132</v>
      </c>
      <c r="B315" s="7" t="s">
        <v>2133</v>
      </c>
      <c r="C315" s="7" t="s">
        <v>2134</v>
      </c>
      <c r="D315" s="7" t="s">
        <v>2135</v>
      </c>
      <c r="E315" s="7" t="s">
        <v>295</v>
      </c>
      <c r="F315" s="15" t="s">
        <v>2133</v>
      </c>
      <c r="G315" s="15" t="s">
        <v>2135</v>
      </c>
      <c r="H315" s="15" t="s">
        <v>4968</v>
      </c>
      <c r="I315" s="15" t="s">
        <v>2133</v>
      </c>
      <c r="J315" s="15" t="s">
        <v>2133</v>
      </c>
      <c r="K315" s="16">
        <v>3</v>
      </c>
      <c r="L315" s="17" t="s">
        <v>2133</v>
      </c>
      <c r="M315" s="10" t="s">
        <v>4968</v>
      </c>
    </row>
    <row r="316" spans="1:13" x14ac:dyDescent="0.3">
      <c r="A316" t="s">
        <v>2140</v>
      </c>
      <c r="B316" s="7" t="s">
        <v>2141</v>
      </c>
      <c r="C316" s="7" t="s">
        <v>2141</v>
      </c>
      <c r="D316" s="7" t="s">
        <v>2142</v>
      </c>
      <c r="E316" s="7" t="s">
        <v>15</v>
      </c>
      <c r="F316" s="15" t="s">
        <v>5106</v>
      </c>
      <c r="G316" s="15" t="s">
        <v>5107</v>
      </c>
      <c r="H316" s="15" t="s">
        <v>4968</v>
      </c>
      <c r="I316" s="15" t="s">
        <v>5106</v>
      </c>
      <c r="J316" s="15" t="s">
        <v>5106</v>
      </c>
      <c r="K316" s="16">
        <v>3</v>
      </c>
      <c r="L316" s="17" t="s">
        <v>5106</v>
      </c>
      <c r="M316" s="10" t="s">
        <v>4968</v>
      </c>
    </row>
    <row r="317" spans="1:13" x14ac:dyDescent="0.3">
      <c r="A317" t="s">
        <v>2149</v>
      </c>
      <c r="B317" s="7" t="s">
        <v>2150</v>
      </c>
      <c r="C317" s="7"/>
      <c r="D317" s="7" t="s">
        <v>2150</v>
      </c>
      <c r="E317" s="7" t="s">
        <v>34</v>
      </c>
      <c r="F317" s="15" t="s">
        <v>2150</v>
      </c>
      <c r="G317" s="15" t="s">
        <v>2150</v>
      </c>
      <c r="H317" s="15" t="s">
        <v>4968</v>
      </c>
      <c r="I317" s="15" t="s">
        <v>2150</v>
      </c>
      <c r="J317" s="15" t="s">
        <v>2150</v>
      </c>
      <c r="K317" s="16">
        <v>4</v>
      </c>
      <c r="L317" s="17" t="s">
        <v>2150</v>
      </c>
      <c r="M317" s="10" t="s">
        <v>4968</v>
      </c>
    </row>
    <row r="318" spans="1:13" x14ac:dyDescent="0.3">
      <c r="A318" t="s">
        <v>2153</v>
      </c>
      <c r="B318" s="7" t="s">
        <v>2154</v>
      </c>
      <c r="C318" s="7" t="s">
        <v>2155</v>
      </c>
      <c r="D318" s="7" t="s">
        <v>2155</v>
      </c>
      <c r="E318" s="7" t="s">
        <v>23</v>
      </c>
      <c r="F318" s="15" t="s">
        <v>2154</v>
      </c>
      <c r="G318" s="15" t="s">
        <v>5108</v>
      </c>
      <c r="H318" s="15" t="s">
        <v>4968</v>
      </c>
      <c r="I318" s="15" t="s">
        <v>2154</v>
      </c>
      <c r="J318" s="15" t="s">
        <v>2154</v>
      </c>
      <c r="K318" s="16">
        <v>3</v>
      </c>
      <c r="L318" s="17" t="s">
        <v>2154</v>
      </c>
      <c r="M318" s="10" t="s">
        <v>4968</v>
      </c>
    </row>
    <row r="319" spans="1:13" x14ac:dyDescent="0.3">
      <c r="A319" t="s">
        <v>2160</v>
      </c>
      <c r="B319" s="7" t="s">
        <v>2161</v>
      </c>
      <c r="C319" s="7" t="s">
        <v>2162</v>
      </c>
      <c r="D319" s="7" t="s">
        <v>2161</v>
      </c>
      <c r="E319" s="7" t="s">
        <v>493</v>
      </c>
      <c r="F319" s="15" t="s">
        <v>2161</v>
      </c>
      <c r="G319" s="15" t="s">
        <v>2161</v>
      </c>
      <c r="H319" s="15" t="s">
        <v>4968</v>
      </c>
      <c r="I319" s="15" t="s">
        <v>2161</v>
      </c>
      <c r="J319" s="15" t="s">
        <v>2161</v>
      </c>
      <c r="K319" s="16">
        <v>4</v>
      </c>
      <c r="L319" s="17" t="s">
        <v>2161</v>
      </c>
      <c r="M319" s="10" t="s">
        <v>4968</v>
      </c>
    </row>
    <row r="320" spans="1:13" x14ac:dyDescent="0.3">
      <c r="A320" t="s">
        <v>2167</v>
      </c>
      <c r="B320" s="7" t="s">
        <v>2168</v>
      </c>
      <c r="C320" s="7" t="s">
        <v>2169</v>
      </c>
      <c r="D320" s="7" t="s">
        <v>2169</v>
      </c>
      <c r="E320" s="7" t="s">
        <v>23</v>
      </c>
      <c r="F320" s="15" t="s">
        <v>5109</v>
      </c>
      <c r="G320" s="15" t="s">
        <v>5109</v>
      </c>
      <c r="H320" s="15" t="s">
        <v>4968</v>
      </c>
      <c r="I320" s="15" t="s">
        <v>5109</v>
      </c>
      <c r="J320" s="15" t="s">
        <v>5109</v>
      </c>
      <c r="K320" s="16">
        <v>4</v>
      </c>
      <c r="L320" s="17" t="s">
        <v>5109</v>
      </c>
      <c r="M320" s="10" t="s">
        <v>4968</v>
      </c>
    </row>
    <row r="321" spans="1:13" x14ac:dyDescent="0.3">
      <c r="A321" t="s">
        <v>2172</v>
      </c>
      <c r="B321" s="7"/>
      <c r="C321" s="7"/>
      <c r="D321" s="7" t="s">
        <v>2173</v>
      </c>
      <c r="E321" s="7" t="s">
        <v>9</v>
      </c>
      <c r="F321" s="15" t="s">
        <v>5110</v>
      </c>
      <c r="G321" s="15" t="s">
        <v>5110</v>
      </c>
      <c r="H321" s="15" t="s">
        <v>4968</v>
      </c>
      <c r="I321" s="15" t="s">
        <v>5110</v>
      </c>
      <c r="J321" s="15" t="s">
        <v>5110</v>
      </c>
      <c r="K321" s="16">
        <v>4</v>
      </c>
      <c r="L321" s="17" t="s">
        <v>5110</v>
      </c>
      <c r="M321" s="10" t="s">
        <v>4968</v>
      </c>
    </row>
    <row r="322" spans="1:13" x14ac:dyDescent="0.3">
      <c r="A322" t="s">
        <v>2174</v>
      </c>
      <c r="B322" s="7"/>
      <c r="C322" s="7" t="s">
        <v>2175</v>
      </c>
      <c r="D322" s="7" t="s">
        <v>2175</v>
      </c>
      <c r="E322" s="7" t="s">
        <v>49</v>
      </c>
      <c r="F322" s="15" t="s">
        <v>2191</v>
      </c>
      <c r="G322" s="15" t="s">
        <v>2175</v>
      </c>
      <c r="H322" s="15" t="s">
        <v>2175</v>
      </c>
      <c r="I322" s="15" t="s">
        <v>2175</v>
      </c>
      <c r="J322" s="15" t="s">
        <v>2191</v>
      </c>
      <c r="K322" s="16">
        <v>3</v>
      </c>
      <c r="L322" s="17" t="s">
        <v>2175</v>
      </c>
      <c r="M322" s="10" t="s">
        <v>4968</v>
      </c>
    </row>
    <row r="323" spans="1:13" x14ac:dyDescent="0.3">
      <c r="A323" t="s">
        <v>2183</v>
      </c>
      <c r="B323" s="7"/>
      <c r="C323" s="7" t="s">
        <v>2184</v>
      </c>
      <c r="D323" s="7" t="s">
        <v>2184</v>
      </c>
      <c r="E323" s="7" t="s">
        <v>49</v>
      </c>
      <c r="F323" s="15" t="s">
        <v>2184</v>
      </c>
      <c r="G323" s="15" t="s">
        <v>2184</v>
      </c>
      <c r="H323" s="15" t="s">
        <v>2184</v>
      </c>
      <c r="I323" s="15" t="s">
        <v>2184</v>
      </c>
      <c r="J323" s="15" t="s">
        <v>2184</v>
      </c>
      <c r="K323" s="16">
        <v>5</v>
      </c>
      <c r="L323" s="17" t="s">
        <v>2184</v>
      </c>
      <c r="M323" s="10" t="s">
        <v>4968</v>
      </c>
    </row>
    <row r="324" spans="1:13" x14ac:dyDescent="0.3">
      <c r="A324" t="s">
        <v>2187</v>
      </c>
      <c r="B324" s="7" t="s">
        <v>2188</v>
      </c>
      <c r="C324" s="7" t="s">
        <v>2189</v>
      </c>
      <c r="D324" s="7" t="s">
        <v>2189</v>
      </c>
      <c r="E324" s="7" t="s">
        <v>23</v>
      </c>
      <c r="F324" s="15" t="s">
        <v>2188</v>
      </c>
      <c r="G324" s="15" t="s">
        <v>2189</v>
      </c>
      <c r="H324" s="15" t="s">
        <v>2189</v>
      </c>
      <c r="I324" s="15" t="s">
        <v>2189</v>
      </c>
      <c r="J324" s="15" t="s">
        <v>2188</v>
      </c>
      <c r="K324" s="16">
        <v>3</v>
      </c>
      <c r="L324" s="17" t="s">
        <v>2189</v>
      </c>
      <c r="M324" s="10" t="s">
        <v>4968</v>
      </c>
    </row>
    <row r="325" spans="1:13" x14ac:dyDescent="0.3">
      <c r="A325" t="s">
        <v>2190</v>
      </c>
      <c r="B325" s="7" t="s">
        <v>2191</v>
      </c>
      <c r="C325" s="7" t="s">
        <v>2175</v>
      </c>
      <c r="D325" s="7" t="s">
        <v>2175</v>
      </c>
      <c r="E325" s="7" t="s">
        <v>23</v>
      </c>
      <c r="F325" s="15" t="s">
        <v>2191</v>
      </c>
      <c r="G325" s="15" t="s">
        <v>2175</v>
      </c>
      <c r="H325" s="15" t="s">
        <v>2175</v>
      </c>
      <c r="I325" s="15" t="s">
        <v>2175</v>
      </c>
      <c r="J325" s="15" t="s">
        <v>2191</v>
      </c>
      <c r="K325" s="16">
        <v>3</v>
      </c>
      <c r="L325" s="17" t="s">
        <v>2175</v>
      </c>
      <c r="M325" s="10" t="s">
        <v>4968</v>
      </c>
    </row>
    <row r="326" spans="1:13" x14ac:dyDescent="0.3">
      <c r="A326" t="s">
        <v>2194</v>
      </c>
      <c r="B326" s="7" t="s">
        <v>2195</v>
      </c>
      <c r="C326" s="7" t="s">
        <v>2196</v>
      </c>
      <c r="D326" s="7" t="s">
        <v>2196</v>
      </c>
      <c r="E326" s="7" t="s">
        <v>23</v>
      </c>
      <c r="F326" s="15" t="s">
        <v>5111</v>
      </c>
      <c r="G326" s="15" t="s">
        <v>5111</v>
      </c>
      <c r="H326" s="15" t="s">
        <v>4968</v>
      </c>
      <c r="I326" s="15" t="s">
        <v>5111</v>
      </c>
      <c r="J326" s="15" t="s">
        <v>5111</v>
      </c>
      <c r="K326" s="16">
        <v>4</v>
      </c>
      <c r="L326" s="17" t="s">
        <v>5111</v>
      </c>
      <c r="M326" s="10" t="s">
        <v>4968</v>
      </c>
    </row>
    <row r="327" spans="1:13" x14ac:dyDescent="0.3">
      <c r="A327" t="s">
        <v>2199</v>
      </c>
      <c r="B327" s="7" t="s">
        <v>2200</v>
      </c>
      <c r="C327" s="7" t="s">
        <v>2200</v>
      </c>
      <c r="D327" s="7" t="s">
        <v>2201</v>
      </c>
      <c r="E327" s="7" t="s">
        <v>15</v>
      </c>
      <c r="F327" s="15" t="s">
        <v>2200</v>
      </c>
      <c r="G327" s="15" t="s">
        <v>2201</v>
      </c>
      <c r="H327" s="15" t="s">
        <v>4968</v>
      </c>
      <c r="I327" s="15" t="s">
        <v>2200</v>
      </c>
      <c r="J327" s="15" t="s">
        <v>2200</v>
      </c>
      <c r="K327" s="16">
        <v>3</v>
      </c>
      <c r="L327" s="17" t="s">
        <v>2200</v>
      </c>
      <c r="M327" s="10" t="s">
        <v>4968</v>
      </c>
    </row>
    <row r="328" spans="1:13" x14ac:dyDescent="0.3">
      <c r="A328" t="s">
        <v>2206</v>
      </c>
      <c r="B328" s="7" t="s">
        <v>2207</v>
      </c>
      <c r="C328" s="7"/>
      <c r="D328" s="7" t="s">
        <v>2207</v>
      </c>
      <c r="E328" s="7" t="s">
        <v>34</v>
      </c>
      <c r="F328" s="15" t="s">
        <v>2207</v>
      </c>
      <c r="G328" s="15" t="s">
        <v>5112</v>
      </c>
      <c r="H328" s="15" t="s">
        <v>4968</v>
      </c>
      <c r="I328" s="15" t="s">
        <v>5112</v>
      </c>
      <c r="J328" s="15" t="s">
        <v>5112</v>
      </c>
      <c r="K328" s="16">
        <v>4</v>
      </c>
      <c r="L328" s="17" t="s">
        <v>5112</v>
      </c>
      <c r="M328" s="10" t="s">
        <v>4968</v>
      </c>
    </row>
    <row r="329" spans="1:13" x14ac:dyDescent="0.3">
      <c r="A329" t="s">
        <v>2214</v>
      </c>
      <c r="B329" s="7" t="s">
        <v>2215</v>
      </c>
      <c r="C329" s="7" t="s">
        <v>2215</v>
      </c>
      <c r="D329" s="7" t="s">
        <v>2216</v>
      </c>
      <c r="E329" s="7" t="s">
        <v>15</v>
      </c>
      <c r="F329" s="15" t="s">
        <v>2215</v>
      </c>
      <c r="G329" s="15" t="s">
        <v>2215</v>
      </c>
      <c r="H329" s="15" t="s">
        <v>4968</v>
      </c>
      <c r="I329" s="15" t="s">
        <v>2215</v>
      </c>
      <c r="J329" s="15" t="s">
        <v>2215</v>
      </c>
      <c r="K329" s="16">
        <v>4</v>
      </c>
      <c r="L329" s="17" t="s">
        <v>2215</v>
      </c>
      <c r="M329" s="10" t="s">
        <v>4968</v>
      </c>
    </row>
    <row r="330" spans="1:13" x14ac:dyDescent="0.3">
      <c r="A330" t="s">
        <v>2223</v>
      </c>
      <c r="B330" s="7" t="s">
        <v>2224</v>
      </c>
      <c r="C330" s="7" t="s">
        <v>2224</v>
      </c>
      <c r="D330" s="7" t="s">
        <v>2225</v>
      </c>
      <c r="E330" s="7" t="s">
        <v>15</v>
      </c>
      <c r="F330" s="15" t="s">
        <v>2224</v>
      </c>
      <c r="G330" s="15" t="s">
        <v>2225</v>
      </c>
      <c r="H330" s="15" t="s">
        <v>4968</v>
      </c>
      <c r="I330" s="15" t="s">
        <v>2224</v>
      </c>
      <c r="J330" s="15" t="s">
        <v>2224</v>
      </c>
      <c r="K330" s="16">
        <v>3</v>
      </c>
      <c r="L330" s="17" t="s">
        <v>2224</v>
      </c>
      <c r="M330" s="10" t="s">
        <v>4968</v>
      </c>
    </row>
    <row r="331" spans="1:13" x14ac:dyDescent="0.3">
      <c r="A331" t="s">
        <v>2236</v>
      </c>
      <c r="B331" s="7" t="s">
        <v>2237</v>
      </c>
      <c r="C331" s="7"/>
      <c r="D331" s="7" t="s">
        <v>2237</v>
      </c>
      <c r="E331" s="7" t="s">
        <v>34</v>
      </c>
      <c r="F331" s="15" t="s">
        <v>2237</v>
      </c>
      <c r="G331" s="15" t="s">
        <v>2237</v>
      </c>
      <c r="H331" s="15" t="s">
        <v>4968</v>
      </c>
      <c r="I331" s="15" t="s">
        <v>2237</v>
      </c>
      <c r="J331" s="15" t="s">
        <v>2237</v>
      </c>
      <c r="K331" s="16">
        <v>4</v>
      </c>
      <c r="L331" s="17" t="s">
        <v>2237</v>
      </c>
      <c r="M331" s="10" t="s">
        <v>4968</v>
      </c>
    </row>
    <row r="332" spans="1:13" x14ac:dyDescent="0.3">
      <c r="A332" t="s">
        <v>2250</v>
      </c>
      <c r="B332" s="7" t="s">
        <v>2251</v>
      </c>
      <c r="C332" s="7"/>
      <c r="D332" s="7" t="s">
        <v>2251</v>
      </c>
      <c r="E332" s="7" t="s">
        <v>34</v>
      </c>
      <c r="F332" s="15" t="s">
        <v>2251</v>
      </c>
      <c r="G332" s="15" t="s">
        <v>2251</v>
      </c>
      <c r="H332" s="15" t="s">
        <v>4968</v>
      </c>
      <c r="I332" s="15" t="s">
        <v>2251</v>
      </c>
      <c r="J332" s="15" t="s">
        <v>2251</v>
      </c>
      <c r="K332" s="16">
        <v>4</v>
      </c>
      <c r="L332" s="17" t="s">
        <v>2251</v>
      </c>
      <c r="M332" s="10" t="s">
        <v>4968</v>
      </c>
    </row>
    <row r="333" spans="1:13" x14ac:dyDescent="0.3">
      <c r="A333" t="s">
        <v>2254</v>
      </c>
      <c r="B333" s="7"/>
      <c r="C333" s="7" t="s">
        <v>2255</v>
      </c>
      <c r="D333" s="7" t="s">
        <v>2255</v>
      </c>
      <c r="E333" s="7" t="s">
        <v>49</v>
      </c>
      <c r="F333" s="15" t="s">
        <v>2255</v>
      </c>
      <c r="G333" s="15" t="s">
        <v>2255</v>
      </c>
      <c r="H333" s="15" t="s">
        <v>4968</v>
      </c>
      <c r="I333" s="15" t="s">
        <v>2255</v>
      </c>
      <c r="J333" s="15" t="s">
        <v>2255</v>
      </c>
      <c r="K333" s="16">
        <v>4</v>
      </c>
      <c r="L333" s="17" t="s">
        <v>2255</v>
      </c>
      <c r="M333" s="10" t="s">
        <v>4968</v>
      </c>
    </row>
    <row r="334" spans="1:13" x14ac:dyDescent="0.3">
      <c r="A334" t="s">
        <v>2262</v>
      </c>
      <c r="B334" s="7" t="s">
        <v>2263</v>
      </c>
      <c r="C334" s="7"/>
      <c r="D334" s="7" t="s">
        <v>2263</v>
      </c>
      <c r="E334" s="7" t="s">
        <v>34</v>
      </c>
      <c r="F334" s="15" t="s">
        <v>2263</v>
      </c>
      <c r="G334" s="15" t="s">
        <v>2263</v>
      </c>
      <c r="H334" s="15" t="s">
        <v>4968</v>
      </c>
      <c r="I334" s="15" t="s">
        <v>2263</v>
      </c>
      <c r="J334" s="15" t="s">
        <v>2263</v>
      </c>
      <c r="K334" s="16">
        <v>4</v>
      </c>
      <c r="L334" s="17" t="s">
        <v>2263</v>
      </c>
      <c r="M334" s="10" t="s">
        <v>4968</v>
      </c>
    </row>
    <row r="335" spans="1:13" x14ac:dyDescent="0.3">
      <c r="A335" t="s">
        <v>2270</v>
      </c>
      <c r="B335" s="7" t="s">
        <v>2271</v>
      </c>
      <c r="C335" s="7"/>
      <c r="D335" s="7" t="s">
        <v>2271</v>
      </c>
      <c r="E335" s="7" t="s">
        <v>34</v>
      </c>
      <c r="F335" s="15" t="s">
        <v>2271</v>
      </c>
      <c r="G335" s="15" t="s">
        <v>2271</v>
      </c>
      <c r="H335" s="15" t="s">
        <v>4968</v>
      </c>
      <c r="I335" s="15" t="s">
        <v>2271</v>
      </c>
      <c r="J335" s="15" t="s">
        <v>2271</v>
      </c>
      <c r="K335" s="16">
        <v>4</v>
      </c>
      <c r="L335" s="17" t="s">
        <v>2271</v>
      </c>
      <c r="M335" s="10" t="s">
        <v>4968</v>
      </c>
    </row>
    <row r="336" spans="1:13" x14ac:dyDescent="0.3">
      <c r="A336" t="s">
        <v>2272</v>
      </c>
      <c r="B336" s="7" t="s">
        <v>2273</v>
      </c>
      <c r="C336" s="7"/>
      <c r="D336" s="7" t="s">
        <v>2273</v>
      </c>
      <c r="E336" s="7" t="s">
        <v>34</v>
      </c>
      <c r="F336" s="15" t="s">
        <v>2273</v>
      </c>
      <c r="G336" s="15" t="s">
        <v>2273</v>
      </c>
      <c r="H336" s="15" t="s">
        <v>4968</v>
      </c>
      <c r="I336" s="15" t="s">
        <v>2273</v>
      </c>
      <c r="J336" s="15" t="s">
        <v>2273</v>
      </c>
      <c r="K336" s="16">
        <v>4</v>
      </c>
      <c r="L336" s="17" t="s">
        <v>2273</v>
      </c>
      <c r="M336" s="10" t="s">
        <v>4968</v>
      </c>
    </row>
    <row r="337" spans="1:13" x14ac:dyDescent="0.3">
      <c r="A337" t="s">
        <v>2276</v>
      </c>
      <c r="B337" s="7" t="s">
        <v>2277</v>
      </c>
      <c r="C337" s="7" t="s">
        <v>2277</v>
      </c>
      <c r="D337" s="7" t="s">
        <v>2278</v>
      </c>
      <c r="E337" s="7" t="s">
        <v>15</v>
      </c>
      <c r="F337" s="15" t="s">
        <v>2278</v>
      </c>
      <c r="G337" s="15" t="s">
        <v>5113</v>
      </c>
      <c r="H337" s="15" t="s">
        <v>2278</v>
      </c>
      <c r="I337" s="15" t="s">
        <v>2278</v>
      </c>
      <c r="J337" s="15" t="s">
        <v>5113</v>
      </c>
      <c r="K337" s="16">
        <v>3</v>
      </c>
      <c r="L337" s="17" t="s">
        <v>2278</v>
      </c>
      <c r="M337" s="10" t="s">
        <v>4968</v>
      </c>
    </row>
    <row r="338" spans="1:13" x14ac:dyDescent="0.3">
      <c r="A338" t="s">
        <v>2283</v>
      </c>
      <c r="B338" s="7"/>
      <c r="C338" s="7" t="s">
        <v>2284</v>
      </c>
      <c r="D338" s="7" t="s">
        <v>2284</v>
      </c>
      <c r="E338" s="7" t="s">
        <v>49</v>
      </c>
      <c r="F338" s="15" t="s">
        <v>2284</v>
      </c>
      <c r="G338" s="15" t="s">
        <v>2284</v>
      </c>
      <c r="H338" s="15" t="s">
        <v>4968</v>
      </c>
      <c r="I338" s="15" t="s">
        <v>2284</v>
      </c>
      <c r="J338" s="15" t="s">
        <v>2284</v>
      </c>
      <c r="K338" s="16">
        <v>4</v>
      </c>
      <c r="L338" s="17" t="s">
        <v>2284</v>
      </c>
      <c r="M338" s="10" t="s">
        <v>4968</v>
      </c>
    </row>
    <row r="339" spans="1:13" x14ac:dyDescent="0.3">
      <c r="A339" t="s">
        <v>2285</v>
      </c>
      <c r="B339" s="7" t="s">
        <v>2286</v>
      </c>
      <c r="C339" s="7" t="s">
        <v>2280</v>
      </c>
      <c r="D339" s="7" t="s">
        <v>2280</v>
      </c>
      <c r="E339" s="7" t="s">
        <v>23</v>
      </c>
      <c r="F339" s="15" t="s">
        <v>2286</v>
      </c>
      <c r="G339" s="15" t="s">
        <v>2286</v>
      </c>
      <c r="H339" s="15" t="s">
        <v>4968</v>
      </c>
      <c r="I339" s="15" t="s">
        <v>2286</v>
      </c>
      <c r="J339" s="15" t="s">
        <v>2286</v>
      </c>
      <c r="K339" s="16">
        <v>4</v>
      </c>
      <c r="L339" s="17" t="s">
        <v>2280</v>
      </c>
      <c r="M339" s="10" t="s">
        <v>4968</v>
      </c>
    </row>
    <row r="340" spans="1:13" x14ac:dyDescent="0.3">
      <c r="A340" t="s">
        <v>2288</v>
      </c>
      <c r="B340" s="7"/>
      <c r="C340" s="7"/>
      <c r="D340" s="7" t="s">
        <v>2289</v>
      </c>
      <c r="E340" s="7" t="s">
        <v>9</v>
      </c>
      <c r="F340" s="15" t="s">
        <v>2289</v>
      </c>
      <c r="G340" s="15" t="s">
        <v>2289</v>
      </c>
      <c r="H340" s="15" t="s">
        <v>4968</v>
      </c>
      <c r="I340" s="15" t="s">
        <v>2289</v>
      </c>
      <c r="J340" s="15" t="s">
        <v>2289</v>
      </c>
      <c r="K340" s="16">
        <v>4</v>
      </c>
      <c r="L340" s="17" t="s">
        <v>2289</v>
      </c>
      <c r="M340" s="10" t="s">
        <v>4968</v>
      </c>
    </row>
    <row r="341" spans="1:13" x14ac:dyDescent="0.3">
      <c r="A341" t="s">
        <v>2306</v>
      </c>
      <c r="B341" s="7" t="s">
        <v>2307</v>
      </c>
      <c r="C341" s="7"/>
      <c r="D341" s="7" t="s">
        <v>2307</v>
      </c>
      <c r="E341" s="7" t="s">
        <v>34</v>
      </c>
      <c r="F341" s="15" t="s">
        <v>2307</v>
      </c>
      <c r="G341" s="15" t="s">
        <v>2307</v>
      </c>
      <c r="H341" s="15" t="s">
        <v>4968</v>
      </c>
      <c r="I341" s="15" t="s">
        <v>2307</v>
      </c>
      <c r="J341" s="15" t="s">
        <v>2307</v>
      </c>
      <c r="K341" s="16">
        <v>4</v>
      </c>
      <c r="L341" s="17" t="s">
        <v>2307</v>
      </c>
      <c r="M341" s="10" t="s">
        <v>4968</v>
      </c>
    </row>
    <row r="342" spans="1:13" x14ac:dyDescent="0.3">
      <c r="A342" t="s">
        <v>2308</v>
      </c>
      <c r="B342" s="7"/>
      <c r="C342" s="7" t="s">
        <v>2309</v>
      </c>
      <c r="D342" s="7" t="s">
        <v>2309</v>
      </c>
      <c r="E342" s="7" t="s">
        <v>49</v>
      </c>
      <c r="F342" s="15" t="s">
        <v>2309</v>
      </c>
      <c r="G342" s="15" t="s">
        <v>2309</v>
      </c>
      <c r="H342" s="15" t="s">
        <v>4968</v>
      </c>
      <c r="I342" s="15" t="s">
        <v>2309</v>
      </c>
      <c r="J342" s="15" t="s">
        <v>2309</v>
      </c>
      <c r="K342" s="16">
        <v>4</v>
      </c>
      <c r="L342" s="17" t="s">
        <v>2309</v>
      </c>
      <c r="M342" s="10" t="s">
        <v>4968</v>
      </c>
    </row>
    <row r="343" spans="1:13" x14ac:dyDescent="0.3">
      <c r="A343" t="s">
        <v>2314</v>
      </c>
      <c r="B343" s="7" t="s">
        <v>2315</v>
      </c>
      <c r="C343" s="7"/>
      <c r="D343" s="7" t="s">
        <v>2315</v>
      </c>
      <c r="E343" s="7" t="s">
        <v>34</v>
      </c>
      <c r="F343" s="15" t="s">
        <v>2315</v>
      </c>
      <c r="G343" s="15" t="s">
        <v>2315</v>
      </c>
      <c r="H343" s="15" t="s">
        <v>4968</v>
      </c>
      <c r="I343" s="15" t="s">
        <v>2315</v>
      </c>
      <c r="J343" s="15" t="s">
        <v>2315</v>
      </c>
      <c r="K343" s="16">
        <v>4</v>
      </c>
      <c r="L343" s="17" t="s">
        <v>2315</v>
      </c>
      <c r="M343" s="10" t="s">
        <v>4968</v>
      </c>
    </row>
    <row r="344" spans="1:13" x14ac:dyDescent="0.3">
      <c r="A344" t="s">
        <v>2322</v>
      </c>
      <c r="B344" s="7" t="s">
        <v>2323</v>
      </c>
      <c r="C344" s="7"/>
      <c r="D344" s="7" t="s">
        <v>2323</v>
      </c>
      <c r="E344" s="7" t="s">
        <v>34</v>
      </c>
      <c r="F344" s="15" t="s">
        <v>2323</v>
      </c>
      <c r="G344" s="15" t="s">
        <v>2323</v>
      </c>
      <c r="H344" s="15" t="s">
        <v>4968</v>
      </c>
      <c r="I344" s="15" t="s">
        <v>2323</v>
      </c>
      <c r="J344" s="15" t="s">
        <v>2323</v>
      </c>
      <c r="K344" s="16">
        <v>4</v>
      </c>
      <c r="L344" s="17" t="s">
        <v>2323</v>
      </c>
      <c r="M344" s="10" t="s">
        <v>4968</v>
      </c>
    </row>
    <row r="345" spans="1:13" x14ac:dyDescent="0.3">
      <c r="A345" t="s">
        <v>2326</v>
      </c>
      <c r="B345" s="7" t="s">
        <v>2327</v>
      </c>
      <c r="C345" s="7"/>
      <c r="D345" s="7" t="s">
        <v>2327</v>
      </c>
      <c r="E345" s="7" t="s">
        <v>34</v>
      </c>
      <c r="F345" s="15" t="s">
        <v>5114</v>
      </c>
      <c r="G345" s="20" t="s">
        <v>2327</v>
      </c>
      <c r="H345" s="15" t="s">
        <v>4968</v>
      </c>
      <c r="I345" s="15" t="s">
        <v>5114</v>
      </c>
      <c r="J345" s="15" t="s">
        <v>5114</v>
      </c>
      <c r="K345" s="16">
        <v>3</v>
      </c>
      <c r="L345" s="17" t="s">
        <v>5114</v>
      </c>
      <c r="M345" s="10" t="s">
        <v>4968</v>
      </c>
    </row>
    <row r="346" spans="1:13" x14ac:dyDescent="0.3">
      <c r="A346" t="s">
        <v>2330</v>
      </c>
      <c r="B346" s="7"/>
      <c r="C346" s="7"/>
      <c r="D346" s="7" t="s">
        <v>2331</v>
      </c>
      <c r="E346" s="7" t="s">
        <v>9</v>
      </c>
      <c r="F346" s="15" t="s">
        <v>5115</v>
      </c>
      <c r="G346" s="15" t="s">
        <v>5115</v>
      </c>
      <c r="H346" s="15" t="s">
        <v>4968</v>
      </c>
      <c r="I346" s="15" t="s">
        <v>5115</v>
      </c>
      <c r="J346" s="15" t="s">
        <v>5115</v>
      </c>
      <c r="K346" s="16">
        <v>4</v>
      </c>
      <c r="L346" s="17" t="s">
        <v>5115</v>
      </c>
      <c r="M346" s="10" t="s">
        <v>4968</v>
      </c>
    </row>
    <row r="347" spans="1:13" x14ac:dyDescent="0.3">
      <c r="A347" t="s">
        <v>2334</v>
      </c>
      <c r="B347" s="7" t="s">
        <v>2335</v>
      </c>
      <c r="C347" s="7"/>
      <c r="D347" s="7" t="s">
        <v>2335</v>
      </c>
      <c r="E347" s="7" t="s">
        <v>34</v>
      </c>
      <c r="F347" s="15" t="s">
        <v>2335</v>
      </c>
      <c r="G347" s="15" t="s">
        <v>2335</v>
      </c>
      <c r="H347" s="15" t="s">
        <v>4968</v>
      </c>
      <c r="I347" s="15" t="s">
        <v>2335</v>
      </c>
      <c r="J347" s="15" t="s">
        <v>2335</v>
      </c>
      <c r="K347" s="16">
        <v>4</v>
      </c>
      <c r="L347" s="17" t="s">
        <v>2335</v>
      </c>
      <c r="M347" s="10" t="s">
        <v>4968</v>
      </c>
    </row>
    <row r="348" spans="1:13" x14ac:dyDescent="0.3">
      <c r="A348" t="s">
        <v>2343</v>
      </c>
      <c r="B348" s="7" t="s">
        <v>2344</v>
      </c>
      <c r="C348" s="7"/>
      <c r="D348" s="7" t="s">
        <v>2344</v>
      </c>
      <c r="E348" s="7" t="s">
        <v>34</v>
      </c>
      <c r="F348" s="15" t="s">
        <v>2344</v>
      </c>
      <c r="G348" s="15" t="s">
        <v>2344</v>
      </c>
      <c r="H348" s="15" t="s">
        <v>4968</v>
      </c>
      <c r="I348" s="15" t="s">
        <v>2344</v>
      </c>
      <c r="J348" s="15" t="s">
        <v>2344</v>
      </c>
      <c r="K348" s="16">
        <v>4</v>
      </c>
      <c r="L348" s="17" t="s">
        <v>2344</v>
      </c>
      <c r="M348" s="10" t="s">
        <v>4968</v>
      </c>
    </row>
    <row r="349" spans="1:13" x14ac:dyDescent="0.3">
      <c r="A349" t="s">
        <v>2347</v>
      </c>
      <c r="B349" s="7"/>
      <c r="C349" s="7" t="s">
        <v>2348</v>
      </c>
      <c r="D349" s="7" t="s">
        <v>2348</v>
      </c>
      <c r="E349" s="7" t="s">
        <v>49</v>
      </c>
      <c r="F349" s="15" t="s">
        <v>2348</v>
      </c>
      <c r="G349" s="15" t="s">
        <v>2348</v>
      </c>
      <c r="H349" s="15" t="s">
        <v>4968</v>
      </c>
      <c r="I349" s="15" t="s">
        <v>2348</v>
      </c>
      <c r="J349" s="15" t="s">
        <v>2348</v>
      </c>
      <c r="K349" s="16">
        <v>4</v>
      </c>
      <c r="L349" s="17" t="s">
        <v>2348</v>
      </c>
      <c r="M349" s="10" t="s">
        <v>4968</v>
      </c>
    </row>
    <row r="350" spans="1:13" x14ac:dyDescent="0.3">
      <c r="A350" t="s">
        <v>2349</v>
      </c>
      <c r="B350" s="7" t="s">
        <v>2350</v>
      </c>
      <c r="C350" s="7"/>
      <c r="D350" s="7" t="s">
        <v>2350</v>
      </c>
      <c r="E350" s="7" t="s">
        <v>34</v>
      </c>
      <c r="F350" s="15" t="s">
        <v>2350</v>
      </c>
      <c r="G350" s="15" t="s">
        <v>2350</v>
      </c>
      <c r="H350" s="15" t="s">
        <v>4968</v>
      </c>
      <c r="I350" s="15" t="s">
        <v>2350</v>
      </c>
      <c r="J350" s="15" t="s">
        <v>2350</v>
      </c>
      <c r="K350" s="16">
        <v>4</v>
      </c>
      <c r="L350" s="17" t="s">
        <v>2350</v>
      </c>
      <c r="M350" s="10" t="s">
        <v>4968</v>
      </c>
    </row>
    <row r="351" spans="1:13" x14ac:dyDescent="0.3">
      <c r="A351" t="s">
        <v>2377</v>
      </c>
      <c r="B351" s="7" t="s">
        <v>2378</v>
      </c>
      <c r="C351" s="7" t="s">
        <v>2378</v>
      </c>
      <c r="D351" s="7" t="s">
        <v>2379</v>
      </c>
      <c r="E351" s="7" t="s">
        <v>15</v>
      </c>
      <c r="F351" s="15" t="s">
        <v>2378</v>
      </c>
      <c r="G351" s="15" t="s">
        <v>2378</v>
      </c>
      <c r="H351" s="15" t="s">
        <v>4968</v>
      </c>
      <c r="I351" s="15" t="s">
        <v>2378</v>
      </c>
      <c r="J351" s="15" t="s">
        <v>2378</v>
      </c>
      <c r="K351" s="16">
        <v>4</v>
      </c>
      <c r="L351" s="17" t="s">
        <v>2378</v>
      </c>
      <c r="M351" s="10" t="s">
        <v>4968</v>
      </c>
    </row>
    <row r="352" spans="1:13" x14ac:dyDescent="0.3">
      <c r="A352" t="s">
        <v>2380</v>
      </c>
      <c r="B352" s="7" t="s">
        <v>2381</v>
      </c>
      <c r="C352" s="7" t="s">
        <v>2382</v>
      </c>
      <c r="D352" s="7" t="s">
        <v>2382</v>
      </c>
      <c r="E352" s="7" t="s">
        <v>23</v>
      </c>
      <c r="F352" s="15" t="s">
        <v>2381</v>
      </c>
      <c r="G352" s="15" t="s">
        <v>5116</v>
      </c>
      <c r="H352" s="15" t="s">
        <v>4968</v>
      </c>
      <c r="I352" s="15" t="s">
        <v>5116</v>
      </c>
      <c r="J352" s="15" t="s">
        <v>2381</v>
      </c>
      <c r="K352" s="16">
        <v>4</v>
      </c>
      <c r="L352" s="17" t="s">
        <v>2382</v>
      </c>
      <c r="M352" s="10" t="s">
        <v>4968</v>
      </c>
    </row>
    <row r="353" spans="1:13" x14ac:dyDescent="0.3">
      <c r="A353" t="s">
        <v>2393</v>
      </c>
      <c r="B353" s="7" t="s">
        <v>2394</v>
      </c>
      <c r="C353" s="7" t="s">
        <v>2394</v>
      </c>
      <c r="D353" s="7" t="s">
        <v>2395</v>
      </c>
      <c r="E353" s="7" t="s">
        <v>15</v>
      </c>
      <c r="F353" s="15" t="s">
        <v>2395</v>
      </c>
      <c r="G353" s="15" t="s">
        <v>4968</v>
      </c>
      <c r="H353" s="15" t="s">
        <v>4968</v>
      </c>
      <c r="I353" s="15" t="s">
        <v>2395</v>
      </c>
      <c r="J353" s="15" t="s">
        <v>2395</v>
      </c>
      <c r="K353" s="16">
        <v>3</v>
      </c>
      <c r="L353" s="17" t="s">
        <v>2395</v>
      </c>
      <c r="M353" s="10" t="s">
        <v>4968</v>
      </c>
    </row>
    <row r="354" spans="1:13" x14ac:dyDescent="0.3">
      <c r="A354" t="s">
        <v>2396</v>
      </c>
      <c r="B354" s="7"/>
      <c r="C354" s="7" t="s">
        <v>2397</v>
      </c>
      <c r="D354" s="7" t="s">
        <v>2397</v>
      </c>
      <c r="E354" s="7" t="s">
        <v>49</v>
      </c>
      <c r="F354" s="15" t="s">
        <v>2397</v>
      </c>
      <c r="G354" s="15" t="s">
        <v>4968</v>
      </c>
      <c r="H354" s="15" t="s">
        <v>2397</v>
      </c>
      <c r="I354" s="15" t="s">
        <v>2397</v>
      </c>
      <c r="J354" s="15" t="s">
        <v>2397</v>
      </c>
      <c r="K354" s="16">
        <v>4</v>
      </c>
      <c r="L354" s="17" t="s">
        <v>2397</v>
      </c>
      <c r="M354" s="10" t="s">
        <v>4968</v>
      </c>
    </row>
    <row r="355" spans="1:13" x14ac:dyDescent="0.3">
      <c r="A355" t="s">
        <v>2406</v>
      </c>
      <c r="B355" s="7"/>
      <c r="C355" s="7"/>
      <c r="D355" s="7" t="s">
        <v>2407</v>
      </c>
      <c r="E355" s="7" t="s">
        <v>9</v>
      </c>
      <c r="F355" s="15" t="s">
        <v>5122</v>
      </c>
      <c r="G355" s="15" t="s">
        <v>4968</v>
      </c>
      <c r="H355" s="15" t="s">
        <v>5122</v>
      </c>
      <c r="I355" s="15" t="s">
        <v>5123</v>
      </c>
      <c r="J355" s="15" t="s">
        <v>5123</v>
      </c>
      <c r="K355" s="16">
        <v>4</v>
      </c>
      <c r="L355" s="17" t="s">
        <v>5122</v>
      </c>
      <c r="M355" s="10" t="s">
        <v>5121</v>
      </c>
    </row>
    <row r="356" spans="1:13" x14ac:dyDescent="0.3">
      <c r="A356" t="s">
        <v>2408</v>
      </c>
      <c r="B356" s="7" t="s">
        <v>2409</v>
      </c>
      <c r="C356" s="7" t="s">
        <v>2410</v>
      </c>
      <c r="D356" s="7" t="s">
        <v>2410</v>
      </c>
      <c r="E356" s="7" t="s">
        <v>23</v>
      </c>
      <c r="F356" s="15" t="s">
        <v>5124</v>
      </c>
      <c r="G356" s="15" t="s">
        <v>4968</v>
      </c>
      <c r="H356" s="15" t="s">
        <v>2410</v>
      </c>
      <c r="I356" s="15" t="s">
        <v>2410</v>
      </c>
      <c r="J356" s="15" t="s">
        <v>5124</v>
      </c>
      <c r="K356" s="16">
        <v>4</v>
      </c>
      <c r="L356" s="17" t="s">
        <v>2410</v>
      </c>
      <c r="M356" s="10" t="s">
        <v>5125</v>
      </c>
    </row>
    <row r="357" spans="1:13" x14ac:dyDescent="0.3">
      <c r="A357" t="s">
        <v>2411</v>
      </c>
      <c r="B357" s="7" t="s">
        <v>2412</v>
      </c>
      <c r="C357" s="7" t="s">
        <v>2413</v>
      </c>
      <c r="D357" s="7" t="s">
        <v>2413</v>
      </c>
      <c r="E357" s="7" t="s">
        <v>23</v>
      </c>
      <c r="F357" s="15" t="s">
        <v>2413</v>
      </c>
      <c r="G357" s="15" t="s">
        <v>4968</v>
      </c>
      <c r="H357" s="15" t="s">
        <v>2413</v>
      </c>
      <c r="I357" s="15" t="s">
        <v>2413</v>
      </c>
      <c r="J357" s="15" t="s">
        <v>2413</v>
      </c>
      <c r="K357" s="16">
        <v>5</v>
      </c>
      <c r="L357" s="17" t="s">
        <v>2413</v>
      </c>
      <c r="M357" s="10" t="s">
        <v>5126</v>
      </c>
    </row>
    <row r="358" spans="1:13" x14ac:dyDescent="0.3">
      <c r="A358" t="s">
        <v>2418</v>
      </c>
      <c r="B358" s="7"/>
      <c r="C358" s="7" t="s">
        <v>2419</v>
      </c>
      <c r="D358" s="7" t="s">
        <v>2419</v>
      </c>
      <c r="E358" s="7" t="s">
        <v>49</v>
      </c>
      <c r="F358" s="15" t="s">
        <v>5127</v>
      </c>
      <c r="G358" s="15" t="s">
        <v>4968</v>
      </c>
      <c r="H358" s="15" t="s">
        <v>2419</v>
      </c>
      <c r="I358" s="15" t="s">
        <v>5127</v>
      </c>
      <c r="J358" s="15" t="s">
        <v>5127</v>
      </c>
      <c r="K358" s="16">
        <v>5</v>
      </c>
      <c r="L358" s="17" t="s">
        <v>5127</v>
      </c>
      <c r="M358" s="10" t="s">
        <v>5128</v>
      </c>
    </row>
    <row r="359" spans="1:13" x14ac:dyDescent="0.3">
      <c r="A359" t="s">
        <v>2443</v>
      </c>
      <c r="B359" s="7" t="s">
        <v>2444</v>
      </c>
      <c r="C359" s="7"/>
      <c r="D359" s="7" t="s">
        <v>2444</v>
      </c>
      <c r="E359" s="7" t="s">
        <v>34</v>
      </c>
      <c r="F359" s="15" t="s">
        <v>2444</v>
      </c>
      <c r="G359" s="15" t="s">
        <v>4968</v>
      </c>
      <c r="H359" s="15" t="s">
        <v>2444</v>
      </c>
      <c r="I359" s="15" t="s">
        <v>2444</v>
      </c>
      <c r="J359" s="15" t="s">
        <v>2444</v>
      </c>
      <c r="K359" s="16">
        <v>5</v>
      </c>
      <c r="L359" s="17" t="s">
        <v>2444</v>
      </c>
      <c r="M359" s="10" t="s">
        <v>5129</v>
      </c>
    </row>
    <row r="360" spans="1:13" x14ac:dyDescent="0.3">
      <c r="A360" t="s">
        <v>2445</v>
      </c>
      <c r="B360" s="7"/>
      <c r="C360" s="7" t="s">
        <v>2446</v>
      </c>
      <c r="D360" s="7" t="s">
        <v>2446</v>
      </c>
      <c r="E360" s="7" t="s">
        <v>49</v>
      </c>
      <c r="F360" s="15" t="s">
        <v>2446</v>
      </c>
      <c r="G360" s="15" t="s">
        <v>4968</v>
      </c>
      <c r="H360" s="15" t="s">
        <v>2446</v>
      </c>
      <c r="I360" s="15" t="s">
        <v>2446</v>
      </c>
      <c r="J360" s="15" t="s">
        <v>2446</v>
      </c>
      <c r="K360" s="16">
        <v>4</v>
      </c>
      <c r="L360" s="17" t="s">
        <v>2446</v>
      </c>
      <c r="M360" s="10" t="s">
        <v>4968</v>
      </c>
    </row>
    <row r="361" spans="1:13" x14ac:dyDescent="0.3">
      <c r="A361" t="s">
        <v>2459</v>
      </c>
      <c r="B361" s="7" t="s">
        <v>2460</v>
      </c>
      <c r="C361" s="7"/>
      <c r="D361" s="7" t="s">
        <v>2460</v>
      </c>
      <c r="E361" s="7" t="s">
        <v>34</v>
      </c>
      <c r="F361" s="15" t="s">
        <v>2460</v>
      </c>
      <c r="G361" s="15" t="s">
        <v>4968</v>
      </c>
      <c r="H361" s="15" t="s">
        <v>2460</v>
      </c>
      <c r="I361" s="15" t="s">
        <v>2460</v>
      </c>
      <c r="J361" s="15" t="s">
        <v>2460</v>
      </c>
      <c r="K361" s="16">
        <v>5</v>
      </c>
      <c r="L361" s="17" t="s">
        <v>2460</v>
      </c>
      <c r="M361" s="10" t="s">
        <v>5130</v>
      </c>
    </row>
    <row r="362" spans="1:13" x14ac:dyDescent="0.3">
      <c r="A362" t="s">
        <v>2461</v>
      </c>
      <c r="B362" s="7" t="s">
        <v>2462</v>
      </c>
      <c r="C362" s="7"/>
      <c r="D362" s="7" t="s">
        <v>2462</v>
      </c>
      <c r="E362" s="7" t="s">
        <v>34</v>
      </c>
      <c r="F362" s="15" t="s">
        <v>2462</v>
      </c>
      <c r="G362" s="15" t="s">
        <v>4968</v>
      </c>
      <c r="H362" s="15" t="s">
        <v>2462</v>
      </c>
      <c r="I362" s="15" t="s">
        <v>2462</v>
      </c>
      <c r="J362" s="15" t="s">
        <v>2462</v>
      </c>
      <c r="K362" s="16">
        <v>4</v>
      </c>
      <c r="L362" s="17" t="s">
        <v>2462</v>
      </c>
      <c r="M362" s="10" t="s">
        <v>4968</v>
      </c>
    </row>
    <row r="363" spans="1:13" x14ac:dyDescent="0.3">
      <c r="A363" t="s">
        <v>2463</v>
      </c>
      <c r="B363" s="7"/>
      <c r="C363" s="7" t="s">
        <v>2464</v>
      </c>
      <c r="D363" s="7" t="s">
        <v>2464</v>
      </c>
      <c r="E363" s="7" t="s">
        <v>49</v>
      </c>
      <c r="F363" s="15" t="s">
        <v>2464</v>
      </c>
      <c r="G363" s="15" t="s">
        <v>4968</v>
      </c>
      <c r="H363" s="15" t="s">
        <v>2464</v>
      </c>
      <c r="I363" s="15" t="s">
        <v>2464</v>
      </c>
      <c r="J363" s="15" t="s">
        <v>2464</v>
      </c>
      <c r="K363" s="16">
        <v>5</v>
      </c>
      <c r="L363" s="17" t="s">
        <v>2464</v>
      </c>
      <c r="M363" s="10" t="s">
        <v>5131</v>
      </c>
    </row>
    <row r="364" spans="1:13" x14ac:dyDescent="0.3">
      <c r="A364" t="s">
        <v>2470</v>
      </c>
      <c r="B364" s="7" t="s">
        <v>2471</v>
      </c>
      <c r="C364" s="7"/>
      <c r="D364" s="7" t="s">
        <v>2471</v>
      </c>
      <c r="E364" s="7" t="s">
        <v>34</v>
      </c>
      <c r="F364" s="15" t="s">
        <v>2471</v>
      </c>
      <c r="G364" s="15" t="s">
        <v>4968</v>
      </c>
      <c r="H364" s="15" t="s">
        <v>2471</v>
      </c>
      <c r="I364" s="15" t="s">
        <v>2471</v>
      </c>
      <c r="J364" s="15" t="s">
        <v>2471</v>
      </c>
      <c r="K364" s="16">
        <v>4</v>
      </c>
      <c r="L364" s="17" t="s">
        <v>2471</v>
      </c>
      <c r="M364" s="10" t="s">
        <v>4968</v>
      </c>
    </row>
    <row r="365" spans="1:13" x14ac:dyDescent="0.3">
      <c r="A365" t="s">
        <v>2474</v>
      </c>
      <c r="B365" s="7" t="s">
        <v>2475</v>
      </c>
      <c r="C365" s="7" t="s">
        <v>2475</v>
      </c>
      <c r="D365" s="7" t="s">
        <v>2476</v>
      </c>
      <c r="E365" s="7" t="s">
        <v>15</v>
      </c>
      <c r="F365" s="15" t="s">
        <v>2475</v>
      </c>
      <c r="G365" s="15" t="s">
        <v>4968</v>
      </c>
      <c r="H365" s="15" t="s">
        <v>2475</v>
      </c>
      <c r="I365" s="15" t="s">
        <v>5134</v>
      </c>
      <c r="J365" s="15" t="s">
        <v>5132</v>
      </c>
      <c r="K365" s="16">
        <v>4</v>
      </c>
      <c r="L365" s="17" t="s">
        <v>5132</v>
      </c>
      <c r="M365" s="10" t="s">
        <v>5133</v>
      </c>
    </row>
    <row r="366" spans="1:13" x14ac:dyDescent="0.3">
      <c r="A366" t="s">
        <v>2487</v>
      </c>
      <c r="B366" s="7"/>
      <c r="C366" s="7" t="s">
        <v>2488</v>
      </c>
      <c r="D366" s="7" t="s">
        <v>2488</v>
      </c>
      <c r="E366" s="7" t="s">
        <v>49</v>
      </c>
      <c r="F366" s="15" t="s">
        <v>2488</v>
      </c>
      <c r="G366" s="15" t="s">
        <v>4968</v>
      </c>
      <c r="H366" s="15" t="s">
        <v>2488</v>
      </c>
      <c r="I366" s="15" t="s">
        <v>2488</v>
      </c>
      <c r="J366" s="15" t="s">
        <v>2488</v>
      </c>
      <c r="K366" s="16">
        <v>5</v>
      </c>
      <c r="L366" s="17" t="s">
        <v>2488</v>
      </c>
      <c r="M366" s="10" t="s">
        <v>5135</v>
      </c>
    </row>
    <row r="367" spans="1:13" x14ac:dyDescent="0.3">
      <c r="A367" t="s">
        <v>2489</v>
      </c>
      <c r="B367" s="7"/>
      <c r="C367" s="7"/>
      <c r="D367" s="7" t="s">
        <v>2490</v>
      </c>
      <c r="E367" s="7" t="s">
        <v>9</v>
      </c>
      <c r="F367" s="15" t="s">
        <v>2490</v>
      </c>
      <c r="G367" s="15" t="s">
        <v>4968</v>
      </c>
      <c r="H367" s="15" t="s">
        <v>2490</v>
      </c>
      <c r="I367" s="15" t="s">
        <v>2490</v>
      </c>
      <c r="J367" s="15" t="s">
        <v>2490</v>
      </c>
      <c r="K367" s="16">
        <v>4</v>
      </c>
      <c r="L367" s="17" t="s">
        <v>2490</v>
      </c>
      <c r="M367" s="10" t="s">
        <v>4968</v>
      </c>
    </row>
    <row r="368" spans="1:13" x14ac:dyDescent="0.3">
      <c r="A368" t="s">
        <v>2491</v>
      </c>
      <c r="B368" s="7" t="s">
        <v>2492</v>
      </c>
      <c r="C368" s="7" t="s">
        <v>2493</v>
      </c>
      <c r="D368" s="7" t="s">
        <v>2494</v>
      </c>
      <c r="E368" s="7" t="s">
        <v>295</v>
      </c>
      <c r="F368" s="15" t="s">
        <v>5139</v>
      </c>
      <c r="G368" s="15" t="s">
        <v>4968</v>
      </c>
      <c r="H368" s="15" t="s">
        <v>2493</v>
      </c>
      <c r="I368" s="15" t="s">
        <v>5139</v>
      </c>
      <c r="J368" s="15" t="s">
        <v>5139</v>
      </c>
      <c r="K368" s="16">
        <v>5</v>
      </c>
      <c r="L368" s="17" t="s">
        <v>5139</v>
      </c>
      <c r="M368" s="10" t="s">
        <v>5140</v>
      </c>
    </row>
    <row r="369" spans="1:13" x14ac:dyDescent="0.3">
      <c r="A369" t="s">
        <v>2495</v>
      </c>
      <c r="B369" s="7" t="s">
        <v>2496</v>
      </c>
      <c r="C369" s="7"/>
      <c r="D369" s="7" t="s">
        <v>2496</v>
      </c>
      <c r="E369" s="7" t="s">
        <v>34</v>
      </c>
      <c r="F369" s="15" t="s">
        <v>2496</v>
      </c>
      <c r="G369" s="15" t="s">
        <v>4968</v>
      </c>
      <c r="H369" s="15" t="s">
        <v>2496</v>
      </c>
      <c r="I369" s="15" t="s">
        <v>2496</v>
      </c>
      <c r="J369" s="15" t="s">
        <v>2496</v>
      </c>
      <c r="K369" s="16">
        <v>5</v>
      </c>
      <c r="L369" s="17" t="s">
        <v>2496</v>
      </c>
      <c r="M369" s="10" t="s">
        <v>5141</v>
      </c>
    </row>
    <row r="370" spans="1:13" x14ac:dyDescent="0.3">
      <c r="A370" t="s">
        <v>2497</v>
      </c>
      <c r="B370" s="7" t="s">
        <v>2498</v>
      </c>
      <c r="C370" s="7" t="s">
        <v>2499</v>
      </c>
      <c r="D370" s="7" t="s">
        <v>2499</v>
      </c>
      <c r="E370" s="7" t="s">
        <v>23</v>
      </c>
      <c r="F370" s="15" t="s">
        <v>2498</v>
      </c>
      <c r="G370" s="15" t="s">
        <v>4968</v>
      </c>
      <c r="H370" s="15" t="s">
        <v>2499</v>
      </c>
      <c r="I370" s="15" t="s">
        <v>2499</v>
      </c>
      <c r="J370" s="15" t="s">
        <v>5142</v>
      </c>
      <c r="K370" s="16">
        <v>5</v>
      </c>
      <c r="L370" s="17" t="s">
        <v>2499</v>
      </c>
      <c r="M370" s="10" t="s">
        <v>5143</v>
      </c>
    </row>
    <row r="371" spans="1:13" x14ac:dyDescent="0.3">
      <c r="A371" t="s">
        <v>2506</v>
      </c>
      <c r="B371" s="7"/>
      <c r="C371" s="7"/>
      <c r="D371" s="7" t="s">
        <v>2507</v>
      </c>
      <c r="E371" s="7" t="s">
        <v>9</v>
      </c>
      <c r="F371" s="15" t="s">
        <v>2507</v>
      </c>
      <c r="G371" s="15" t="s">
        <v>4968</v>
      </c>
      <c r="H371" s="15" t="s">
        <v>2507</v>
      </c>
      <c r="I371" s="15" t="s">
        <v>2507</v>
      </c>
      <c r="J371" s="15" t="s">
        <v>2507</v>
      </c>
      <c r="K371" s="16">
        <v>4</v>
      </c>
      <c r="L371" s="17" t="s">
        <v>2507</v>
      </c>
      <c r="M371" s="10" t="s">
        <v>4968</v>
      </c>
    </row>
    <row r="372" spans="1:13" x14ac:dyDescent="0.3">
      <c r="A372" t="s">
        <v>2528</v>
      </c>
      <c r="B372" s="7"/>
      <c r="C372" s="7" t="s">
        <v>2529</v>
      </c>
      <c r="D372" s="7" t="s">
        <v>2530</v>
      </c>
      <c r="E372" s="7" t="s">
        <v>9</v>
      </c>
      <c r="F372" s="15" t="s">
        <v>2529</v>
      </c>
      <c r="G372" s="15" t="s">
        <v>4968</v>
      </c>
      <c r="H372" s="15" t="s">
        <v>2529</v>
      </c>
      <c r="I372" s="15" t="s">
        <v>2529</v>
      </c>
      <c r="J372" s="15" t="s">
        <v>2529</v>
      </c>
      <c r="K372" s="16">
        <v>4</v>
      </c>
      <c r="L372" s="17" t="s">
        <v>2529</v>
      </c>
      <c r="M372" s="10" t="s">
        <v>4968</v>
      </c>
    </row>
    <row r="373" spans="1:13" x14ac:dyDescent="0.3">
      <c r="A373" t="s">
        <v>2533</v>
      </c>
      <c r="B373" s="7" t="s">
        <v>2534</v>
      </c>
      <c r="C373" s="7" t="s">
        <v>2535</v>
      </c>
      <c r="D373" s="7" t="s">
        <v>2534</v>
      </c>
      <c r="E373" s="7" t="s">
        <v>493</v>
      </c>
      <c r="F373" s="15" t="s">
        <v>2534</v>
      </c>
      <c r="G373" s="15" t="s">
        <v>4968</v>
      </c>
      <c r="H373" s="15" t="s">
        <v>2535</v>
      </c>
      <c r="I373" s="15" t="s">
        <v>2534</v>
      </c>
      <c r="J373" s="15" t="s">
        <v>2534</v>
      </c>
      <c r="K373" s="16">
        <v>3</v>
      </c>
      <c r="L373" s="17" t="s">
        <v>2535</v>
      </c>
      <c r="M373" s="10" t="s">
        <v>5144</v>
      </c>
    </row>
    <row r="374" spans="1:13" x14ac:dyDescent="0.3">
      <c r="A374" t="s">
        <v>2564</v>
      </c>
      <c r="B374" s="7" t="s">
        <v>2565</v>
      </c>
      <c r="C374" s="7"/>
      <c r="D374" s="7" t="s">
        <v>2565</v>
      </c>
      <c r="E374" s="7" t="s">
        <v>34</v>
      </c>
      <c r="F374" s="15" t="s">
        <v>2565</v>
      </c>
      <c r="G374" s="15" t="s">
        <v>4968</v>
      </c>
      <c r="H374" s="15" t="s">
        <v>2565</v>
      </c>
      <c r="I374" s="15" t="s">
        <v>2565</v>
      </c>
      <c r="J374" s="15" t="s">
        <v>2565</v>
      </c>
      <c r="K374" s="16">
        <v>5</v>
      </c>
      <c r="L374" s="17" t="s">
        <v>2565</v>
      </c>
      <c r="M374" s="10" t="s">
        <v>5145</v>
      </c>
    </row>
    <row r="375" spans="1:13" x14ac:dyDescent="0.3">
      <c r="A375" t="s">
        <v>2566</v>
      </c>
      <c r="B375" s="7"/>
      <c r="C375" s="7" t="s">
        <v>2567</v>
      </c>
      <c r="D375" s="7" t="s">
        <v>2567</v>
      </c>
      <c r="E375" s="7" t="s">
        <v>49</v>
      </c>
      <c r="F375" s="15" t="s">
        <v>2567</v>
      </c>
      <c r="G375" s="15" t="s">
        <v>4968</v>
      </c>
      <c r="H375" s="15" t="s">
        <v>2567</v>
      </c>
      <c r="I375" s="15" t="s">
        <v>2567</v>
      </c>
      <c r="J375" s="15" t="s">
        <v>2567</v>
      </c>
      <c r="K375" s="16">
        <v>5</v>
      </c>
      <c r="L375" s="17" t="s">
        <v>2567</v>
      </c>
      <c r="M375" s="10" t="s">
        <v>5146</v>
      </c>
    </row>
    <row r="376" spans="1:13" x14ac:dyDescent="0.3">
      <c r="A376" t="s">
        <v>2568</v>
      </c>
      <c r="B376" s="7" t="s">
        <v>2569</v>
      </c>
      <c r="C376" s="7"/>
      <c r="D376" s="7" t="s">
        <v>2569</v>
      </c>
      <c r="E376" s="7" t="s">
        <v>34</v>
      </c>
      <c r="F376" s="15" t="s">
        <v>2569</v>
      </c>
      <c r="G376" s="15" t="s">
        <v>4968</v>
      </c>
      <c r="H376" s="15" t="s">
        <v>2569</v>
      </c>
      <c r="I376" s="15" t="s">
        <v>2569</v>
      </c>
      <c r="J376" s="15" t="s">
        <v>2569</v>
      </c>
      <c r="K376" s="16">
        <v>5</v>
      </c>
      <c r="L376" s="17" t="s">
        <v>2569</v>
      </c>
      <c r="M376" s="10" t="s">
        <v>5147</v>
      </c>
    </row>
    <row r="377" spans="1:13" x14ac:dyDescent="0.3">
      <c r="A377" t="s">
        <v>2597</v>
      </c>
      <c r="B377" s="7" t="s">
        <v>2598</v>
      </c>
      <c r="C377" s="7"/>
      <c r="D377" s="7" t="s">
        <v>2598</v>
      </c>
      <c r="E377" s="7" t="s">
        <v>34</v>
      </c>
      <c r="F377" s="15" t="s">
        <v>2598</v>
      </c>
      <c r="G377" s="15" t="s">
        <v>4968</v>
      </c>
      <c r="H377" s="15" t="s">
        <v>2598</v>
      </c>
      <c r="I377" s="15" t="s">
        <v>2598</v>
      </c>
      <c r="J377" s="15" t="s">
        <v>2598</v>
      </c>
      <c r="K377" s="16">
        <v>5</v>
      </c>
      <c r="L377" s="17" t="s">
        <v>2598</v>
      </c>
      <c r="M377" s="10" t="s">
        <v>5148</v>
      </c>
    </row>
    <row r="378" spans="1:13" x14ac:dyDescent="0.3">
      <c r="A378" t="s">
        <v>2615</v>
      </c>
      <c r="B378" s="7" t="s">
        <v>2616</v>
      </c>
      <c r="C378" s="7"/>
      <c r="D378" s="7" t="s">
        <v>2616</v>
      </c>
      <c r="E378" s="7" t="s">
        <v>34</v>
      </c>
      <c r="F378" s="15" t="s">
        <v>2616</v>
      </c>
      <c r="G378" s="15" t="s">
        <v>4968</v>
      </c>
      <c r="H378" s="15" t="s">
        <v>2616</v>
      </c>
      <c r="I378" s="15" t="s">
        <v>2616</v>
      </c>
      <c r="J378" s="15" t="s">
        <v>2616</v>
      </c>
      <c r="K378" s="16">
        <v>5</v>
      </c>
      <c r="L378" s="17" t="s">
        <v>2616</v>
      </c>
      <c r="M378" s="10" t="s">
        <v>5149</v>
      </c>
    </row>
    <row r="379" spans="1:13" x14ac:dyDescent="0.3">
      <c r="A379" t="s">
        <v>2620</v>
      </c>
      <c r="B379" s="7"/>
      <c r="C379" s="7"/>
      <c r="D379" s="7"/>
      <c r="E379" s="7" t="s">
        <v>11</v>
      </c>
      <c r="F379" s="15" t="s">
        <v>5151</v>
      </c>
      <c r="G379" s="15" t="s">
        <v>4968</v>
      </c>
      <c r="H379" s="15" t="s">
        <v>5151</v>
      </c>
      <c r="I379" s="15" t="s">
        <v>5151</v>
      </c>
      <c r="J379" s="15" t="s">
        <v>4968</v>
      </c>
      <c r="K379" s="16">
        <v>4</v>
      </c>
      <c r="L379" s="17" t="s">
        <v>5151</v>
      </c>
      <c r="M379" s="10" t="s">
        <v>5150</v>
      </c>
    </row>
    <row r="380" spans="1:13" x14ac:dyDescent="0.3">
      <c r="A380" t="s">
        <v>2629</v>
      </c>
      <c r="B380" s="7" t="s">
        <v>2630</v>
      </c>
      <c r="C380" s="7"/>
      <c r="D380" s="7" t="s">
        <v>2630</v>
      </c>
      <c r="E380" s="7" t="s">
        <v>34</v>
      </c>
      <c r="F380" s="15" t="s">
        <v>2630</v>
      </c>
      <c r="G380" s="15" t="s">
        <v>4968</v>
      </c>
      <c r="H380" s="15" t="s">
        <v>2630</v>
      </c>
      <c r="I380" s="15" t="s">
        <v>2630</v>
      </c>
      <c r="J380" s="15" t="s">
        <v>2630</v>
      </c>
      <c r="K380" s="16">
        <v>5</v>
      </c>
      <c r="L380" s="17" t="s">
        <v>2630</v>
      </c>
      <c r="M380" s="10" t="s">
        <v>5152</v>
      </c>
    </row>
    <row r="381" spans="1:13" x14ac:dyDescent="0.3">
      <c r="A381" t="s">
        <v>2631</v>
      </c>
      <c r="B381" s="7" t="s">
        <v>2632</v>
      </c>
      <c r="C381" s="7"/>
      <c r="D381" s="7" t="s">
        <v>2632</v>
      </c>
      <c r="E381" s="7" t="s">
        <v>34</v>
      </c>
      <c r="F381" s="15" t="s">
        <v>2632</v>
      </c>
      <c r="G381" s="15" t="s">
        <v>4968</v>
      </c>
      <c r="H381" s="15" t="s">
        <v>2632</v>
      </c>
      <c r="I381" s="15" t="s">
        <v>2632</v>
      </c>
      <c r="J381" s="15" t="s">
        <v>2632</v>
      </c>
      <c r="K381" s="16">
        <v>5</v>
      </c>
      <c r="L381" s="17" t="s">
        <v>2632</v>
      </c>
      <c r="M381" s="10" t="s">
        <v>5153</v>
      </c>
    </row>
    <row r="382" spans="1:13" x14ac:dyDescent="0.3">
      <c r="A382" t="s">
        <v>2633</v>
      </c>
      <c r="B382" s="7" t="s">
        <v>2634</v>
      </c>
      <c r="C382" s="7"/>
      <c r="D382" s="7" t="s">
        <v>2634</v>
      </c>
      <c r="E382" s="7" t="s">
        <v>34</v>
      </c>
      <c r="F382" s="15" t="s">
        <v>2634</v>
      </c>
      <c r="G382" s="15" t="s">
        <v>4968</v>
      </c>
      <c r="H382" s="15" t="s">
        <v>2634</v>
      </c>
      <c r="I382" s="15" t="s">
        <v>2634</v>
      </c>
      <c r="J382" s="15" t="s">
        <v>2634</v>
      </c>
      <c r="K382" s="16">
        <v>5</v>
      </c>
      <c r="L382" s="17" t="s">
        <v>2634</v>
      </c>
      <c r="M382" s="10" t="s">
        <v>5154</v>
      </c>
    </row>
    <row r="383" spans="1:13" x14ac:dyDescent="0.3">
      <c r="A383" t="s">
        <v>2638</v>
      </c>
      <c r="B383" s="7"/>
      <c r="C383" s="7"/>
      <c r="D383" s="7" t="s">
        <v>2639</v>
      </c>
      <c r="E383" s="7" t="s">
        <v>9</v>
      </c>
      <c r="F383" s="15" t="s">
        <v>5155</v>
      </c>
      <c r="G383" s="15" t="s">
        <v>4968</v>
      </c>
      <c r="H383" s="15" t="s">
        <v>5155</v>
      </c>
      <c r="I383" s="15" t="s">
        <v>5156</v>
      </c>
      <c r="J383" s="15" t="s">
        <v>5155</v>
      </c>
      <c r="K383" s="16">
        <v>3</v>
      </c>
      <c r="L383" s="17" t="s">
        <v>5156</v>
      </c>
      <c r="M383" s="10" t="s">
        <v>5157</v>
      </c>
    </row>
    <row r="384" spans="1:13" x14ac:dyDescent="0.3">
      <c r="A384" t="s">
        <v>2640</v>
      </c>
      <c r="B384" s="7"/>
      <c r="C384" s="7"/>
      <c r="D384" s="7" t="s">
        <v>2641</v>
      </c>
      <c r="E384" s="7" t="s">
        <v>9</v>
      </c>
      <c r="F384" s="15" t="s">
        <v>5158</v>
      </c>
      <c r="G384" s="15" t="s">
        <v>4968</v>
      </c>
      <c r="H384" s="15" t="s">
        <v>5158</v>
      </c>
      <c r="I384" s="15" t="s">
        <v>5158</v>
      </c>
      <c r="J384" s="15" t="s">
        <v>5158</v>
      </c>
      <c r="K384" s="16">
        <v>4</v>
      </c>
      <c r="L384" s="17" t="s">
        <v>5158</v>
      </c>
      <c r="M384" s="10" t="s">
        <v>4968</v>
      </c>
    </row>
    <row r="385" spans="1:13" x14ac:dyDescent="0.3">
      <c r="A385" t="s">
        <v>2642</v>
      </c>
      <c r="B385" s="7"/>
      <c r="C385" s="7" t="s">
        <v>2643</v>
      </c>
      <c r="D385" s="7" t="s">
        <v>2643</v>
      </c>
      <c r="E385" s="7" t="s">
        <v>49</v>
      </c>
      <c r="F385" s="15" t="s">
        <v>2643</v>
      </c>
      <c r="G385" s="15" t="s">
        <v>4968</v>
      </c>
      <c r="H385" s="15" t="s">
        <v>2643</v>
      </c>
      <c r="I385" s="15" t="s">
        <v>2643</v>
      </c>
      <c r="J385" s="15" t="s">
        <v>2643</v>
      </c>
      <c r="K385" s="16">
        <v>4</v>
      </c>
      <c r="L385" s="17" t="s">
        <v>2643</v>
      </c>
      <c r="M385" s="10" t="s">
        <v>4968</v>
      </c>
    </row>
    <row r="386" spans="1:13" x14ac:dyDescent="0.3">
      <c r="A386" t="s">
        <v>2666</v>
      </c>
      <c r="B386" s="7" t="s">
        <v>2667</v>
      </c>
      <c r="C386" s="7" t="s">
        <v>2667</v>
      </c>
      <c r="D386" s="7"/>
      <c r="E386" s="7" t="s">
        <v>323</v>
      </c>
      <c r="F386" s="15" t="s">
        <v>2667</v>
      </c>
      <c r="G386" s="15" t="s">
        <v>4968</v>
      </c>
      <c r="H386" s="15" t="s">
        <v>2667</v>
      </c>
      <c r="I386" s="15" t="s">
        <v>2667</v>
      </c>
      <c r="J386" s="15" t="s">
        <v>2667</v>
      </c>
      <c r="K386" s="16">
        <v>4</v>
      </c>
      <c r="L386" s="17" t="s">
        <v>2667</v>
      </c>
      <c r="M386" s="10" t="s">
        <v>4968</v>
      </c>
    </row>
    <row r="387" spans="1:13" x14ac:dyDescent="0.3">
      <c r="A387" t="s">
        <v>2668</v>
      </c>
      <c r="B387" s="7"/>
      <c r="C387" s="7" t="s">
        <v>2669</v>
      </c>
      <c r="D387" s="7" t="s">
        <v>2669</v>
      </c>
      <c r="E387" s="7" t="s">
        <v>49</v>
      </c>
      <c r="F387" s="15" t="s">
        <v>5160</v>
      </c>
      <c r="G387" s="15" t="s">
        <v>4968</v>
      </c>
      <c r="H387" s="15" t="s">
        <v>4968</v>
      </c>
      <c r="I387" s="15" t="s">
        <v>4968</v>
      </c>
      <c r="J387" s="15" t="s">
        <v>4968</v>
      </c>
      <c r="K387" s="16">
        <v>3</v>
      </c>
      <c r="L387" s="17" t="s">
        <v>5160</v>
      </c>
      <c r="M387" s="10" t="s">
        <v>5159</v>
      </c>
    </row>
    <row r="388" spans="1:13" x14ac:dyDescent="0.3">
      <c r="A388" t="s">
        <v>2670</v>
      </c>
      <c r="B388" s="7" t="s">
        <v>2671</v>
      </c>
      <c r="C388" s="7" t="s">
        <v>2669</v>
      </c>
      <c r="D388" s="7" t="s">
        <v>2669</v>
      </c>
      <c r="E388" s="7" t="s">
        <v>23</v>
      </c>
      <c r="F388" s="15" t="s">
        <v>2669</v>
      </c>
      <c r="G388" s="15" t="s">
        <v>4968</v>
      </c>
      <c r="H388" s="15" t="s">
        <v>4968</v>
      </c>
      <c r="I388" s="15" t="s">
        <v>4968</v>
      </c>
      <c r="J388" s="15" t="s">
        <v>4968</v>
      </c>
      <c r="K388" s="16">
        <v>3</v>
      </c>
      <c r="L388" s="17" t="s">
        <v>2669</v>
      </c>
      <c r="M388" s="10" t="s">
        <v>5161</v>
      </c>
    </row>
    <row r="389" spans="1:13" x14ac:dyDescent="0.3">
      <c r="A389" t="s">
        <v>2680</v>
      </c>
      <c r="B389" s="7"/>
      <c r="C389" s="7" t="s">
        <v>2681</v>
      </c>
      <c r="D389" s="7" t="s">
        <v>2681</v>
      </c>
      <c r="E389" s="7" t="s">
        <v>49</v>
      </c>
      <c r="F389" s="15" t="s">
        <v>2681</v>
      </c>
      <c r="G389" s="15" t="s">
        <v>4968</v>
      </c>
      <c r="H389" s="15" t="s">
        <v>2681</v>
      </c>
      <c r="I389" s="15" t="s">
        <v>2681</v>
      </c>
      <c r="J389" s="15" t="s">
        <v>2681</v>
      </c>
      <c r="K389" s="16">
        <v>5</v>
      </c>
      <c r="L389" s="17" t="s">
        <v>2681</v>
      </c>
      <c r="M389" s="10" t="s">
        <v>5162</v>
      </c>
    </row>
    <row r="390" spans="1:13" x14ac:dyDescent="0.3">
      <c r="A390" t="s">
        <v>2682</v>
      </c>
      <c r="B390" s="7" t="s">
        <v>2683</v>
      </c>
      <c r="C390" s="7"/>
      <c r="D390" s="7" t="s">
        <v>2683</v>
      </c>
      <c r="E390" s="7" t="s">
        <v>34</v>
      </c>
      <c r="F390" s="15" t="s">
        <v>2683</v>
      </c>
      <c r="G390" s="15" t="s">
        <v>4968</v>
      </c>
      <c r="H390" s="15" t="s">
        <v>2683</v>
      </c>
      <c r="I390" s="15" t="s">
        <v>2683</v>
      </c>
      <c r="J390" s="15" t="s">
        <v>2683</v>
      </c>
      <c r="K390" s="16">
        <v>5</v>
      </c>
      <c r="L390" s="17" t="s">
        <v>2683</v>
      </c>
      <c r="M390" s="10" t="s">
        <v>5163</v>
      </c>
    </row>
    <row r="391" spans="1:13" x14ac:dyDescent="0.3">
      <c r="A391" t="s">
        <v>2692</v>
      </c>
      <c r="B391" s="7" t="s">
        <v>2693</v>
      </c>
      <c r="C391" s="7"/>
      <c r="D391" s="7" t="s">
        <v>2693</v>
      </c>
      <c r="E391" s="7" t="s">
        <v>34</v>
      </c>
      <c r="F391" s="15" t="s">
        <v>2693</v>
      </c>
      <c r="G391" s="15" t="s">
        <v>4968</v>
      </c>
      <c r="H391" s="15" t="s">
        <v>2693</v>
      </c>
      <c r="I391" s="15" t="s">
        <v>2693</v>
      </c>
      <c r="J391" s="15" t="s">
        <v>2693</v>
      </c>
      <c r="K391" s="16">
        <v>5</v>
      </c>
      <c r="L391" s="17" t="s">
        <v>2693</v>
      </c>
      <c r="M391" s="10" t="s">
        <v>5164</v>
      </c>
    </row>
    <row r="392" spans="1:13" x14ac:dyDescent="0.3">
      <c r="A392" t="s">
        <v>2701</v>
      </c>
      <c r="B392" s="7"/>
      <c r="C392" s="7" t="s">
        <v>2702</v>
      </c>
      <c r="D392" s="7" t="s">
        <v>2702</v>
      </c>
      <c r="E392" s="7" t="s">
        <v>49</v>
      </c>
      <c r="F392" s="15" t="s">
        <v>2702</v>
      </c>
      <c r="G392" s="15" t="s">
        <v>4968</v>
      </c>
      <c r="H392" s="15" t="s">
        <v>2702</v>
      </c>
      <c r="I392" s="15" t="s">
        <v>2702</v>
      </c>
      <c r="J392" s="15" t="s">
        <v>2702</v>
      </c>
      <c r="K392" s="16">
        <v>5</v>
      </c>
      <c r="L392" s="17" t="s">
        <v>2702</v>
      </c>
      <c r="M392" s="10" t="s">
        <v>5165</v>
      </c>
    </row>
    <row r="393" spans="1:13" x14ac:dyDescent="0.3">
      <c r="A393" t="s">
        <v>2705</v>
      </c>
      <c r="B393" s="7" t="s">
        <v>2706</v>
      </c>
      <c r="C393" s="7" t="s">
        <v>2706</v>
      </c>
      <c r="D393" s="7" t="s">
        <v>2707</v>
      </c>
      <c r="E393" s="7" t="s">
        <v>15</v>
      </c>
      <c r="F393" s="15" t="s">
        <v>2707</v>
      </c>
      <c r="G393" s="15" t="s">
        <v>4968</v>
      </c>
      <c r="H393" s="15" t="s">
        <v>2706</v>
      </c>
      <c r="I393" s="15" t="s">
        <v>2707</v>
      </c>
      <c r="J393" s="15" t="s">
        <v>4968</v>
      </c>
      <c r="K393" s="16">
        <v>3</v>
      </c>
      <c r="L393" s="17" t="s">
        <v>2706</v>
      </c>
      <c r="M393" s="10" t="s">
        <v>5166</v>
      </c>
    </row>
    <row r="394" spans="1:13" x14ac:dyDescent="0.3">
      <c r="A394" t="s">
        <v>2710</v>
      </c>
      <c r="B394" s="7" t="s">
        <v>2711</v>
      </c>
      <c r="C394" s="7" t="s">
        <v>2712</v>
      </c>
      <c r="D394" s="7" t="s">
        <v>2712</v>
      </c>
      <c r="E394" s="7" t="s">
        <v>23</v>
      </c>
      <c r="F394" s="15" t="s">
        <v>2711</v>
      </c>
      <c r="G394" s="15" t="s">
        <v>4968</v>
      </c>
      <c r="H394" s="15" t="s">
        <v>2712</v>
      </c>
      <c r="I394" s="15" t="s">
        <v>5168</v>
      </c>
      <c r="J394" s="15" t="s">
        <v>5168</v>
      </c>
      <c r="K394" s="16">
        <v>3</v>
      </c>
      <c r="L394" s="17" t="s">
        <v>2712</v>
      </c>
      <c r="M394" s="10" t="s">
        <v>5167</v>
      </c>
    </row>
    <row r="395" spans="1:13" x14ac:dyDescent="0.3">
      <c r="A395" t="s">
        <v>2715</v>
      </c>
      <c r="B395" s="7" t="s">
        <v>2716</v>
      </c>
      <c r="C395" s="7" t="s">
        <v>2717</v>
      </c>
      <c r="D395" s="7" t="s">
        <v>2717</v>
      </c>
      <c r="E395" s="7" t="s">
        <v>23</v>
      </c>
      <c r="F395" s="15" t="s">
        <v>2716</v>
      </c>
      <c r="G395" s="15" t="s">
        <v>4968</v>
      </c>
      <c r="H395" s="15" t="s">
        <v>2717</v>
      </c>
      <c r="I395" s="15" t="s">
        <v>2716</v>
      </c>
      <c r="J395" s="15" t="s">
        <v>2716</v>
      </c>
      <c r="K395" s="16">
        <v>3</v>
      </c>
      <c r="L395" s="17" t="s">
        <v>2717</v>
      </c>
      <c r="M395" s="10" t="s">
        <v>5169</v>
      </c>
    </row>
    <row r="396" spans="1:13" x14ac:dyDescent="0.3">
      <c r="A396" t="s">
        <v>2732</v>
      </c>
      <c r="B396" s="7"/>
      <c r="C396" s="7"/>
      <c r="D396" s="7" t="s">
        <v>2733</v>
      </c>
      <c r="E396" s="7" t="s">
        <v>9</v>
      </c>
      <c r="F396" s="15" t="s">
        <v>2733</v>
      </c>
      <c r="G396" s="15" t="s">
        <v>4968</v>
      </c>
      <c r="H396" s="15" t="s">
        <v>2733</v>
      </c>
      <c r="I396" s="15" t="s">
        <v>2733</v>
      </c>
      <c r="J396" s="15" t="s">
        <v>2733</v>
      </c>
      <c r="K396" s="16">
        <v>4</v>
      </c>
      <c r="L396" s="17" t="s">
        <v>2733</v>
      </c>
      <c r="M396" s="10" t="s">
        <v>4968</v>
      </c>
    </row>
    <row r="397" spans="1:13" x14ac:dyDescent="0.3">
      <c r="A397" t="s">
        <v>2756</v>
      </c>
      <c r="B397" s="7" t="s">
        <v>2757</v>
      </c>
      <c r="C397" s="7" t="s">
        <v>2757</v>
      </c>
      <c r="D397" s="7" t="s">
        <v>2758</v>
      </c>
      <c r="E397" s="7" t="s">
        <v>15</v>
      </c>
      <c r="F397" s="15" t="s">
        <v>2757</v>
      </c>
      <c r="G397" s="15" t="s">
        <v>4968</v>
      </c>
      <c r="H397" s="15" t="s">
        <v>2757</v>
      </c>
      <c r="I397" s="15" t="s">
        <v>2757</v>
      </c>
      <c r="J397" s="15" t="s">
        <v>2757</v>
      </c>
      <c r="K397" s="16">
        <v>4</v>
      </c>
      <c r="L397" s="17" t="s">
        <v>2757</v>
      </c>
      <c r="M397" s="10" t="s">
        <v>4968</v>
      </c>
    </row>
    <row r="398" spans="1:13" x14ac:dyDescent="0.3">
      <c r="A398" t="s">
        <v>2767</v>
      </c>
      <c r="B398" s="7" t="s">
        <v>2764</v>
      </c>
      <c r="C398" s="7" t="s">
        <v>2766</v>
      </c>
      <c r="D398" s="7" t="s">
        <v>2766</v>
      </c>
      <c r="E398" s="7" t="s">
        <v>23</v>
      </c>
      <c r="F398" s="15" t="s">
        <v>2766</v>
      </c>
      <c r="G398" s="15" t="s">
        <v>4968</v>
      </c>
      <c r="H398" s="15" t="s">
        <v>2766</v>
      </c>
      <c r="I398" s="15" t="s">
        <v>2766</v>
      </c>
      <c r="J398" s="15" t="s">
        <v>2766</v>
      </c>
      <c r="K398" s="16">
        <v>5</v>
      </c>
      <c r="L398" s="17" t="s">
        <v>2766</v>
      </c>
      <c r="M398" s="10" t="s">
        <v>5170</v>
      </c>
    </row>
    <row r="399" spans="1:13" x14ac:dyDescent="0.3">
      <c r="A399" t="s">
        <v>2774</v>
      </c>
      <c r="B399" s="7" t="s">
        <v>2775</v>
      </c>
      <c r="C399" s="7" t="s">
        <v>2776</v>
      </c>
      <c r="D399" s="7" t="s">
        <v>2777</v>
      </c>
      <c r="E399" s="7" t="s">
        <v>295</v>
      </c>
      <c r="F399" s="15" t="s">
        <v>2775</v>
      </c>
      <c r="G399" s="15" t="s">
        <v>4968</v>
      </c>
      <c r="H399" s="15" t="s">
        <v>2776</v>
      </c>
      <c r="I399" s="15" t="s">
        <v>2775</v>
      </c>
      <c r="J399" s="15" t="s">
        <v>2775</v>
      </c>
      <c r="K399" s="16">
        <v>4</v>
      </c>
      <c r="L399" s="17" t="s">
        <v>2775</v>
      </c>
      <c r="M399" s="10" t="s">
        <v>4968</v>
      </c>
    </row>
    <row r="400" spans="1:13" x14ac:dyDescent="0.3">
      <c r="A400" t="s">
        <v>2792</v>
      </c>
      <c r="B400" s="7" t="s">
        <v>2793</v>
      </c>
      <c r="C400" s="7"/>
      <c r="D400" s="7" t="s">
        <v>2793</v>
      </c>
      <c r="E400" s="7" t="s">
        <v>34</v>
      </c>
      <c r="F400" s="15" t="s">
        <v>2793</v>
      </c>
      <c r="G400" s="15" t="s">
        <v>4968</v>
      </c>
      <c r="H400" s="15" t="s">
        <v>2793</v>
      </c>
      <c r="I400" s="15" t="s">
        <v>2793</v>
      </c>
      <c r="J400" s="15" t="s">
        <v>2793</v>
      </c>
      <c r="K400" s="16">
        <v>5</v>
      </c>
      <c r="L400" s="17" t="s">
        <v>2793</v>
      </c>
      <c r="M400" s="10" t="s">
        <v>5171</v>
      </c>
    </row>
    <row r="401" spans="1:13" x14ac:dyDescent="0.3">
      <c r="A401" t="s">
        <v>2798</v>
      </c>
      <c r="B401" s="7"/>
      <c r="C401" s="7" t="s">
        <v>2799</v>
      </c>
      <c r="D401" s="7" t="s">
        <v>2799</v>
      </c>
      <c r="E401" s="7" t="s">
        <v>49</v>
      </c>
      <c r="F401" s="15" t="s">
        <v>2799</v>
      </c>
      <c r="G401" s="15" t="s">
        <v>4968</v>
      </c>
      <c r="H401" s="15" t="s">
        <v>2799</v>
      </c>
      <c r="I401" s="15" t="s">
        <v>2799</v>
      </c>
      <c r="J401" s="15" t="s">
        <v>2799</v>
      </c>
      <c r="K401" s="16">
        <v>4</v>
      </c>
      <c r="L401" s="17" t="s">
        <v>2799</v>
      </c>
      <c r="M401" s="10" t="s">
        <v>4968</v>
      </c>
    </row>
    <row r="402" spans="1:13" x14ac:dyDescent="0.3">
      <c r="A402" t="s">
        <v>2800</v>
      </c>
      <c r="B402" s="7" t="s">
        <v>2801</v>
      </c>
      <c r="C402" s="7" t="s">
        <v>2802</v>
      </c>
      <c r="D402" s="7" t="s">
        <v>2802</v>
      </c>
      <c r="E402" s="7" t="s">
        <v>23</v>
      </c>
      <c r="F402" s="15" t="s">
        <v>2802</v>
      </c>
      <c r="G402" s="15" t="s">
        <v>4968</v>
      </c>
      <c r="H402" s="15" t="s">
        <v>2802</v>
      </c>
      <c r="I402" s="15" t="s">
        <v>2802</v>
      </c>
      <c r="J402" s="15" t="s">
        <v>2802</v>
      </c>
      <c r="K402" s="16">
        <v>5</v>
      </c>
      <c r="L402" s="17" t="s">
        <v>2802</v>
      </c>
      <c r="M402" s="10" t="s">
        <v>5172</v>
      </c>
    </row>
    <row r="403" spans="1:13" x14ac:dyDescent="0.3">
      <c r="A403" t="s">
        <v>2809</v>
      </c>
      <c r="B403" s="7"/>
      <c r="C403" s="7" t="s">
        <v>2810</v>
      </c>
      <c r="D403" s="7" t="s">
        <v>2811</v>
      </c>
      <c r="E403" s="7" t="s">
        <v>9</v>
      </c>
      <c r="F403" s="15" t="s">
        <v>2811</v>
      </c>
      <c r="G403" s="15" t="s">
        <v>4968</v>
      </c>
      <c r="H403" s="15" t="s">
        <v>2810</v>
      </c>
      <c r="I403" s="15" t="s">
        <v>2811</v>
      </c>
      <c r="J403" s="15" t="s">
        <v>4968</v>
      </c>
      <c r="K403" s="16">
        <v>3</v>
      </c>
      <c r="L403" s="17" t="s">
        <v>2811</v>
      </c>
      <c r="M403" s="10" t="s">
        <v>5173</v>
      </c>
    </row>
    <row r="404" spans="1:13" x14ac:dyDescent="0.3">
      <c r="A404" t="s">
        <v>2823</v>
      </c>
      <c r="B404" s="7"/>
      <c r="C404" s="7" t="s">
        <v>2824</v>
      </c>
      <c r="D404" s="7" t="s">
        <v>2824</v>
      </c>
      <c r="E404" s="7" t="s">
        <v>49</v>
      </c>
      <c r="F404" s="15" t="s">
        <v>2824</v>
      </c>
      <c r="G404" s="15" t="s">
        <v>4968</v>
      </c>
      <c r="H404" s="15" t="s">
        <v>2824</v>
      </c>
      <c r="I404" s="15" t="s">
        <v>2824</v>
      </c>
      <c r="J404" s="15" t="s">
        <v>2824</v>
      </c>
      <c r="K404" s="16">
        <v>4</v>
      </c>
      <c r="L404" s="17" t="s">
        <v>2824</v>
      </c>
      <c r="M404" s="10" t="s">
        <v>4968</v>
      </c>
    </row>
    <row r="405" spans="1:13" x14ac:dyDescent="0.3">
      <c r="A405" t="s">
        <v>2842</v>
      </c>
      <c r="B405" s="7" t="s">
        <v>2843</v>
      </c>
      <c r="C405" s="7"/>
      <c r="D405" s="7" t="s">
        <v>2843</v>
      </c>
      <c r="E405" s="7" t="s">
        <v>34</v>
      </c>
      <c r="F405" s="15" t="s">
        <v>2843</v>
      </c>
      <c r="G405" s="15" t="s">
        <v>4968</v>
      </c>
      <c r="H405" s="15" t="s">
        <v>2843</v>
      </c>
      <c r="I405" s="15" t="s">
        <v>2843</v>
      </c>
      <c r="J405" s="15" t="s">
        <v>2843</v>
      </c>
      <c r="K405" s="16">
        <v>4</v>
      </c>
      <c r="L405" s="17" t="s">
        <v>2843</v>
      </c>
      <c r="M405" s="10" t="s">
        <v>4968</v>
      </c>
    </row>
    <row r="406" spans="1:13" x14ac:dyDescent="0.3">
      <c r="A406" t="s">
        <v>2858</v>
      </c>
      <c r="B406" s="7" t="s">
        <v>2859</v>
      </c>
      <c r="C406" s="7"/>
      <c r="D406" s="7" t="s">
        <v>2859</v>
      </c>
      <c r="E406" s="7" t="s">
        <v>34</v>
      </c>
      <c r="F406" s="15" t="s">
        <v>2859</v>
      </c>
      <c r="G406" s="15" t="s">
        <v>4968</v>
      </c>
      <c r="H406" s="15" t="s">
        <v>2859</v>
      </c>
      <c r="I406" s="15" t="s">
        <v>2859</v>
      </c>
      <c r="J406" s="15" t="s">
        <v>2859</v>
      </c>
      <c r="K406" s="16">
        <v>5</v>
      </c>
      <c r="L406" s="17" t="s">
        <v>2859</v>
      </c>
      <c r="M406" s="10" t="s">
        <v>5174</v>
      </c>
    </row>
    <row r="407" spans="1:13" x14ac:dyDescent="0.3">
      <c r="A407" t="s">
        <v>2862</v>
      </c>
      <c r="B407" s="7" t="s">
        <v>2863</v>
      </c>
      <c r="C407" s="7" t="s">
        <v>2864</v>
      </c>
      <c r="D407" s="7" t="s">
        <v>2864</v>
      </c>
      <c r="E407" s="7" t="s">
        <v>23</v>
      </c>
      <c r="F407" s="15" t="s">
        <v>2863</v>
      </c>
      <c r="G407" s="15" t="s">
        <v>4968</v>
      </c>
      <c r="H407" s="15" t="s">
        <v>2864</v>
      </c>
      <c r="I407" s="15" t="s">
        <v>2863</v>
      </c>
      <c r="J407" s="15" t="s">
        <v>2863</v>
      </c>
      <c r="K407" s="16">
        <v>3</v>
      </c>
      <c r="L407" s="17" t="s">
        <v>2863</v>
      </c>
      <c r="M407" s="10" t="s">
        <v>4968</v>
      </c>
    </row>
    <row r="408" spans="1:13" x14ac:dyDescent="0.3">
      <c r="A408" t="s">
        <v>2875</v>
      </c>
      <c r="B408" s="7"/>
      <c r="C408" s="7" t="s">
        <v>2876</v>
      </c>
      <c r="D408" s="7" t="s">
        <v>2876</v>
      </c>
      <c r="E408" s="7" t="s">
        <v>49</v>
      </c>
      <c r="F408" s="15" t="s">
        <v>2876</v>
      </c>
      <c r="G408" s="15" t="s">
        <v>4968</v>
      </c>
      <c r="H408" s="15" t="s">
        <v>2876</v>
      </c>
      <c r="I408" s="15" t="s">
        <v>2876</v>
      </c>
      <c r="J408" s="15" t="s">
        <v>2876</v>
      </c>
      <c r="K408" s="16">
        <v>5</v>
      </c>
      <c r="L408" s="17" t="s">
        <v>2876</v>
      </c>
      <c r="M408" s="10" t="s">
        <v>5175</v>
      </c>
    </row>
    <row r="409" spans="1:13" x14ac:dyDescent="0.3">
      <c r="A409" t="s">
        <v>2879</v>
      </c>
      <c r="B409" s="7" t="s">
        <v>2880</v>
      </c>
      <c r="C409" s="7" t="s">
        <v>2881</v>
      </c>
      <c r="D409" s="7" t="s">
        <v>2881</v>
      </c>
      <c r="E409" s="7" t="s">
        <v>23</v>
      </c>
      <c r="F409" s="15" t="s">
        <v>2881</v>
      </c>
      <c r="G409" s="15" t="s">
        <v>4968</v>
      </c>
      <c r="H409" s="15" t="s">
        <v>2881</v>
      </c>
      <c r="I409" s="15" t="s">
        <v>2881</v>
      </c>
      <c r="J409" s="15" t="s">
        <v>2881</v>
      </c>
      <c r="K409" s="16">
        <v>5</v>
      </c>
      <c r="L409" s="17" t="s">
        <v>2881</v>
      </c>
      <c r="M409" s="10" t="s">
        <v>5176</v>
      </c>
    </row>
    <row r="410" spans="1:13" x14ac:dyDescent="0.3">
      <c r="A410" t="s">
        <v>2884</v>
      </c>
      <c r="B410" s="7"/>
      <c r="C410" s="7" t="s">
        <v>2861</v>
      </c>
      <c r="D410" s="7" t="s">
        <v>2861</v>
      </c>
      <c r="E410" s="7" t="s">
        <v>49</v>
      </c>
      <c r="F410" s="15" t="s">
        <v>2861</v>
      </c>
      <c r="G410" s="15" t="s">
        <v>4968</v>
      </c>
      <c r="H410" s="15" t="s">
        <v>2861</v>
      </c>
      <c r="I410" s="15" t="s">
        <v>2861</v>
      </c>
      <c r="J410" s="15" t="s">
        <v>2861</v>
      </c>
      <c r="K410" s="16">
        <v>5</v>
      </c>
      <c r="L410" s="17" t="s">
        <v>2861</v>
      </c>
      <c r="M410" s="10" t="s">
        <v>5177</v>
      </c>
    </row>
    <row r="411" spans="1:13" x14ac:dyDescent="0.3">
      <c r="A411" t="s">
        <v>2889</v>
      </c>
      <c r="B411" s="7" t="s">
        <v>2890</v>
      </c>
      <c r="C411" s="7" t="s">
        <v>2890</v>
      </c>
      <c r="D411" s="7"/>
      <c r="E411" s="7" t="s">
        <v>323</v>
      </c>
      <c r="F411" s="15" t="s">
        <v>2890</v>
      </c>
      <c r="G411" s="15" t="s">
        <v>4968</v>
      </c>
      <c r="H411" s="15" t="s">
        <v>2890</v>
      </c>
      <c r="I411" s="15" t="s">
        <v>2890</v>
      </c>
      <c r="J411" s="15" t="s">
        <v>2890</v>
      </c>
      <c r="K411" s="16">
        <v>5</v>
      </c>
      <c r="L411" s="17" t="s">
        <v>2890</v>
      </c>
      <c r="M411" s="10" t="s">
        <v>5178</v>
      </c>
    </row>
    <row r="412" spans="1:13" x14ac:dyDescent="0.3">
      <c r="A412" t="s">
        <v>2897</v>
      </c>
      <c r="B412" s="7"/>
      <c r="C412" s="7"/>
      <c r="D412" s="7" t="s">
        <v>2898</v>
      </c>
      <c r="E412" s="7" t="s">
        <v>9</v>
      </c>
      <c r="F412" s="15" t="s">
        <v>5179</v>
      </c>
      <c r="G412" s="15" t="s">
        <v>4968</v>
      </c>
      <c r="H412" s="15" t="s">
        <v>2898</v>
      </c>
      <c r="I412" s="15" t="s">
        <v>2898</v>
      </c>
      <c r="J412" s="15" t="s">
        <v>2898</v>
      </c>
      <c r="K412" s="16">
        <v>5</v>
      </c>
      <c r="L412" s="17" t="s">
        <v>5179</v>
      </c>
      <c r="M412" s="10" t="s">
        <v>5180</v>
      </c>
    </row>
    <row r="413" spans="1:13" x14ac:dyDescent="0.3">
      <c r="A413" t="s">
        <v>2905</v>
      </c>
      <c r="B413" s="7"/>
      <c r="C413" s="7" t="s">
        <v>2906</v>
      </c>
      <c r="D413" s="7" t="s">
        <v>2906</v>
      </c>
      <c r="E413" s="7" t="s">
        <v>49</v>
      </c>
      <c r="F413" s="15" t="s">
        <v>2906</v>
      </c>
      <c r="G413" s="15" t="s">
        <v>4968</v>
      </c>
      <c r="H413" s="15" t="s">
        <v>2906</v>
      </c>
      <c r="I413" s="15" t="s">
        <v>2906</v>
      </c>
      <c r="J413" s="15" t="s">
        <v>2906</v>
      </c>
      <c r="K413" s="16">
        <v>4</v>
      </c>
      <c r="L413" s="17" t="s">
        <v>2906</v>
      </c>
      <c r="M413" s="10" t="s">
        <v>4968</v>
      </c>
    </row>
    <row r="414" spans="1:13" x14ac:dyDescent="0.3">
      <c r="A414" t="s">
        <v>2907</v>
      </c>
      <c r="B414" s="7"/>
      <c r="C414" s="7" t="s">
        <v>2908</v>
      </c>
      <c r="D414" s="7" t="s">
        <v>2908</v>
      </c>
      <c r="E414" s="7" t="s">
        <v>49</v>
      </c>
      <c r="F414" s="15" t="s">
        <v>2908</v>
      </c>
      <c r="G414" s="15" t="s">
        <v>4968</v>
      </c>
      <c r="H414" s="15" t="s">
        <v>2908</v>
      </c>
      <c r="I414" s="15" t="s">
        <v>2908</v>
      </c>
      <c r="J414" s="15" t="s">
        <v>2908</v>
      </c>
      <c r="K414" s="16">
        <v>4</v>
      </c>
      <c r="L414" s="17" t="s">
        <v>2908</v>
      </c>
      <c r="M414" s="10" t="s">
        <v>4968</v>
      </c>
    </row>
    <row r="415" spans="1:13" x14ac:dyDescent="0.3">
      <c r="A415" t="s">
        <v>2909</v>
      </c>
      <c r="B415" s="7"/>
      <c r="C415" s="7" t="s">
        <v>2910</v>
      </c>
      <c r="D415" s="7" t="s">
        <v>2910</v>
      </c>
      <c r="E415" s="7" t="s">
        <v>49</v>
      </c>
      <c r="F415" s="15" t="s">
        <v>2910</v>
      </c>
      <c r="G415" s="15" t="s">
        <v>4968</v>
      </c>
      <c r="H415" s="15" t="s">
        <v>2910</v>
      </c>
      <c r="I415" s="15" t="s">
        <v>2910</v>
      </c>
      <c r="J415" s="15" t="s">
        <v>2910</v>
      </c>
      <c r="K415" s="16">
        <v>4</v>
      </c>
      <c r="L415" s="17" t="s">
        <v>2910</v>
      </c>
      <c r="M415" s="10" t="s">
        <v>4968</v>
      </c>
    </row>
    <row r="416" spans="1:13" x14ac:dyDescent="0.3">
      <c r="A416" t="s">
        <v>2917</v>
      </c>
      <c r="B416" s="7" t="s">
        <v>2918</v>
      </c>
      <c r="C416" s="7" t="s">
        <v>2919</v>
      </c>
      <c r="D416" s="7" t="s">
        <v>2919</v>
      </c>
      <c r="E416" s="7" t="s">
        <v>23</v>
      </c>
      <c r="F416" s="15" t="s">
        <v>2919</v>
      </c>
      <c r="G416" s="15" t="s">
        <v>4968</v>
      </c>
      <c r="H416" s="15" t="s">
        <v>2919</v>
      </c>
      <c r="I416" s="15" t="s">
        <v>2919</v>
      </c>
      <c r="J416" s="15" t="s">
        <v>2919</v>
      </c>
      <c r="K416" s="16">
        <v>4</v>
      </c>
      <c r="L416" s="17" t="s">
        <v>2919</v>
      </c>
      <c r="M416" s="10" t="s">
        <v>4968</v>
      </c>
    </row>
    <row r="417" spans="1:13" x14ac:dyDescent="0.3">
      <c r="A417" t="s">
        <v>2920</v>
      </c>
      <c r="B417" s="7"/>
      <c r="C417" s="7" t="s">
        <v>2921</v>
      </c>
      <c r="D417" s="7" t="s">
        <v>2922</v>
      </c>
      <c r="E417" s="7" t="s">
        <v>9</v>
      </c>
      <c r="F417" s="15" t="s">
        <v>2922</v>
      </c>
      <c r="G417" s="15" t="s">
        <v>4968</v>
      </c>
      <c r="H417" s="15" t="s">
        <v>2921</v>
      </c>
      <c r="I417" s="15" t="s">
        <v>2922</v>
      </c>
      <c r="J417" s="15" t="s">
        <v>2922</v>
      </c>
      <c r="K417" s="16">
        <v>5</v>
      </c>
      <c r="L417" s="17" t="s">
        <v>2922</v>
      </c>
      <c r="M417" s="10" t="s">
        <v>5181</v>
      </c>
    </row>
    <row r="418" spans="1:13" x14ac:dyDescent="0.3">
      <c r="A418" t="s">
        <v>2923</v>
      </c>
      <c r="B418" s="7" t="s">
        <v>2924</v>
      </c>
      <c r="C418" s="7" t="s">
        <v>2925</v>
      </c>
      <c r="D418" s="7" t="s">
        <v>2925</v>
      </c>
      <c r="E418" s="7" t="s">
        <v>23</v>
      </c>
      <c r="F418" s="15" t="s">
        <v>2924</v>
      </c>
      <c r="G418" s="15" t="s">
        <v>4968</v>
      </c>
      <c r="H418" s="15" t="s">
        <v>2925</v>
      </c>
      <c r="I418" s="15" t="s">
        <v>2924</v>
      </c>
      <c r="J418" s="15" t="s">
        <v>2924</v>
      </c>
      <c r="K418" s="16">
        <v>4</v>
      </c>
      <c r="L418" s="17" t="s">
        <v>2924</v>
      </c>
      <c r="M418" s="10" t="s">
        <v>5182</v>
      </c>
    </row>
    <row r="419" spans="1:13" x14ac:dyDescent="0.3">
      <c r="A419" t="s">
        <v>2932</v>
      </c>
      <c r="B419" s="7"/>
      <c r="C419" s="7" t="s">
        <v>2933</v>
      </c>
      <c r="D419" s="7" t="s">
        <v>2933</v>
      </c>
      <c r="E419" s="7" t="s">
        <v>49</v>
      </c>
      <c r="F419" s="15" t="s">
        <v>2933</v>
      </c>
      <c r="G419" s="15" t="s">
        <v>4968</v>
      </c>
      <c r="H419" s="15" t="s">
        <v>2933</v>
      </c>
      <c r="I419" s="15" t="s">
        <v>2933</v>
      </c>
      <c r="J419" s="15" t="s">
        <v>2933</v>
      </c>
      <c r="K419" s="16">
        <v>4</v>
      </c>
      <c r="L419" s="17" t="s">
        <v>2933</v>
      </c>
      <c r="M419" s="10" t="s">
        <v>4968</v>
      </c>
    </row>
    <row r="420" spans="1:13" x14ac:dyDescent="0.3">
      <c r="A420" t="s">
        <v>2936</v>
      </c>
      <c r="B420" s="7" t="s">
        <v>2937</v>
      </c>
      <c r="C420" s="7"/>
      <c r="D420" s="7" t="s">
        <v>2937</v>
      </c>
      <c r="E420" s="7" t="s">
        <v>34</v>
      </c>
      <c r="F420" s="15" t="s">
        <v>2937</v>
      </c>
      <c r="G420" s="15" t="s">
        <v>4968</v>
      </c>
      <c r="H420" s="15" t="s">
        <v>2937</v>
      </c>
      <c r="I420" s="15" t="s">
        <v>2937</v>
      </c>
      <c r="J420" s="15" t="s">
        <v>2937</v>
      </c>
      <c r="K420" s="16">
        <v>5</v>
      </c>
      <c r="L420" s="17" t="s">
        <v>2937</v>
      </c>
      <c r="M420" s="10" t="s">
        <v>5183</v>
      </c>
    </row>
    <row r="421" spans="1:13" x14ac:dyDescent="0.3">
      <c r="A421" t="s">
        <v>2942</v>
      </c>
      <c r="B421" s="7" t="s">
        <v>2943</v>
      </c>
      <c r="C421" s="7"/>
      <c r="D421" s="7" t="s">
        <v>2943</v>
      </c>
      <c r="E421" s="7" t="s">
        <v>34</v>
      </c>
      <c r="F421" s="15" t="s">
        <v>2943</v>
      </c>
      <c r="G421" s="15" t="s">
        <v>4968</v>
      </c>
      <c r="H421" s="15" t="s">
        <v>2943</v>
      </c>
      <c r="I421" s="15" t="s">
        <v>2943</v>
      </c>
      <c r="J421" s="15" t="s">
        <v>2943</v>
      </c>
      <c r="K421" s="16">
        <v>4</v>
      </c>
      <c r="L421" s="17" t="s">
        <v>2943</v>
      </c>
      <c r="M421" s="10" t="s">
        <v>4968</v>
      </c>
    </row>
    <row r="422" spans="1:13" x14ac:dyDescent="0.3">
      <c r="A422" t="s">
        <v>2948</v>
      </c>
      <c r="B422" s="7"/>
      <c r="C422" s="7"/>
      <c r="D422" s="7" t="s">
        <v>2949</v>
      </c>
      <c r="E422" s="7" t="s">
        <v>9</v>
      </c>
      <c r="F422" s="15" t="s">
        <v>5184</v>
      </c>
      <c r="G422" s="15" t="s">
        <v>4968</v>
      </c>
      <c r="H422" s="15" t="s">
        <v>5184</v>
      </c>
      <c r="I422" s="15" t="s">
        <v>5184</v>
      </c>
      <c r="J422" s="15" t="s">
        <v>5184</v>
      </c>
      <c r="K422" s="16">
        <v>4</v>
      </c>
      <c r="L422" s="17" t="s">
        <v>5184</v>
      </c>
      <c r="M422" s="10" t="s">
        <v>4968</v>
      </c>
    </row>
    <row r="423" spans="1:13" x14ac:dyDescent="0.3">
      <c r="A423" t="s">
        <v>2956</v>
      </c>
      <c r="B423" s="7"/>
      <c r="C423" s="7"/>
      <c r="D423" s="7" t="s">
        <v>2957</v>
      </c>
      <c r="E423" s="7" t="s">
        <v>9</v>
      </c>
      <c r="F423" s="15" t="s">
        <v>2957</v>
      </c>
      <c r="G423" s="15" t="s">
        <v>4968</v>
      </c>
      <c r="H423" s="15" t="s">
        <v>2957</v>
      </c>
      <c r="I423" s="15" t="s">
        <v>2957</v>
      </c>
      <c r="J423" s="15" t="s">
        <v>2957</v>
      </c>
      <c r="K423" s="16">
        <v>5</v>
      </c>
      <c r="L423" s="17" t="s">
        <v>2957</v>
      </c>
      <c r="M423" s="28" t="s">
        <v>5185</v>
      </c>
    </row>
    <row r="424" spans="1:13" x14ac:dyDescent="0.3">
      <c r="A424" t="s">
        <v>2962</v>
      </c>
      <c r="B424" s="7" t="s">
        <v>2963</v>
      </c>
      <c r="C424" s="7" t="s">
        <v>2963</v>
      </c>
      <c r="D424" s="7" t="s">
        <v>2964</v>
      </c>
      <c r="E424" s="7" t="s">
        <v>15</v>
      </c>
      <c r="F424" s="15" t="s">
        <v>2963</v>
      </c>
      <c r="G424" s="15" t="s">
        <v>4968</v>
      </c>
      <c r="H424" s="15" t="s">
        <v>2963</v>
      </c>
      <c r="I424" s="15" t="s">
        <v>2963</v>
      </c>
      <c r="J424" s="15" t="s">
        <v>2963</v>
      </c>
      <c r="K424" s="16">
        <v>4</v>
      </c>
      <c r="L424" s="17" t="s">
        <v>2963</v>
      </c>
      <c r="M424" s="10" t="s">
        <v>4968</v>
      </c>
    </row>
    <row r="425" spans="1:13" x14ac:dyDescent="0.3">
      <c r="A425" t="s">
        <v>2965</v>
      </c>
      <c r="B425" s="7"/>
      <c r="C425" s="7" t="s">
        <v>2966</v>
      </c>
      <c r="D425" s="7" t="s">
        <v>2966</v>
      </c>
      <c r="E425" s="7" t="s">
        <v>49</v>
      </c>
      <c r="F425" s="15" t="s">
        <v>2966</v>
      </c>
      <c r="G425" s="15" t="s">
        <v>4968</v>
      </c>
      <c r="H425" s="15" t="s">
        <v>2966</v>
      </c>
      <c r="I425" s="15" t="s">
        <v>2966</v>
      </c>
      <c r="J425" s="15" t="s">
        <v>2966</v>
      </c>
      <c r="K425" s="16">
        <v>4</v>
      </c>
      <c r="L425" s="17" t="s">
        <v>2966</v>
      </c>
      <c r="M425" s="10" t="s">
        <v>4968</v>
      </c>
    </row>
    <row r="426" spans="1:13" x14ac:dyDescent="0.3">
      <c r="A426" t="s">
        <v>2972</v>
      </c>
      <c r="B426" s="7" t="s">
        <v>2973</v>
      </c>
      <c r="C426" s="7" t="s">
        <v>2014</v>
      </c>
      <c r="D426" s="7" t="s">
        <v>2014</v>
      </c>
      <c r="E426" s="7" t="s">
        <v>23</v>
      </c>
      <c r="F426" s="15" t="s">
        <v>2014</v>
      </c>
      <c r="G426" s="15" t="s">
        <v>4968</v>
      </c>
      <c r="H426" s="15" t="s">
        <v>2014</v>
      </c>
      <c r="I426" s="15" t="s">
        <v>2014</v>
      </c>
      <c r="J426" s="15" t="s">
        <v>2014</v>
      </c>
      <c r="K426" s="16">
        <v>4</v>
      </c>
      <c r="L426" s="17" t="s">
        <v>2014</v>
      </c>
      <c r="M426" s="10" t="s">
        <v>4968</v>
      </c>
    </row>
    <row r="427" spans="1:13" x14ac:dyDescent="0.3">
      <c r="A427" t="s">
        <v>2984</v>
      </c>
      <c r="B427" s="7" t="s">
        <v>2985</v>
      </c>
      <c r="C427" s="7"/>
      <c r="D427" s="7" t="s">
        <v>2985</v>
      </c>
      <c r="E427" s="7" t="s">
        <v>34</v>
      </c>
      <c r="F427" s="15" t="s">
        <v>2985</v>
      </c>
      <c r="G427" s="15" t="s">
        <v>4968</v>
      </c>
      <c r="H427" s="15" t="s">
        <v>2985</v>
      </c>
      <c r="I427" s="15" t="s">
        <v>2985</v>
      </c>
      <c r="J427" s="15" t="s">
        <v>2985</v>
      </c>
      <c r="K427" s="16">
        <v>5</v>
      </c>
      <c r="L427" s="17" t="s">
        <v>2985</v>
      </c>
      <c r="M427" s="10" t="s">
        <v>5186</v>
      </c>
    </row>
    <row r="428" spans="1:13" x14ac:dyDescent="0.3">
      <c r="A428" t="s">
        <v>2986</v>
      </c>
      <c r="B428" s="7"/>
      <c r="C428" s="7" t="s">
        <v>2987</v>
      </c>
      <c r="D428" s="7" t="s">
        <v>2987</v>
      </c>
      <c r="E428" s="7" t="s">
        <v>49</v>
      </c>
      <c r="F428" s="15" t="s">
        <v>2987</v>
      </c>
      <c r="G428" s="15" t="s">
        <v>4968</v>
      </c>
      <c r="H428" s="15" t="s">
        <v>2987</v>
      </c>
      <c r="I428" s="15" t="s">
        <v>2987</v>
      </c>
      <c r="J428" s="15" t="s">
        <v>2987</v>
      </c>
      <c r="K428" s="16">
        <v>4</v>
      </c>
      <c r="L428" s="17" t="s">
        <v>2987</v>
      </c>
      <c r="M428" s="10" t="s">
        <v>4968</v>
      </c>
    </row>
    <row r="429" spans="1:13" x14ac:dyDescent="0.3">
      <c r="A429" t="s">
        <v>3002</v>
      </c>
      <c r="B429" s="7" t="s">
        <v>3003</v>
      </c>
      <c r="C429" s="7" t="s">
        <v>3004</v>
      </c>
      <c r="D429" s="7" t="s">
        <v>3004</v>
      </c>
      <c r="E429" s="7" t="s">
        <v>23</v>
      </c>
      <c r="F429" s="15" t="s">
        <v>3003</v>
      </c>
      <c r="G429" s="15" t="s">
        <v>4968</v>
      </c>
      <c r="H429" s="15" t="s">
        <v>3004</v>
      </c>
      <c r="I429" s="15" t="s">
        <v>5187</v>
      </c>
      <c r="J429" s="15" t="s">
        <v>5187</v>
      </c>
      <c r="K429" s="16">
        <v>3</v>
      </c>
      <c r="L429" s="17" t="s">
        <v>5187</v>
      </c>
      <c r="M429" s="10" t="s">
        <v>4968</v>
      </c>
    </row>
    <row r="430" spans="1:13" x14ac:dyDescent="0.3">
      <c r="A430" t="s">
        <v>3005</v>
      </c>
      <c r="B430" s="7" t="s">
        <v>3006</v>
      </c>
      <c r="C430" s="7"/>
      <c r="D430" s="7"/>
      <c r="E430" s="7" t="s">
        <v>9</v>
      </c>
      <c r="F430" s="15" t="s">
        <v>3006</v>
      </c>
      <c r="G430" s="15" t="s">
        <v>4968</v>
      </c>
      <c r="H430" s="15" t="s">
        <v>5188</v>
      </c>
      <c r="I430" s="15" t="s">
        <v>4968</v>
      </c>
      <c r="J430" s="15" t="s">
        <v>5188</v>
      </c>
      <c r="K430" s="16">
        <v>3</v>
      </c>
      <c r="L430" s="17" t="s">
        <v>5188</v>
      </c>
      <c r="M430" s="10" t="s">
        <v>4968</v>
      </c>
    </row>
    <row r="431" spans="1:13" x14ac:dyDescent="0.3">
      <c r="A431" t="s">
        <v>3011</v>
      </c>
      <c r="B431" s="7" t="s">
        <v>3012</v>
      </c>
      <c r="C431" s="7" t="s">
        <v>3013</v>
      </c>
      <c r="D431" s="7" t="s">
        <v>3013</v>
      </c>
      <c r="E431" s="7" t="s">
        <v>23</v>
      </c>
      <c r="F431" s="15" t="s">
        <v>3012</v>
      </c>
      <c r="G431" s="15" t="s">
        <v>4968</v>
      </c>
      <c r="H431" s="15" t="s">
        <v>3013</v>
      </c>
      <c r="I431" s="15" t="s">
        <v>3012</v>
      </c>
      <c r="J431" s="15" t="s">
        <v>3012</v>
      </c>
      <c r="K431" s="16">
        <v>3</v>
      </c>
      <c r="L431" s="17" t="s">
        <v>3012</v>
      </c>
      <c r="M431" s="10" t="s">
        <v>4968</v>
      </c>
    </row>
    <row r="432" spans="1:13" x14ac:dyDescent="0.3">
      <c r="A432" t="s">
        <v>3037</v>
      </c>
      <c r="B432" s="7"/>
      <c r="C432" s="7"/>
      <c r="D432" s="7" t="s">
        <v>3038</v>
      </c>
      <c r="E432" s="7" t="s">
        <v>9</v>
      </c>
      <c r="F432" s="15" t="s">
        <v>3038</v>
      </c>
      <c r="G432" s="15" t="s">
        <v>4968</v>
      </c>
      <c r="H432" s="15" t="s">
        <v>3038</v>
      </c>
      <c r="I432" s="15" t="s">
        <v>3038</v>
      </c>
      <c r="J432" s="15" t="s">
        <v>3038</v>
      </c>
      <c r="K432" s="16">
        <v>5</v>
      </c>
      <c r="L432" s="17" t="s">
        <v>3038</v>
      </c>
      <c r="M432" s="10" t="s">
        <v>5189</v>
      </c>
    </row>
    <row r="433" spans="1:13" x14ac:dyDescent="0.3">
      <c r="A433" t="s">
        <v>3047</v>
      </c>
      <c r="B433" s="7" t="s">
        <v>3048</v>
      </c>
      <c r="C433" s="7" t="s">
        <v>3049</v>
      </c>
      <c r="D433" s="7" t="s">
        <v>3050</v>
      </c>
      <c r="E433" s="7" t="s">
        <v>295</v>
      </c>
      <c r="F433" s="15" t="s">
        <v>3048</v>
      </c>
      <c r="G433" s="15" t="s">
        <v>4968</v>
      </c>
      <c r="H433" s="15" t="s">
        <v>3049</v>
      </c>
      <c r="I433" s="15" t="s">
        <v>3048</v>
      </c>
      <c r="J433" s="15" t="s">
        <v>3048</v>
      </c>
      <c r="K433" s="16">
        <v>4</v>
      </c>
      <c r="L433" s="17" t="s">
        <v>3048</v>
      </c>
      <c r="M433" s="10" t="s">
        <v>4968</v>
      </c>
    </row>
    <row r="434" spans="1:13" x14ac:dyDescent="0.3">
      <c r="A434" t="s">
        <v>3051</v>
      </c>
      <c r="B434" s="7" t="s">
        <v>3052</v>
      </c>
      <c r="C434" s="7" t="s">
        <v>3052</v>
      </c>
      <c r="D434" s="7" t="s">
        <v>3053</v>
      </c>
      <c r="E434" s="7" t="s">
        <v>15</v>
      </c>
      <c r="F434" s="15" t="s">
        <v>3052</v>
      </c>
      <c r="G434" s="15" t="s">
        <v>4968</v>
      </c>
      <c r="H434" s="15" t="s">
        <v>3052</v>
      </c>
      <c r="I434" s="15" t="s">
        <v>3052</v>
      </c>
      <c r="J434" s="15" t="s">
        <v>3052</v>
      </c>
      <c r="K434" s="16">
        <v>4</v>
      </c>
      <c r="L434" s="17" t="s">
        <v>5190</v>
      </c>
      <c r="M434" s="10" t="s">
        <v>4968</v>
      </c>
    </row>
    <row r="435" spans="1:13" x14ac:dyDescent="0.3">
      <c r="A435" t="s">
        <v>3055</v>
      </c>
      <c r="B435" s="7" t="s">
        <v>3056</v>
      </c>
      <c r="C435" s="7" t="s">
        <v>3056</v>
      </c>
      <c r="D435" s="7" t="s">
        <v>3057</v>
      </c>
      <c r="E435" s="7" t="s">
        <v>15</v>
      </c>
      <c r="F435" s="15" t="s">
        <v>3056</v>
      </c>
      <c r="G435" s="15" t="s">
        <v>4968</v>
      </c>
      <c r="H435" s="15" t="s">
        <v>3056</v>
      </c>
      <c r="I435" s="15" t="s">
        <v>5191</v>
      </c>
      <c r="J435" s="15" t="s">
        <v>5191</v>
      </c>
      <c r="K435" s="16">
        <v>5</v>
      </c>
      <c r="L435" s="17" t="s">
        <v>5191</v>
      </c>
      <c r="M435" s="10" t="s">
        <v>5192</v>
      </c>
    </row>
    <row r="436" spans="1:13" x14ac:dyDescent="0.3">
      <c r="A436" t="s">
        <v>3061</v>
      </c>
      <c r="B436" s="7" t="s">
        <v>3062</v>
      </c>
      <c r="C436" s="7" t="s">
        <v>3062</v>
      </c>
      <c r="D436" s="7" t="s">
        <v>3053</v>
      </c>
      <c r="E436" s="7" t="s">
        <v>15</v>
      </c>
      <c r="F436" s="15" t="s">
        <v>3062</v>
      </c>
      <c r="G436" s="15" t="s">
        <v>4968</v>
      </c>
      <c r="H436" s="15" t="s">
        <v>3062</v>
      </c>
      <c r="I436" s="15" t="s">
        <v>5193</v>
      </c>
      <c r="J436" s="15" t="s">
        <v>5193</v>
      </c>
      <c r="K436" s="16">
        <v>5</v>
      </c>
      <c r="L436" s="17" t="s">
        <v>5193</v>
      </c>
      <c r="M436" s="10" t="s">
        <v>5194</v>
      </c>
    </row>
    <row r="437" spans="1:13" x14ac:dyDescent="0.3">
      <c r="A437" t="s">
        <v>3068</v>
      </c>
      <c r="B437" s="7" t="s">
        <v>3069</v>
      </c>
      <c r="C437" s="7" t="s">
        <v>3070</v>
      </c>
      <c r="D437" s="7" t="s">
        <v>3070</v>
      </c>
      <c r="E437" s="7" t="s">
        <v>23</v>
      </c>
      <c r="F437" s="15" t="s">
        <v>3070</v>
      </c>
      <c r="G437" s="15" t="s">
        <v>4968</v>
      </c>
      <c r="H437" s="15" t="s">
        <v>3070</v>
      </c>
      <c r="I437" s="15" t="s">
        <v>3070</v>
      </c>
      <c r="J437" s="15" t="s">
        <v>3070</v>
      </c>
      <c r="K437" s="16">
        <v>5</v>
      </c>
      <c r="L437" s="17" t="s">
        <v>3070</v>
      </c>
      <c r="M437" s="10" t="s">
        <v>5195</v>
      </c>
    </row>
    <row r="438" spans="1:13" x14ac:dyDescent="0.3">
      <c r="A438" t="s">
        <v>3079</v>
      </c>
      <c r="B438" s="7"/>
      <c r="C438" s="7" t="s">
        <v>3080</v>
      </c>
      <c r="D438" s="7" t="s">
        <v>3080</v>
      </c>
      <c r="E438" s="7" t="s">
        <v>49</v>
      </c>
      <c r="F438" s="15" t="s">
        <v>3080</v>
      </c>
      <c r="G438" s="15" t="s">
        <v>4968</v>
      </c>
      <c r="H438" s="15" t="s">
        <v>3080</v>
      </c>
      <c r="I438" s="15" t="s">
        <v>3080</v>
      </c>
      <c r="J438" s="15" t="s">
        <v>3080</v>
      </c>
      <c r="K438" s="16">
        <v>3</v>
      </c>
      <c r="L438" s="17" t="s">
        <v>3080</v>
      </c>
      <c r="M438" s="10" t="s">
        <v>4968</v>
      </c>
    </row>
    <row r="439" spans="1:13" x14ac:dyDescent="0.3">
      <c r="A439" t="s">
        <v>3081</v>
      </c>
      <c r="B439" s="7" t="s">
        <v>3082</v>
      </c>
      <c r="C439" s="7"/>
      <c r="D439" s="7" t="s">
        <v>3082</v>
      </c>
      <c r="E439" s="7" t="s">
        <v>34</v>
      </c>
      <c r="F439" s="15" t="s">
        <v>3082</v>
      </c>
      <c r="G439" s="15" t="s">
        <v>4968</v>
      </c>
      <c r="H439" s="15" t="s">
        <v>3082</v>
      </c>
      <c r="I439" s="15" t="s">
        <v>3082</v>
      </c>
      <c r="J439" s="15" t="s">
        <v>3082</v>
      </c>
      <c r="K439" s="16">
        <v>4</v>
      </c>
      <c r="L439" s="17" t="s">
        <v>3082</v>
      </c>
      <c r="M439" s="10" t="s">
        <v>4968</v>
      </c>
    </row>
    <row r="440" spans="1:13" x14ac:dyDescent="0.3">
      <c r="A440" t="s">
        <v>3083</v>
      </c>
      <c r="B440" s="7" t="s">
        <v>3084</v>
      </c>
      <c r="C440" s="7" t="s">
        <v>3085</v>
      </c>
      <c r="D440" s="7" t="s">
        <v>3085</v>
      </c>
      <c r="E440" s="7" t="s">
        <v>23</v>
      </c>
      <c r="F440" s="15" t="s">
        <v>3084</v>
      </c>
      <c r="G440" s="15" t="s">
        <v>4968</v>
      </c>
      <c r="H440" s="15" t="s">
        <v>3085</v>
      </c>
      <c r="I440" s="15" t="s">
        <v>3084</v>
      </c>
      <c r="J440" s="15" t="s">
        <v>3084</v>
      </c>
      <c r="K440" s="16">
        <v>3</v>
      </c>
      <c r="L440" s="17" t="s">
        <v>3084</v>
      </c>
      <c r="M440" s="10" t="s">
        <v>4968</v>
      </c>
    </row>
    <row r="441" spans="1:13" x14ac:dyDescent="0.3">
      <c r="A441" t="s">
        <v>3086</v>
      </c>
      <c r="B441" s="7"/>
      <c r="C441" s="7" t="s">
        <v>3087</v>
      </c>
      <c r="D441" s="7" t="s">
        <v>3087</v>
      </c>
      <c r="E441" s="7" t="s">
        <v>49</v>
      </c>
      <c r="F441" s="15" t="s">
        <v>3087</v>
      </c>
      <c r="G441" s="15" t="s">
        <v>4968</v>
      </c>
      <c r="H441" s="15" t="s">
        <v>3087</v>
      </c>
      <c r="I441" s="15" t="s">
        <v>3087</v>
      </c>
      <c r="J441" s="15" t="s">
        <v>3087</v>
      </c>
      <c r="K441" s="16">
        <v>5</v>
      </c>
      <c r="L441" s="17" t="s">
        <v>3087</v>
      </c>
      <c r="M441" s="10" t="s">
        <v>5196</v>
      </c>
    </row>
    <row r="442" spans="1:13" x14ac:dyDescent="0.3">
      <c r="A442" t="s">
        <v>3088</v>
      </c>
      <c r="B442" s="7"/>
      <c r="C442" s="7" t="s">
        <v>3089</v>
      </c>
      <c r="D442" s="7" t="s">
        <v>3089</v>
      </c>
      <c r="E442" s="7" t="s">
        <v>49</v>
      </c>
      <c r="F442" s="15" t="s">
        <v>3089</v>
      </c>
      <c r="G442" s="15" t="s">
        <v>4968</v>
      </c>
      <c r="H442" s="15" t="s">
        <v>3089</v>
      </c>
      <c r="I442" s="15" t="s">
        <v>3089</v>
      </c>
      <c r="J442" s="15" t="s">
        <v>3089</v>
      </c>
      <c r="K442" s="16">
        <v>5</v>
      </c>
      <c r="L442" s="17" t="s">
        <v>3089</v>
      </c>
      <c r="M442" s="10" t="s">
        <v>5197</v>
      </c>
    </row>
    <row r="443" spans="1:13" x14ac:dyDescent="0.3">
      <c r="A443" t="s">
        <v>3090</v>
      </c>
      <c r="B443" s="7" t="s">
        <v>3091</v>
      </c>
      <c r="C443" s="7" t="s">
        <v>3092</v>
      </c>
      <c r="D443" s="7" t="s">
        <v>3092</v>
      </c>
      <c r="E443" s="7" t="s">
        <v>23</v>
      </c>
      <c r="F443" s="15" t="s">
        <v>3091</v>
      </c>
      <c r="G443" s="15" t="s">
        <v>4968</v>
      </c>
      <c r="H443" s="15" t="s">
        <v>3092</v>
      </c>
      <c r="I443" s="15" t="s">
        <v>3091</v>
      </c>
      <c r="J443" s="15" t="s">
        <v>3091</v>
      </c>
      <c r="K443" s="16">
        <v>3</v>
      </c>
      <c r="L443" s="17" t="s">
        <v>3091</v>
      </c>
      <c r="M443" s="10" t="s">
        <v>4968</v>
      </c>
    </row>
    <row r="444" spans="1:13" x14ac:dyDescent="0.3">
      <c r="A444" t="s">
        <v>3099</v>
      </c>
      <c r="B444" s="7" t="s">
        <v>3100</v>
      </c>
      <c r="C444" s="7" t="s">
        <v>3101</v>
      </c>
      <c r="D444" s="7" t="s">
        <v>3101</v>
      </c>
      <c r="E444" s="7" t="s">
        <v>23</v>
      </c>
      <c r="F444" s="15" t="s">
        <v>3100</v>
      </c>
      <c r="G444" s="15" t="s">
        <v>4968</v>
      </c>
      <c r="H444" s="15" t="s">
        <v>3101</v>
      </c>
      <c r="I444" s="15" t="s">
        <v>3100</v>
      </c>
      <c r="J444" s="15" t="s">
        <v>3100</v>
      </c>
      <c r="K444" s="16">
        <v>3</v>
      </c>
      <c r="L444" s="17" t="s">
        <v>3100</v>
      </c>
      <c r="M444" s="10" t="s">
        <v>4968</v>
      </c>
    </row>
    <row r="445" spans="1:13" x14ac:dyDescent="0.3">
      <c r="A445" t="s">
        <v>3114</v>
      </c>
      <c r="B445" s="7" t="s">
        <v>3115</v>
      </c>
      <c r="C445" s="7"/>
      <c r="D445" s="7" t="s">
        <v>3115</v>
      </c>
      <c r="E445" s="7" t="s">
        <v>34</v>
      </c>
      <c r="F445" s="15" t="s">
        <v>3115</v>
      </c>
      <c r="G445" s="15" t="s">
        <v>4968</v>
      </c>
      <c r="H445" s="15" t="s">
        <v>3115</v>
      </c>
      <c r="I445" s="15" t="s">
        <v>3115</v>
      </c>
      <c r="J445" s="15" t="s">
        <v>3115</v>
      </c>
      <c r="K445" s="16">
        <v>5</v>
      </c>
      <c r="L445" s="17" t="s">
        <v>3115</v>
      </c>
      <c r="M445" s="10" t="s">
        <v>5198</v>
      </c>
    </row>
    <row r="446" spans="1:13" x14ac:dyDescent="0.3">
      <c r="A446" t="s">
        <v>3125</v>
      </c>
      <c r="B446" s="7" t="s">
        <v>3126</v>
      </c>
      <c r="C446" s="7"/>
      <c r="D446" s="7" t="s">
        <v>3126</v>
      </c>
      <c r="E446" s="7" t="s">
        <v>34</v>
      </c>
      <c r="F446" s="15" t="s">
        <v>3126</v>
      </c>
      <c r="G446" s="15" t="s">
        <v>4968</v>
      </c>
      <c r="H446" s="15" t="s">
        <v>3126</v>
      </c>
      <c r="I446" s="15" t="s">
        <v>3126</v>
      </c>
      <c r="J446" s="15" t="s">
        <v>3126</v>
      </c>
      <c r="K446" s="16">
        <v>5</v>
      </c>
      <c r="L446" s="17" t="s">
        <v>3126</v>
      </c>
      <c r="M446" s="10" t="s">
        <v>5200</v>
      </c>
    </row>
    <row r="447" spans="1:13" x14ac:dyDescent="0.3">
      <c r="A447" t="s">
        <v>3145</v>
      </c>
      <c r="B447" s="7" t="s">
        <v>3146</v>
      </c>
      <c r="C447" s="7" t="s">
        <v>3147</v>
      </c>
      <c r="D447" s="7" t="s">
        <v>3147</v>
      </c>
      <c r="E447" s="7" t="s">
        <v>23</v>
      </c>
      <c r="F447" s="15" t="s">
        <v>3146</v>
      </c>
      <c r="G447" s="15" t="s">
        <v>4968</v>
      </c>
      <c r="H447" s="15" t="s">
        <v>3147</v>
      </c>
      <c r="I447" s="15" t="s">
        <v>5199</v>
      </c>
      <c r="J447" s="15" t="s">
        <v>5199</v>
      </c>
      <c r="K447" s="16">
        <v>3</v>
      </c>
      <c r="L447" s="17" t="s">
        <v>5199</v>
      </c>
      <c r="M447" s="10" t="s">
        <v>4968</v>
      </c>
    </row>
    <row r="448" spans="1:13" x14ac:dyDescent="0.3">
      <c r="A448" t="s">
        <v>3150</v>
      </c>
      <c r="B448" s="7" t="s">
        <v>3151</v>
      </c>
      <c r="C448" s="7" t="s">
        <v>3152</v>
      </c>
      <c r="D448" s="7" t="s">
        <v>3152</v>
      </c>
      <c r="E448" s="7" t="s">
        <v>23</v>
      </c>
      <c r="F448" s="15" t="s">
        <v>3151</v>
      </c>
      <c r="G448" s="15" t="s">
        <v>4968</v>
      </c>
      <c r="H448" s="15" t="s">
        <v>3152</v>
      </c>
      <c r="I448" s="15" t="s">
        <v>3151</v>
      </c>
      <c r="J448" s="15" t="s">
        <v>3151</v>
      </c>
      <c r="K448" s="16">
        <v>4</v>
      </c>
      <c r="L448" s="17" t="s">
        <v>3151</v>
      </c>
      <c r="M448" s="10" t="s">
        <v>4968</v>
      </c>
    </row>
    <row r="449" spans="1:13" x14ac:dyDescent="0.3">
      <c r="A449" t="s">
        <v>3159</v>
      </c>
      <c r="B449" s="7" t="s">
        <v>3160</v>
      </c>
      <c r="C449" s="7"/>
      <c r="D449" s="7" t="s">
        <v>3161</v>
      </c>
      <c r="E449" s="7" t="s">
        <v>9</v>
      </c>
      <c r="F449" s="15" t="s">
        <v>5201</v>
      </c>
      <c r="G449" s="15" t="s">
        <v>4968</v>
      </c>
      <c r="H449" s="15" t="s">
        <v>5201</v>
      </c>
      <c r="I449" s="15" t="s">
        <v>5201</v>
      </c>
      <c r="J449" s="15" t="s">
        <v>5201</v>
      </c>
      <c r="K449" s="16">
        <v>5</v>
      </c>
      <c r="L449" s="17" t="s">
        <v>5201</v>
      </c>
      <c r="M449" s="28" t="s">
        <v>5202</v>
      </c>
    </row>
    <row r="450" spans="1:13" x14ac:dyDescent="0.3">
      <c r="A450" t="s">
        <v>3164</v>
      </c>
      <c r="B450" s="7"/>
      <c r="C450" s="7" t="s">
        <v>3165</v>
      </c>
      <c r="D450" s="7" t="s">
        <v>3165</v>
      </c>
      <c r="E450" s="7" t="s">
        <v>49</v>
      </c>
      <c r="F450" s="15" t="s">
        <v>3165</v>
      </c>
      <c r="G450" s="15" t="s">
        <v>4968</v>
      </c>
      <c r="H450" s="15" t="s">
        <v>3165</v>
      </c>
      <c r="I450" s="15" t="s">
        <v>3165</v>
      </c>
      <c r="J450" s="15" t="s">
        <v>3165</v>
      </c>
      <c r="K450" s="16">
        <v>4</v>
      </c>
      <c r="L450" s="17" t="s">
        <v>3165</v>
      </c>
      <c r="M450" s="10" t="s">
        <v>4968</v>
      </c>
    </row>
    <row r="451" spans="1:13" x14ac:dyDescent="0.3">
      <c r="A451" t="s">
        <v>3168</v>
      </c>
      <c r="B451" s="7" t="s">
        <v>3169</v>
      </c>
      <c r="C451" s="7"/>
      <c r="D451" s="7" t="s">
        <v>3169</v>
      </c>
      <c r="E451" s="7" t="s">
        <v>34</v>
      </c>
      <c r="F451" s="15" t="s">
        <v>3169</v>
      </c>
      <c r="G451" s="15" t="s">
        <v>4968</v>
      </c>
      <c r="H451" s="15" t="s">
        <v>3169</v>
      </c>
      <c r="I451" s="15" t="s">
        <v>3169</v>
      </c>
      <c r="J451" s="15" t="s">
        <v>3169</v>
      </c>
      <c r="K451" s="16">
        <v>5</v>
      </c>
      <c r="L451" s="17" t="s">
        <v>3169</v>
      </c>
      <c r="M451" s="10" t="s">
        <v>5203</v>
      </c>
    </row>
    <row r="452" spans="1:13" x14ac:dyDescent="0.3">
      <c r="A452" t="s">
        <v>3170</v>
      </c>
      <c r="B452" s="7" t="s">
        <v>3171</v>
      </c>
      <c r="C452" s="7" t="s">
        <v>3172</v>
      </c>
      <c r="D452" s="7" t="s">
        <v>3172</v>
      </c>
      <c r="E452" s="7" t="s">
        <v>23</v>
      </c>
      <c r="F452" s="15" t="s">
        <v>5204</v>
      </c>
      <c r="G452" s="15" t="s">
        <v>4968</v>
      </c>
      <c r="H452" s="15" t="s">
        <v>3172</v>
      </c>
      <c r="I452" s="15" t="s">
        <v>5204</v>
      </c>
      <c r="J452" s="15" t="s">
        <v>5204</v>
      </c>
      <c r="K452" s="16">
        <v>3</v>
      </c>
      <c r="L452" s="17" t="s">
        <v>5204</v>
      </c>
      <c r="M452" s="10" t="s">
        <v>4968</v>
      </c>
    </row>
    <row r="453" spans="1:13" x14ac:dyDescent="0.3">
      <c r="A453" t="s">
        <v>3188</v>
      </c>
      <c r="B453" s="7"/>
      <c r="C453" s="7" t="s">
        <v>3189</v>
      </c>
      <c r="D453" s="7" t="s">
        <v>3189</v>
      </c>
      <c r="E453" s="7" t="s">
        <v>49</v>
      </c>
      <c r="F453" s="15" t="s">
        <v>3189</v>
      </c>
      <c r="G453" s="15" t="s">
        <v>4968</v>
      </c>
      <c r="H453" s="15" t="s">
        <v>3189</v>
      </c>
      <c r="I453" s="15" t="s">
        <v>3189</v>
      </c>
      <c r="J453" s="15" t="s">
        <v>3189</v>
      </c>
      <c r="K453" s="16">
        <v>4</v>
      </c>
      <c r="L453" s="17" t="s">
        <v>3189</v>
      </c>
      <c r="M453" s="10" t="s">
        <v>4968</v>
      </c>
    </row>
    <row r="454" spans="1:13" x14ac:dyDescent="0.3">
      <c r="A454" t="s">
        <v>3199</v>
      </c>
      <c r="B454" s="7" t="s">
        <v>3200</v>
      </c>
      <c r="C454" s="7"/>
      <c r="D454" s="7" t="s">
        <v>3200</v>
      </c>
      <c r="E454" s="7" t="s">
        <v>34</v>
      </c>
      <c r="F454" s="15" t="s">
        <v>3200</v>
      </c>
      <c r="G454" s="15" t="s">
        <v>4968</v>
      </c>
      <c r="H454" s="15" t="s">
        <v>3200</v>
      </c>
      <c r="I454" s="15" t="s">
        <v>3200</v>
      </c>
      <c r="J454" s="15" t="s">
        <v>3200</v>
      </c>
      <c r="K454" s="16">
        <v>5</v>
      </c>
      <c r="L454" s="17" t="s">
        <v>3200</v>
      </c>
      <c r="M454" s="10" t="s">
        <v>5205</v>
      </c>
    </row>
    <row r="455" spans="1:13" x14ac:dyDescent="0.3">
      <c r="A455" t="s">
        <v>3203</v>
      </c>
      <c r="B455" s="7" t="s">
        <v>3204</v>
      </c>
      <c r="C455" s="7" t="s">
        <v>3204</v>
      </c>
      <c r="D455" s="7" t="s">
        <v>3205</v>
      </c>
      <c r="E455" s="7" t="s">
        <v>15</v>
      </c>
      <c r="F455" s="15" t="s">
        <v>3204</v>
      </c>
      <c r="G455" s="15" t="s">
        <v>4968</v>
      </c>
      <c r="H455" s="15" t="s">
        <v>3204</v>
      </c>
      <c r="I455" s="15" t="s">
        <v>3204</v>
      </c>
      <c r="J455" s="15" t="s">
        <v>3204</v>
      </c>
      <c r="K455" s="16">
        <v>4</v>
      </c>
      <c r="L455" s="17" t="s">
        <v>3204</v>
      </c>
      <c r="M455" s="10" t="s">
        <v>4968</v>
      </c>
    </row>
    <row r="456" spans="1:13" x14ac:dyDescent="0.3">
      <c r="A456" t="s">
        <v>3208</v>
      </c>
      <c r="B456" s="7"/>
      <c r="C456" s="7"/>
      <c r="D456" s="7" t="s">
        <v>3209</v>
      </c>
      <c r="E456" s="7" t="s">
        <v>9</v>
      </c>
      <c r="F456" s="15" t="s">
        <v>3209</v>
      </c>
      <c r="G456" s="15" t="s">
        <v>4968</v>
      </c>
      <c r="H456" s="15" t="s">
        <v>3209</v>
      </c>
      <c r="I456" s="15" t="s">
        <v>3209</v>
      </c>
      <c r="J456" s="15" t="s">
        <v>3209</v>
      </c>
      <c r="K456" s="16">
        <v>5</v>
      </c>
      <c r="L456" s="17" t="s">
        <v>3209</v>
      </c>
      <c r="M456" s="10" t="s">
        <v>5206</v>
      </c>
    </row>
    <row r="457" spans="1:13" x14ac:dyDescent="0.3">
      <c r="A457" t="s">
        <v>3214</v>
      </c>
      <c r="B457" s="7"/>
      <c r="C457" s="7"/>
      <c r="D457" s="7" t="s">
        <v>3215</v>
      </c>
      <c r="E457" s="7" t="s">
        <v>9</v>
      </c>
      <c r="F457" s="15" t="s">
        <v>5207</v>
      </c>
      <c r="G457" s="15" t="s">
        <v>4968</v>
      </c>
      <c r="H457" s="15" t="s">
        <v>5207</v>
      </c>
      <c r="I457" s="15" t="s">
        <v>5207</v>
      </c>
      <c r="J457" s="15" t="s">
        <v>5207</v>
      </c>
      <c r="K457" s="16">
        <v>4</v>
      </c>
      <c r="L457" s="17" t="s">
        <v>5207</v>
      </c>
      <c r="M457" s="10" t="s">
        <v>4968</v>
      </c>
    </row>
    <row r="458" spans="1:13" x14ac:dyDescent="0.3">
      <c r="A458" t="s">
        <v>3225</v>
      </c>
      <c r="B458" s="7" t="s">
        <v>3226</v>
      </c>
      <c r="C458" s="7"/>
      <c r="D458" s="7" t="s">
        <v>3226</v>
      </c>
      <c r="E458" s="7" t="s">
        <v>34</v>
      </c>
      <c r="F458" s="15" t="s">
        <v>3226</v>
      </c>
      <c r="G458" s="15" t="s">
        <v>4968</v>
      </c>
      <c r="H458" s="15" t="s">
        <v>3226</v>
      </c>
      <c r="I458" s="15" t="s">
        <v>3226</v>
      </c>
      <c r="J458" s="15" t="s">
        <v>3226</v>
      </c>
      <c r="K458" s="16">
        <v>5</v>
      </c>
      <c r="L458" s="17" t="s">
        <v>3226</v>
      </c>
      <c r="M458" s="10" t="s">
        <v>5208</v>
      </c>
    </row>
    <row r="459" spans="1:13" x14ac:dyDescent="0.3">
      <c r="A459" t="s">
        <v>3241</v>
      </c>
      <c r="B459" s="7"/>
      <c r="C459" s="7" t="s">
        <v>3242</v>
      </c>
      <c r="D459" s="7" t="s">
        <v>3242</v>
      </c>
      <c r="E459" s="7" t="s">
        <v>49</v>
      </c>
      <c r="F459" s="15" t="s">
        <v>3242</v>
      </c>
      <c r="G459" s="15" t="s">
        <v>4968</v>
      </c>
      <c r="H459" s="15" t="s">
        <v>3242</v>
      </c>
      <c r="I459" s="15" t="s">
        <v>3242</v>
      </c>
      <c r="J459" s="15" t="s">
        <v>3242</v>
      </c>
      <c r="K459" s="16">
        <v>5</v>
      </c>
      <c r="L459" s="17" t="s">
        <v>3242</v>
      </c>
      <c r="M459" s="10" t="s">
        <v>5209</v>
      </c>
    </row>
    <row r="460" spans="1:13" x14ac:dyDescent="0.3">
      <c r="A460" t="s">
        <v>3243</v>
      </c>
      <c r="B460" s="7"/>
      <c r="C460" s="7" t="s">
        <v>3242</v>
      </c>
      <c r="D460" s="7" t="s">
        <v>3242</v>
      </c>
      <c r="E460" s="7" t="s">
        <v>49</v>
      </c>
      <c r="F460" s="15" t="s">
        <v>3242</v>
      </c>
      <c r="G460" s="15" t="s">
        <v>4968</v>
      </c>
      <c r="H460" s="15" t="s">
        <v>3242</v>
      </c>
      <c r="I460" s="15" t="s">
        <v>3242</v>
      </c>
      <c r="J460" s="15" t="s">
        <v>3242</v>
      </c>
      <c r="K460" s="16">
        <v>4</v>
      </c>
      <c r="L460" s="17" t="s">
        <v>3242</v>
      </c>
      <c r="M460" s="10" t="s">
        <v>4968</v>
      </c>
    </row>
    <row r="461" spans="1:13" x14ac:dyDescent="0.3">
      <c r="A461" t="s">
        <v>3244</v>
      </c>
      <c r="B461" s="7"/>
      <c r="C461" s="7" t="s">
        <v>3245</v>
      </c>
      <c r="D461" s="7" t="s">
        <v>3245</v>
      </c>
      <c r="E461" s="7" t="s">
        <v>49</v>
      </c>
      <c r="F461" s="15" t="s">
        <v>3245</v>
      </c>
      <c r="G461" s="15" t="s">
        <v>4968</v>
      </c>
      <c r="H461" s="15" t="s">
        <v>3245</v>
      </c>
      <c r="I461" s="15" t="s">
        <v>3245</v>
      </c>
      <c r="J461" s="15" t="s">
        <v>3245</v>
      </c>
      <c r="K461" s="16">
        <v>5</v>
      </c>
      <c r="L461" s="17" t="s">
        <v>3245</v>
      </c>
      <c r="M461" s="10" t="s">
        <v>5210</v>
      </c>
    </row>
    <row r="462" spans="1:13" x14ac:dyDescent="0.3">
      <c r="A462" t="s">
        <v>3252</v>
      </c>
      <c r="B462" s="7"/>
      <c r="C462" s="7" t="s">
        <v>3253</v>
      </c>
      <c r="D462" s="7" t="s">
        <v>3253</v>
      </c>
      <c r="E462" s="7" t="s">
        <v>49</v>
      </c>
      <c r="F462" s="15" t="s">
        <v>3253</v>
      </c>
      <c r="G462" s="15" t="s">
        <v>4968</v>
      </c>
      <c r="H462" s="15" t="s">
        <v>3253</v>
      </c>
      <c r="I462" s="15" t="s">
        <v>3253</v>
      </c>
      <c r="J462" s="15" t="s">
        <v>3253</v>
      </c>
      <c r="K462" s="16">
        <v>5</v>
      </c>
      <c r="L462" s="17" t="s">
        <v>3253</v>
      </c>
      <c r="M462" s="10" t="s">
        <v>5211</v>
      </c>
    </row>
    <row r="463" spans="1:13" x14ac:dyDescent="0.3">
      <c r="A463" t="s">
        <v>3254</v>
      </c>
      <c r="B463" s="7" t="s">
        <v>3255</v>
      </c>
      <c r="C463" s="7" t="s">
        <v>3255</v>
      </c>
      <c r="D463" s="7" t="s">
        <v>3256</v>
      </c>
      <c r="E463" s="7" t="s">
        <v>15</v>
      </c>
      <c r="F463" s="15" t="s">
        <v>3255</v>
      </c>
      <c r="G463" s="15" t="s">
        <v>4968</v>
      </c>
      <c r="H463" s="15" t="s">
        <v>3255</v>
      </c>
      <c r="I463" s="15" t="s">
        <v>3255</v>
      </c>
      <c r="J463" s="15" t="s">
        <v>3255</v>
      </c>
      <c r="K463" s="16">
        <v>4</v>
      </c>
      <c r="L463" s="17" t="s">
        <v>5212</v>
      </c>
      <c r="M463" s="10" t="s">
        <v>4968</v>
      </c>
    </row>
    <row r="464" spans="1:13" x14ac:dyDescent="0.3">
      <c r="A464" t="s">
        <v>3257</v>
      </c>
      <c r="B464" s="7" t="s">
        <v>3258</v>
      </c>
      <c r="C464" s="7" t="s">
        <v>3258</v>
      </c>
      <c r="D464" s="7" t="s">
        <v>3259</v>
      </c>
      <c r="E464" s="7" t="s">
        <v>15</v>
      </c>
      <c r="F464" s="15" t="s">
        <v>3258</v>
      </c>
      <c r="G464" s="15" t="s">
        <v>4968</v>
      </c>
      <c r="H464" s="15" t="s">
        <v>3258</v>
      </c>
      <c r="I464" s="15" t="s">
        <v>3258</v>
      </c>
      <c r="J464" s="15" t="s">
        <v>3258</v>
      </c>
      <c r="K464" s="16">
        <v>5</v>
      </c>
      <c r="L464" s="17" t="s">
        <v>3258</v>
      </c>
      <c r="M464" s="10" t="s">
        <v>5213</v>
      </c>
    </row>
    <row r="465" spans="1:13" x14ac:dyDescent="0.3">
      <c r="A465" t="s">
        <v>3260</v>
      </c>
      <c r="B465" s="7" t="s">
        <v>3261</v>
      </c>
      <c r="C465" s="7" t="s">
        <v>3261</v>
      </c>
      <c r="D465" s="7" t="s">
        <v>3262</v>
      </c>
      <c r="E465" s="7" t="s">
        <v>15</v>
      </c>
      <c r="F465" s="15" t="s">
        <v>3261</v>
      </c>
      <c r="G465" s="15" t="s">
        <v>4968</v>
      </c>
      <c r="H465" s="15" t="s">
        <v>3261</v>
      </c>
      <c r="I465" s="15" t="s">
        <v>3261</v>
      </c>
      <c r="J465" s="15" t="s">
        <v>3261</v>
      </c>
      <c r="K465" s="16">
        <v>4</v>
      </c>
      <c r="L465" s="17" t="s">
        <v>3261</v>
      </c>
      <c r="M465" s="10" t="s">
        <v>4968</v>
      </c>
    </row>
    <row r="466" spans="1:13" x14ac:dyDescent="0.3">
      <c r="A466" t="s">
        <v>3263</v>
      </c>
      <c r="B466" s="7" t="s">
        <v>3264</v>
      </c>
      <c r="C466" s="7" t="s">
        <v>3264</v>
      </c>
      <c r="D466" s="7" t="s">
        <v>3265</v>
      </c>
      <c r="E466" s="7" t="s">
        <v>15</v>
      </c>
      <c r="F466" s="15" t="s">
        <v>3264</v>
      </c>
      <c r="G466" s="15" t="s">
        <v>4968</v>
      </c>
      <c r="H466" s="15" t="s">
        <v>3264</v>
      </c>
      <c r="I466" s="15" t="s">
        <v>5214</v>
      </c>
      <c r="J466" s="15" t="s">
        <v>5214</v>
      </c>
      <c r="K466" s="16">
        <v>4</v>
      </c>
      <c r="L466" s="17" t="s">
        <v>5214</v>
      </c>
      <c r="M466" s="10" t="s">
        <v>4968</v>
      </c>
    </row>
    <row r="467" spans="1:13" x14ac:dyDescent="0.3">
      <c r="A467" t="s">
        <v>3266</v>
      </c>
      <c r="B467" s="7" t="s">
        <v>3267</v>
      </c>
      <c r="C467" s="7" t="s">
        <v>3267</v>
      </c>
      <c r="D467" s="7"/>
      <c r="E467" s="7" t="s">
        <v>323</v>
      </c>
      <c r="F467" s="15" t="s">
        <v>3267</v>
      </c>
      <c r="G467" s="15" t="s">
        <v>4968</v>
      </c>
      <c r="H467" s="15" t="s">
        <v>3267</v>
      </c>
      <c r="I467" s="15" t="s">
        <v>3267</v>
      </c>
      <c r="J467" s="15" t="s">
        <v>3267</v>
      </c>
      <c r="K467" s="16">
        <v>5</v>
      </c>
      <c r="L467" s="17" t="s">
        <v>3267</v>
      </c>
      <c r="M467" s="10" t="s">
        <v>5215</v>
      </c>
    </row>
    <row r="468" spans="1:13" x14ac:dyDescent="0.3">
      <c r="A468" t="s">
        <v>3268</v>
      </c>
      <c r="B468" s="7" t="s">
        <v>3269</v>
      </c>
      <c r="C468" s="7" t="s">
        <v>3269</v>
      </c>
      <c r="D468" s="7" t="s">
        <v>3270</v>
      </c>
      <c r="E468" s="7" t="s">
        <v>15</v>
      </c>
      <c r="F468" s="15" t="s">
        <v>3269</v>
      </c>
      <c r="G468" s="15" t="s">
        <v>4968</v>
      </c>
      <c r="H468" s="15" t="s">
        <v>3269</v>
      </c>
      <c r="I468" s="15" t="s">
        <v>3269</v>
      </c>
      <c r="J468" s="15" t="s">
        <v>3269</v>
      </c>
      <c r="K468" s="16">
        <v>5</v>
      </c>
      <c r="L468" s="17" t="s">
        <v>3269</v>
      </c>
      <c r="M468" s="10" t="s">
        <v>5216</v>
      </c>
    </row>
    <row r="469" spans="1:13" x14ac:dyDescent="0.3">
      <c r="A469" t="s">
        <v>3271</v>
      </c>
      <c r="B469" s="7" t="s">
        <v>3272</v>
      </c>
      <c r="C469" s="7" t="s">
        <v>3272</v>
      </c>
      <c r="D469" s="7" t="s">
        <v>3273</v>
      </c>
      <c r="E469" s="7" t="s">
        <v>15</v>
      </c>
      <c r="F469" s="15" t="s">
        <v>3272</v>
      </c>
      <c r="G469" s="15" t="s">
        <v>4968</v>
      </c>
      <c r="H469" s="15" t="s">
        <v>3272</v>
      </c>
      <c r="I469" s="15" t="s">
        <v>5217</v>
      </c>
      <c r="J469" s="15" t="s">
        <v>5217</v>
      </c>
      <c r="K469" s="16">
        <v>5</v>
      </c>
      <c r="L469" s="17" t="s">
        <v>5217</v>
      </c>
      <c r="M469" s="10" t="s">
        <v>5218</v>
      </c>
    </row>
    <row r="470" spans="1:13" x14ac:dyDescent="0.3">
      <c r="A470" t="s">
        <v>3281</v>
      </c>
      <c r="B470" s="7"/>
      <c r="C470" s="7" t="s">
        <v>3278</v>
      </c>
      <c r="D470" s="7" t="s">
        <v>3278</v>
      </c>
      <c r="E470" s="7" t="s">
        <v>49</v>
      </c>
      <c r="F470" s="15" t="s">
        <v>3278</v>
      </c>
      <c r="G470" s="15" t="s">
        <v>4968</v>
      </c>
      <c r="H470" s="15" t="s">
        <v>3278</v>
      </c>
      <c r="I470" s="15" t="s">
        <v>3278</v>
      </c>
      <c r="J470" s="15" t="s">
        <v>3278</v>
      </c>
      <c r="K470" s="16">
        <v>4</v>
      </c>
      <c r="L470" s="17" t="s">
        <v>3278</v>
      </c>
      <c r="M470" s="10" t="s">
        <v>4968</v>
      </c>
    </row>
    <row r="471" spans="1:13" x14ac:dyDescent="0.3">
      <c r="A471" t="s">
        <v>3282</v>
      </c>
      <c r="B471" s="7"/>
      <c r="C471" s="7" t="s">
        <v>3280</v>
      </c>
      <c r="D471" s="7" t="s">
        <v>3280</v>
      </c>
      <c r="E471" s="7" t="s">
        <v>49</v>
      </c>
      <c r="F471" s="15" t="s">
        <v>3280</v>
      </c>
      <c r="G471" s="15" t="s">
        <v>4968</v>
      </c>
      <c r="H471" s="15" t="s">
        <v>3280</v>
      </c>
      <c r="I471" s="15" t="s">
        <v>3280</v>
      </c>
      <c r="J471" s="15" t="s">
        <v>3280</v>
      </c>
      <c r="K471" s="16">
        <v>4</v>
      </c>
      <c r="L471" s="17" t="s">
        <v>3280</v>
      </c>
      <c r="M471" s="10" t="s">
        <v>4968</v>
      </c>
    </row>
    <row r="472" spans="1:13" x14ac:dyDescent="0.3">
      <c r="A472" t="s">
        <v>3292</v>
      </c>
      <c r="B472" s="7"/>
      <c r="C472" s="7" t="s">
        <v>3293</v>
      </c>
      <c r="D472" s="7" t="s">
        <v>3293</v>
      </c>
      <c r="E472" s="7" t="s">
        <v>49</v>
      </c>
      <c r="F472" s="15" t="s">
        <v>3293</v>
      </c>
      <c r="G472" s="15" t="s">
        <v>4968</v>
      </c>
      <c r="H472" s="15" t="s">
        <v>3293</v>
      </c>
      <c r="I472" s="15" t="s">
        <v>3293</v>
      </c>
      <c r="J472" s="15" t="s">
        <v>3293</v>
      </c>
      <c r="K472" s="16">
        <v>4</v>
      </c>
      <c r="L472" s="17" t="s">
        <v>3293</v>
      </c>
      <c r="M472" s="10" t="s">
        <v>4968</v>
      </c>
    </row>
    <row r="473" spans="1:13" x14ac:dyDescent="0.3">
      <c r="A473" t="s">
        <v>3298</v>
      </c>
      <c r="B473" s="7" t="s">
        <v>3299</v>
      </c>
      <c r="C473" s="7" t="s">
        <v>3299</v>
      </c>
      <c r="D473" s="7" t="s">
        <v>3300</v>
      </c>
      <c r="E473" s="7" t="s">
        <v>15</v>
      </c>
      <c r="F473" s="15" t="s">
        <v>3299</v>
      </c>
      <c r="G473" s="15" t="s">
        <v>4968</v>
      </c>
      <c r="H473" s="15" t="s">
        <v>3299</v>
      </c>
      <c r="I473" s="15" t="s">
        <v>3299</v>
      </c>
      <c r="J473" s="15" t="s">
        <v>3299</v>
      </c>
      <c r="K473" s="16">
        <v>5</v>
      </c>
      <c r="L473" s="17" t="s">
        <v>3299</v>
      </c>
      <c r="M473" s="10" t="s">
        <v>5219</v>
      </c>
    </row>
    <row r="474" spans="1:13" x14ac:dyDescent="0.3">
      <c r="A474" t="s">
        <v>3309</v>
      </c>
      <c r="B474" s="7"/>
      <c r="C474" s="7"/>
      <c r="D474" s="7" t="s">
        <v>3306</v>
      </c>
      <c r="E474" s="7" t="s">
        <v>9</v>
      </c>
      <c r="F474" s="15" t="s">
        <v>5220</v>
      </c>
      <c r="G474" s="15" t="s">
        <v>4968</v>
      </c>
      <c r="H474" s="15" t="s">
        <v>5220</v>
      </c>
      <c r="I474" s="15" t="s">
        <v>5220</v>
      </c>
      <c r="J474" s="15" t="s">
        <v>5220</v>
      </c>
      <c r="K474" s="16">
        <v>4</v>
      </c>
      <c r="L474" s="17" t="s">
        <v>5220</v>
      </c>
      <c r="M474" s="10" t="s">
        <v>4968</v>
      </c>
    </row>
    <row r="475" spans="1:13" x14ac:dyDescent="0.3">
      <c r="A475" t="s">
        <v>3314</v>
      </c>
      <c r="B475" s="7" t="s">
        <v>3315</v>
      </c>
      <c r="C475" s="7"/>
      <c r="D475" s="7" t="s">
        <v>3316</v>
      </c>
      <c r="E475" s="7" t="s">
        <v>9</v>
      </c>
      <c r="F475" s="15" t="s">
        <v>3315</v>
      </c>
      <c r="G475" s="15" t="s">
        <v>4968</v>
      </c>
      <c r="H475" s="15" t="s">
        <v>3315</v>
      </c>
      <c r="I475" s="15" t="s">
        <v>3315</v>
      </c>
      <c r="J475" s="15" t="s">
        <v>3315</v>
      </c>
      <c r="K475" s="16">
        <v>4</v>
      </c>
      <c r="L475" s="17" t="s">
        <v>3315</v>
      </c>
      <c r="M475" s="10" t="s">
        <v>4968</v>
      </c>
    </row>
    <row r="476" spans="1:13" x14ac:dyDescent="0.3">
      <c r="A476" t="s">
        <v>3317</v>
      </c>
      <c r="B476" s="7"/>
      <c r="C476" s="7" t="s">
        <v>3318</v>
      </c>
      <c r="D476" s="7" t="s">
        <v>3318</v>
      </c>
      <c r="E476" s="7" t="s">
        <v>49</v>
      </c>
      <c r="F476" s="15" t="s">
        <v>3318</v>
      </c>
      <c r="G476" s="15" t="s">
        <v>4968</v>
      </c>
      <c r="H476" s="15" t="s">
        <v>3318</v>
      </c>
      <c r="I476" s="15" t="s">
        <v>3318</v>
      </c>
      <c r="J476" s="15" t="s">
        <v>3318</v>
      </c>
      <c r="K476" s="16">
        <v>5</v>
      </c>
      <c r="L476" s="17" t="s">
        <v>3318</v>
      </c>
      <c r="M476" s="10" t="s">
        <v>5221</v>
      </c>
    </row>
    <row r="477" spans="1:13" x14ac:dyDescent="0.3">
      <c r="A477" t="s">
        <v>3352</v>
      </c>
      <c r="B477" s="7" t="s">
        <v>3353</v>
      </c>
      <c r="C477" s="7"/>
      <c r="D477" s="7" t="s">
        <v>3353</v>
      </c>
      <c r="E477" s="7" t="s">
        <v>34</v>
      </c>
      <c r="F477" s="15" t="s">
        <v>3353</v>
      </c>
      <c r="G477" s="15" t="s">
        <v>4968</v>
      </c>
      <c r="H477" s="15" t="s">
        <v>3353</v>
      </c>
      <c r="I477" s="15" t="s">
        <v>3353</v>
      </c>
      <c r="J477" s="15" t="s">
        <v>3353</v>
      </c>
      <c r="K477" s="16">
        <v>5</v>
      </c>
      <c r="L477" s="17" t="s">
        <v>3353</v>
      </c>
      <c r="M477" s="10" t="s">
        <v>5222</v>
      </c>
    </row>
    <row r="478" spans="1:13" x14ac:dyDescent="0.3">
      <c r="A478" t="s">
        <v>3358</v>
      </c>
      <c r="B478" s="7"/>
      <c r="C478" s="7" t="s">
        <v>3359</v>
      </c>
      <c r="D478" s="7" t="s">
        <v>3360</v>
      </c>
      <c r="E478" s="7" t="s">
        <v>9</v>
      </c>
      <c r="F478" s="15" t="s">
        <v>3360</v>
      </c>
      <c r="G478" s="15" t="s">
        <v>4968</v>
      </c>
      <c r="H478" s="15" t="s">
        <v>3359</v>
      </c>
      <c r="I478" s="15" t="s">
        <v>3360</v>
      </c>
      <c r="J478" s="15" t="s">
        <v>3360</v>
      </c>
      <c r="K478" s="16">
        <v>4</v>
      </c>
      <c r="L478" s="17" t="s">
        <v>3360</v>
      </c>
      <c r="M478" s="10" t="s">
        <v>5223</v>
      </c>
    </row>
    <row r="479" spans="1:13" x14ac:dyDescent="0.3">
      <c r="A479" t="s">
        <v>3364</v>
      </c>
      <c r="B479" s="7" t="s">
        <v>3365</v>
      </c>
      <c r="C479" s="7" t="s">
        <v>3366</v>
      </c>
      <c r="D479" s="7" t="s">
        <v>3367</v>
      </c>
      <c r="E479" s="7" t="s">
        <v>295</v>
      </c>
      <c r="F479" s="15" t="s">
        <v>3365</v>
      </c>
      <c r="G479" s="15" t="s">
        <v>4968</v>
      </c>
      <c r="H479" s="15" t="s">
        <v>4968</v>
      </c>
      <c r="I479" s="15" t="s">
        <v>5224</v>
      </c>
      <c r="J479" s="15" t="s">
        <v>5224</v>
      </c>
      <c r="K479" s="16">
        <v>3</v>
      </c>
      <c r="L479" s="17" t="s">
        <v>5224</v>
      </c>
      <c r="M479" s="10" t="s">
        <v>4968</v>
      </c>
    </row>
    <row r="480" spans="1:13" x14ac:dyDescent="0.3">
      <c r="A480" t="s">
        <v>3388</v>
      </c>
      <c r="B480" s="7"/>
      <c r="C480" s="7" t="s">
        <v>3389</v>
      </c>
      <c r="D480" s="7" t="s">
        <v>3389</v>
      </c>
      <c r="E480" s="7" t="s">
        <v>49</v>
      </c>
      <c r="F480" s="15" t="s">
        <v>3389</v>
      </c>
      <c r="G480" s="15" t="s">
        <v>4968</v>
      </c>
      <c r="H480" s="15" t="s">
        <v>3389</v>
      </c>
      <c r="I480" s="15" t="s">
        <v>3389</v>
      </c>
      <c r="J480" s="15" t="s">
        <v>3389</v>
      </c>
      <c r="K480" s="16">
        <v>5</v>
      </c>
      <c r="L480" s="17" t="s">
        <v>3389</v>
      </c>
      <c r="M480" s="10" t="s">
        <v>5225</v>
      </c>
    </row>
    <row r="481" spans="1:13" x14ac:dyDescent="0.3">
      <c r="A481" t="s">
        <v>3390</v>
      </c>
      <c r="B481" s="7"/>
      <c r="C481" s="7" t="s">
        <v>3391</v>
      </c>
      <c r="D481" s="7" t="s">
        <v>3391</v>
      </c>
      <c r="E481" s="7" t="s">
        <v>49</v>
      </c>
      <c r="F481" s="15" t="s">
        <v>3391</v>
      </c>
      <c r="G481" s="15" t="s">
        <v>4968</v>
      </c>
      <c r="H481" s="15" t="s">
        <v>3391</v>
      </c>
      <c r="I481" s="15" t="s">
        <v>3391</v>
      </c>
      <c r="J481" s="15" t="s">
        <v>3391</v>
      </c>
      <c r="K481" s="16">
        <v>4</v>
      </c>
      <c r="L481" s="17" t="s">
        <v>3391</v>
      </c>
      <c r="M481" s="10" t="s">
        <v>4968</v>
      </c>
    </row>
    <row r="482" spans="1:13" x14ac:dyDescent="0.3">
      <c r="A482" t="s">
        <v>3394</v>
      </c>
      <c r="B482" s="7"/>
      <c r="C482" s="7" t="s">
        <v>3395</v>
      </c>
      <c r="D482" s="7" t="s">
        <v>3395</v>
      </c>
      <c r="E482" s="7" t="s">
        <v>49</v>
      </c>
      <c r="F482" s="15" t="s">
        <v>3395</v>
      </c>
      <c r="G482" s="15" t="s">
        <v>4968</v>
      </c>
      <c r="H482" s="15" t="s">
        <v>3395</v>
      </c>
      <c r="I482" s="15" t="s">
        <v>3395</v>
      </c>
      <c r="J482" s="15" t="s">
        <v>3395</v>
      </c>
      <c r="K482" s="16">
        <v>4</v>
      </c>
      <c r="L482" s="17" t="s">
        <v>3395</v>
      </c>
      <c r="M482" s="10" t="s">
        <v>4968</v>
      </c>
    </row>
    <row r="483" spans="1:13" x14ac:dyDescent="0.3">
      <c r="A483" t="s">
        <v>3420</v>
      </c>
      <c r="B483" s="7" t="s">
        <v>3421</v>
      </c>
      <c r="C483" s="7" t="s">
        <v>3421</v>
      </c>
      <c r="D483" s="7" t="s">
        <v>3422</v>
      </c>
      <c r="E483" s="7" t="s">
        <v>15</v>
      </c>
      <c r="F483" s="15" t="s">
        <v>3421</v>
      </c>
      <c r="G483" s="15" t="s">
        <v>4968</v>
      </c>
      <c r="H483" s="15" t="s">
        <v>3421</v>
      </c>
      <c r="I483" s="15" t="s">
        <v>3421</v>
      </c>
      <c r="J483" s="15" t="s">
        <v>3421</v>
      </c>
      <c r="K483" s="16">
        <v>4</v>
      </c>
      <c r="L483" s="17" t="s">
        <v>3421</v>
      </c>
      <c r="M483" s="10" t="s">
        <v>4968</v>
      </c>
    </row>
    <row r="484" spans="1:13" x14ac:dyDescent="0.3">
      <c r="A484" t="s">
        <v>3429</v>
      </c>
      <c r="B484" s="7" t="s">
        <v>3430</v>
      </c>
      <c r="C484" s="7"/>
      <c r="D484" s="7" t="s">
        <v>3430</v>
      </c>
      <c r="E484" s="7" t="s">
        <v>34</v>
      </c>
      <c r="F484" s="15" t="s">
        <v>5226</v>
      </c>
      <c r="G484" s="15" t="s">
        <v>4968</v>
      </c>
      <c r="H484" s="15" t="s">
        <v>5226</v>
      </c>
      <c r="I484" s="15" t="s">
        <v>5226</v>
      </c>
      <c r="J484" s="15" t="s">
        <v>5226</v>
      </c>
      <c r="K484" s="16">
        <v>4</v>
      </c>
      <c r="L484" s="17" t="s">
        <v>5226</v>
      </c>
      <c r="M484" s="10" t="s">
        <v>4968</v>
      </c>
    </row>
    <row r="485" spans="1:13" x14ac:dyDescent="0.3">
      <c r="A485" t="s">
        <v>3431</v>
      </c>
      <c r="B485" s="7" t="s">
        <v>3432</v>
      </c>
      <c r="C485" s="7"/>
      <c r="D485" s="7" t="s">
        <v>3432</v>
      </c>
      <c r="E485" s="7" t="s">
        <v>34</v>
      </c>
      <c r="F485" s="15" t="s">
        <v>5227</v>
      </c>
      <c r="G485" s="15" t="s">
        <v>4968</v>
      </c>
      <c r="H485" s="15" t="s">
        <v>5227</v>
      </c>
      <c r="I485" s="15" t="s">
        <v>5227</v>
      </c>
      <c r="J485" s="15" t="s">
        <v>5227</v>
      </c>
      <c r="K485" s="16">
        <v>4</v>
      </c>
      <c r="L485" s="17" t="s">
        <v>5227</v>
      </c>
      <c r="M485" s="10" t="s">
        <v>4968</v>
      </c>
    </row>
    <row r="486" spans="1:13" x14ac:dyDescent="0.3">
      <c r="A486" t="s">
        <v>3439</v>
      </c>
      <c r="B486" s="7" t="s">
        <v>3440</v>
      </c>
      <c r="C486" s="7" t="s">
        <v>3441</v>
      </c>
      <c r="D486" s="7" t="s">
        <v>3441</v>
      </c>
      <c r="E486" s="7" t="s">
        <v>23</v>
      </c>
      <c r="F486" s="15" t="s">
        <v>3441</v>
      </c>
      <c r="G486" s="15" t="s">
        <v>4968</v>
      </c>
      <c r="H486" s="15" t="s">
        <v>3441</v>
      </c>
      <c r="I486" s="15" t="s">
        <v>3441</v>
      </c>
      <c r="J486" s="15" t="s">
        <v>3441</v>
      </c>
      <c r="K486" s="16">
        <v>5</v>
      </c>
      <c r="L486" s="17" t="s">
        <v>3441</v>
      </c>
      <c r="M486" s="10" t="s">
        <v>5228</v>
      </c>
    </row>
    <row r="487" spans="1:13" x14ac:dyDescent="0.3">
      <c r="A487" t="s">
        <v>3442</v>
      </c>
      <c r="B487" s="7" t="s">
        <v>3443</v>
      </c>
      <c r="C487" s="7" t="s">
        <v>3443</v>
      </c>
      <c r="D487" s="7" t="s">
        <v>3444</v>
      </c>
      <c r="E487" s="7" t="s">
        <v>15</v>
      </c>
      <c r="F487" s="15" t="s">
        <v>3443</v>
      </c>
      <c r="G487" s="15" t="s">
        <v>4968</v>
      </c>
      <c r="H487" s="15" t="s">
        <v>3443</v>
      </c>
      <c r="I487" s="15" t="s">
        <v>3443</v>
      </c>
      <c r="J487" s="15" t="s">
        <v>3443</v>
      </c>
      <c r="K487" s="16">
        <v>5</v>
      </c>
      <c r="L487" s="17" t="s">
        <v>3443</v>
      </c>
      <c r="M487" s="10" t="s">
        <v>5229</v>
      </c>
    </row>
    <row r="488" spans="1:13" x14ac:dyDescent="0.3">
      <c r="A488" t="s">
        <v>3447</v>
      </c>
      <c r="B488" s="7"/>
      <c r="C488" s="7"/>
      <c r="D488" s="7" t="s">
        <v>3448</v>
      </c>
      <c r="E488" s="7" t="s">
        <v>9</v>
      </c>
      <c r="F488" s="15" t="s">
        <v>3448</v>
      </c>
      <c r="G488" s="15" t="s">
        <v>4968</v>
      </c>
      <c r="H488" s="15" t="s">
        <v>3448</v>
      </c>
      <c r="I488" s="15" t="s">
        <v>3448</v>
      </c>
      <c r="J488" s="15" t="s">
        <v>3448</v>
      </c>
      <c r="K488" s="16">
        <v>5</v>
      </c>
      <c r="L488" s="17" t="s">
        <v>3448</v>
      </c>
      <c r="M488" s="10" t="s">
        <v>5230</v>
      </c>
    </row>
    <row r="489" spans="1:13" x14ac:dyDescent="0.3">
      <c r="A489" t="s">
        <v>3449</v>
      </c>
      <c r="B489" s="7" t="s">
        <v>3450</v>
      </c>
      <c r="C489" s="7"/>
      <c r="D489" s="7" t="s">
        <v>3451</v>
      </c>
      <c r="E489" s="7" t="s">
        <v>9</v>
      </c>
      <c r="F489" s="15" t="s">
        <v>3451</v>
      </c>
      <c r="G489" s="15" t="s">
        <v>4968</v>
      </c>
      <c r="H489" s="15" t="s">
        <v>3451</v>
      </c>
      <c r="I489" s="15" t="s">
        <v>3451</v>
      </c>
      <c r="J489" s="15" t="s">
        <v>3451</v>
      </c>
      <c r="K489" s="16">
        <v>5</v>
      </c>
      <c r="L489" s="17" t="s">
        <v>3451</v>
      </c>
      <c r="M489" s="10" t="s">
        <v>5231</v>
      </c>
    </row>
    <row r="490" spans="1:13" x14ac:dyDescent="0.3">
      <c r="A490" t="s">
        <v>3452</v>
      </c>
      <c r="B490" s="7"/>
      <c r="C490" s="7" t="s">
        <v>3453</v>
      </c>
      <c r="D490" s="7" t="s">
        <v>3453</v>
      </c>
      <c r="E490" s="7" t="s">
        <v>49</v>
      </c>
      <c r="F490" s="15" t="s">
        <v>3453</v>
      </c>
      <c r="G490" s="15" t="s">
        <v>4968</v>
      </c>
      <c r="H490" s="15" t="s">
        <v>3453</v>
      </c>
      <c r="I490" s="15" t="s">
        <v>3453</v>
      </c>
      <c r="J490" s="15" t="s">
        <v>3453</v>
      </c>
      <c r="K490" s="16">
        <v>5</v>
      </c>
      <c r="L490" s="17" t="s">
        <v>3453</v>
      </c>
      <c r="M490" s="10" t="s">
        <v>5232</v>
      </c>
    </row>
    <row r="491" spans="1:13" x14ac:dyDescent="0.3">
      <c r="A491" t="s">
        <v>3454</v>
      </c>
      <c r="B491" s="7" t="s">
        <v>3455</v>
      </c>
      <c r="C491" s="7" t="s">
        <v>3456</v>
      </c>
      <c r="D491" s="7" t="s">
        <v>3456</v>
      </c>
      <c r="E491" s="7" t="s">
        <v>23</v>
      </c>
      <c r="F491" s="15" t="s">
        <v>3455</v>
      </c>
      <c r="G491" s="15" t="s">
        <v>4968</v>
      </c>
      <c r="H491" s="15" t="s">
        <v>3456</v>
      </c>
      <c r="I491" s="15" t="s">
        <v>3455</v>
      </c>
      <c r="J491" s="15" t="s">
        <v>3455</v>
      </c>
      <c r="K491" s="16">
        <v>3</v>
      </c>
      <c r="L491" s="17" t="s">
        <v>3455</v>
      </c>
      <c r="M491" s="10" t="s">
        <v>4968</v>
      </c>
    </row>
    <row r="492" spans="1:13" x14ac:dyDescent="0.3">
      <c r="A492" t="s">
        <v>3457</v>
      </c>
      <c r="B492" s="7" t="s">
        <v>3458</v>
      </c>
      <c r="C492" s="7" t="s">
        <v>3459</v>
      </c>
      <c r="D492" s="7" t="s">
        <v>3460</v>
      </c>
      <c r="E492" s="7" t="s">
        <v>295</v>
      </c>
      <c r="F492" s="15" t="s">
        <v>5233</v>
      </c>
      <c r="G492" s="15" t="s">
        <v>4968</v>
      </c>
      <c r="H492" s="15" t="s">
        <v>3459</v>
      </c>
      <c r="I492" s="15" t="s">
        <v>4968</v>
      </c>
      <c r="J492" s="15" t="s">
        <v>5234</v>
      </c>
      <c r="K492" s="16">
        <v>3</v>
      </c>
      <c r="L492" s="17" t="s">
        <v>3459</v>
      </c>
      <c r="M492" s="10" t="s">
        <v>5235</v>
      </c>
    </row>
    <row r="493" spans="1:13" x14ac:dyDescent="0.3">
      <c r="A493" t="s">
        <v>3463</v>
      </c>
      <c r="B493" s="7" t="s">
        <v>3464</v>
      </c>
      <c r="C493" s="7" t="s">
        <v>3443</v>
      </c>
      <c r="D493" s="7" t="s">
        <v>3443</v>
      </c>
      <c r="E493" s="7" t="s">
        <v>23</v>
      </c>
      <c r="F493" s="15" t="s">
        <v>3464</v>
      </c>
      <c r="G493" s="15" t="s">
        <v>4968</v>
      </c>
      <c r="H493" s="15" t="s">
        <v>3443</v>
      </c>
      <c r="I493" s="15" t="s">
        <v>4968</v>
      </c>
      <c r="J493" s="15" t="s">
        <v>3443</v>
      </c>
      <c r="K493" s="16">
        <v>4</v>
      </c>
      <c r="L493" s="17" t="s">
        <v>3443</v>
      </c>
      <c r="M493" s="10" t="s">
        <v>5229</v>
      </c>
    </row>
    <row r="494" spans="1:13" x14ac:dyDescent="0.3">
      <c r="A494" t="s">
        <v>3465</v>
      </c>
      <c r="B494" s="7"/>
      <c r="C494" s="7"/>
      <c r="D494" s="7" t="s">
        <v>3466</v>
      </c>
      <c r="E494" s="7" t="s">
        <v>9</v>
      </c>
      <c r="F494" s="15" t="s">
        <v>3466</v>
      </c>
      <c r="G494" s="15" t="s">
        <v>4968</v>
      </c>
      <c r="H494" s="15" t="s">
        <v>3466</v>
      </c>
      <c r="I494" s="15" t="s">
        <v>4968</v>
      </c>
      <c r="J494" s="15" t="s">
        <v>3466</v>
      </c>
      <c r="K494" s="16">
        <v>4</v>
      </c>
      <c r="L494" s="17" t="s">
        <v>3466</v>
      </c>
      <c r="M494" s="10" t="s">
        <v>5236</v>
      </c>
    </row>
    <row r="495" spans="1:13" x14ac:dyDescent="0.3">
      <c r="A495" t="s">
        <v>3467</v>
      </c>
      <c r="B495" s="7"/>
      <c r="C495" s="7" t="s">
        <v>3468</v>
      </c>
      <c r="D495" s="7" t="s">
        <v>3469</v>
      </c>
      <c r="E495" s="7" t="s">
        <v>9</v>
      </c>
      <c r="F495" s="15" t="s">
        <v>3468</v>
      </c>
      <c r="G495" s="15" t="s">
        <v>4968</v>
      </c>
      <c r="H495" s="15" t="s">
        <v>3468</v>
      </c>
      <c r="I495" s="15" t="s">
        <v>4968</v>
      </c>
      <c r="J495" s="15" t="s">
        <v>3468</v>
      </c>
      <c r="K495" s="16">
        <v>4</v>
      </c>
      <c r="L495" s="17" t="s">
        <v>3468</v>
      </c>
      <c r="M495" s="10" t="s">
        <v>5237</v>
      </c>
    </row>
    <row r="496" spans="1:13" x14ac:dyDescent="0.3">
      <c r="A496" t="s">
        <v>3470</v>
      </c>
      <c r="B496" s="7"/>
      <c r="C496" s="7"/>
      <c r="D496" s="7" t="s">
        <v>3471</v>
      </c>
      <c r="E496" s="7" t="s">
        <v>9</v>
      </c>
      <c r="F496" s="15" t="s">
        <v>3471</v>
      </c>
      <c r="G496" s="15" t="s">
        <v>4968</v>
      </c>
      <c r="H496" s="15" t="s">
        <v>3471</v>
      </c>
      <c r="I496" s="15" t="s">
        <v>4968</v>
      </c>
      <c r="J496" s="15" t="s">
        <v>3471</v>
      </c>
      <c r="K496" s="16">
        <v>4</v>
      </c>
      <c r="L496" s="17" t="s">
        <v>3471</v>
      </c>
      <c r="M496" s="10" t="s">
        <v>5238</v>
      </c>
    </row>
    <row r="497" spans="1:13" x14ac:dyDescent="0.3">
      <c r="A497" t="s">
        <v>3478</v>
      </c>
      <c r="B497" s="7" t="s">
        <v>3479</v>
      </c>
      <c r="C497" s="7"/>
      <c r="D497" s="7" t="s">
        <v>3479</v>
      </c>
      <c r="E497" s="7" t="s">
        <v>34</v>
      </c>
      <c r="F497" s="15" t="s">
        <v>3479</v>
      </c>
      <c r="G497" s="15" t="s">
        <v>4968</v>
      </c>
      <c r="H497" s="15" t="s">
        <v>3479</v>
      </c>
      <c r="I497" s="15" t="s">
        <v>4968</v>
      </c>
      <c r="J497" s="15" t="s">
        <v>3479</v>
      </c>
      <c r="K497" s="16">
        <v>4</v>
      </c>
      <c r="L497" s="17" t="s">
        <v>3479</v>
      </c>
      <c r="M497" s="10" t="s">
        <v>5239</v>
      </c>
    </row>
    <row r="498" spans="1:13" x14ac:dyDescent="0.3">
      <c r="A498" t="s">
        <v>3488</v>
      </c>
      <c r="B498" s="7" t="s">
        <v>3489</v>
      </c>
      <c r="C498" s="7"/>
      <c r="D498" s="7" t="s">
        <v>3489</v>
      </c>
      <c r="E498" s="7" t="s">
        <v>34</v>
      </c>
      <c r="F498" s="15" t="s">
        <v>3489</v>
      </c>
      <c r="G498" s="15" t="s">
        <v>4968</v>
      </c>
      <c r="H498" s="15" t="s">
        <v>3489</v>
      </c>
      <c r="I498" s="15" t="s">
        <v>4968</v>
      </c>
      <c r="J498" s="15" t="s">
        <v>3489</v>
      </c>
      <c r="K498" s="16">
        <v>4</v>
      </c>
      <c r="L498" s="17" t="s">
        <v>3489</v>
      </c>
      <c r="M498" s="10" t="s">
        <v>5240</v>
      </c>
    </row>
    <row r="499" spans="1:13" x14ac:dyDescent="0.3">
      <c r="A499" t="s">
        <v>3506</v>
      </c>
      <c r="B499" s="7"/>
      <c r="C499" s="7" t="s">
        <v>3507</v>
      </c>
      <c r="D499" s="7" t="s">
        <v>3507</v>
      </c>
      <c r="E499" s="7" t="s">
        <v>49</v>
      </c>
      <c r="F499" s="15" t="s">
        <v>3507</v>
      </c>
      <c r="G499" s="15" t="s">
        <v>4968</v>
      </c>
      <c r="H499" s="15" t="s">
        <v>3507</v>
      </c>
      <c r="I499" s="15" t="s">
        <v>4968</v>
      </c>
      <c r="J499" s="15" t="s">
        <v>3507</v>
      </c>
      <c r="K499" s="16">
        <v>4</v>
      </c>
      <c r="L499" s="17" t="s">
        <v>3507</v>
      </c>
      <c r="M499" s="10" t="s">
        <v>5241</v>
      </c>
    </row>
    <row r="500" spans="1:13" x14ac:dyDescent="0.3">
      <c r="A500" t="s">
        <v>3510</v>
      </c>
      <c r="B500" s="7" t="s">
        <v>3511</v>
      </c>
      <c r="C500" s="7" t="s">
        <v>3512</v>
      </c>
      <c r="D500" s="7" t="s">
        <v>3512</v>
      </c>
      <c r="E500" s="7" t="s">
        <v>23</v>
      </c>
      <c r="F500" s="15" t="s">
        <v>3511</v>
      </c>
      <c r="G500" s="15" t="s">
        <v>4968</v>
      </c>
      <c r="H500" s="15" t="s">
        <v>3512</v>
      </c>
      <c r="I500" s="15" t="s">
        <v>4968</v>
      </c>
      <c r="J500" s="15" t="s">
        <v>3511</v>
      </c>
      <c r="K500" s="16">
        <v>3</v>
      </c>
      <c r="L500" s="17" t="s">
        <v>3512</v>
      </c>
      <c r="M500" s="28" t="s">
        <v>5242</v>
      </c>
    </row>
    <row r="501" spans="1:13" x14ac:dyDescent="0.3">
      <c r="A501" t="s">
        <v>3516</v>
      </c>
      <c r="B501" s="7" t="s">
        <v>3517</v>
      </c>
      <c r="C501" s="7"/>
      <c r="D501" s="7" t="s">
        <v>3517</v>
      </c>
      <c r="E501" s="7" t="s">
        <v>34</v>
      </c>
      <c r="F501" s="15" t="s">
        <v>3517</v>
      </c>
      <c r="G501" s="15" t="s">
        <v>4968</v>
      </c>
      <c r="H501" s="15" t="s">
        <v>3517</v>
      </c>
      <c r="I501" s="15" t="s">
        <v>4968</v>
      </c>
      <c r="J501" s="15" t="s">
        <v>3517</v>
      </c>
      <c r="K501" s="16">
        <v>3</v>
      </c>
      <c r="L501" s="17" t="s">
        <v>3517</v>
      </c>
      <c r="M501" s="10" t="s">
        <v>4968</v>
      </c>
    </row>
    <row r="502" spans="1:13" x14ac:dyDescent="0.3">
      <c r="A502" t="s">
        <v>3518</v>
      </c>
      <c r="B502" s="7" t="s">
        <v>3519</v>
      </c>
      <c r="C502" s="7"/>
      <c r="D502" s="7" t="s">
        <v>3519</v>
      </c>
      <c r="E502" s="7" t="s">
        <v>34</v>
      </c>
      <c r="F502" s="15" t="s">
        <v>3519</v>
      </c>
      <c r="G502" s="15" t="s">
        <v>4968</v>
      </c>
      <c r="H502" s="15" t="s">
        <v>3519</v>
      </c>
      <c r="I502" s="15" t="s">
        <v>4968</v>
      </c>
      <c r="J502" s="15" t="s">
        <v>3519</v>
      </c>
      <c r="K502" s="16">
        <v>3</v>
      </c>
      <c r="L502" s="17" t="s">
        <v>3519</v>
      </c>
      <c r="M502" s="10" t="s">
        <v>4968</v>
      </c>
    </row>
    <row r="503" spans="1:13" x14ac:dyDescent="0.3">
      <c r="A503" t="s">
        <v>3534</v>
      </c>
      <c r="B503" s="7" t="s">
        <v>3535</v>
      </c>
      <c r="C503" s="7"/>
      <c r="D503" s="7" t="s">
        <v>3535</v>
      </c>
      <c r="E503" s="7" t="s">
        <v>34</v>
      </c>
      <c r="F503" s="15" t="s">
        <v>3531</v>
      </c>
      <c r="G503" s="15" t="s">
        <v>4968</v>
      </c>
      <c r="H503" s="15" t="s">
        <v>3531</v>
      </c>
      <c r="I503" s="15" t="s">
        <v>4968</v>
      </c>
      <c r="J503" s="15" t="s">
        <v>3531</v>
      </c>
      <c r="K503" s="16">
        <v>3</v>
      </c>
      <c r="L503" s="17" t="s">
        <v>3531</v>
      </c>
      <c r="M503" s="10" t="s">
        <v>4968</v>
      </c>
    </row>
    <row r="504" spans="1:13" x14ac:dyDescent="0.3">
      <c r="A504" t="s">
        <v>3536</v>
      </c>
      <c r="B504" s="7"/>
      <c r="C504" s="7"/>
      <c r="D504" s="7" t="s">
        <v>3537</v>
      </c>
      <c r="E504" s="7" t="s">
        <v>9</v>
      </c>
      <c r="F504" s="15" t="s">
        <v>5243</v>
      </c>
      <c r="G504" s="15" t="s">
        <v>4968</v>
      </c>
      <c r="H504" s="15" t="s">
        <v>5243</v>
      </c>
      <c r="I504" s="15" t="s">
        <v>5243</v>
      </c>
      <c r="J504" s="15" t="s">
        <v>4968</v>
      </c>
      <c r="K504" s="16">
        <v>3</v>
      </c>
      <c r="L504" s="17" t="s">
        <v>5243</v>
      </c>
      <c r="M504" s="10" t="s">
        <v>4968</v>
      </c>
    </row>
    <row r="505" spans="1:13" x14ac:dyDescent="0.3">
      <c r="A505" t="s">
        <v>3538</v>
      </c>
      <c r="B505" s="7"/>
      <c r="C505" s="7"/>
      <c r="D505" s="7" t="s">
        <v>3539</v>
      </c>
      <c r="E505" s="7" t="s">
        <v>9</v>
      </c>
      <c r="F505" s="15" t="s">
        <v>3539</v>
      </c>
      <c r="G505" s="15" t="s">
        <v>4968</v>
      </c>
      <c r="H505" s="15" t="s">
        <v>3539</v>
      </c>
      <c r="I505" s="15" t="s">
        <v>3539</v>
      </c>
      <c r="J505" s="15" t="s">
        <v>3539</v>
      </c>
      <c r="K505" s="16">
        <v>4</v>
      </c>
      <c r="L505" s="17" t="s">
        <v>3539</v>
      </c>
      <c r="M505" s="10" t="s">
        <v>4968</v>
      </c>
    </row>
    <row r="506" spans="1:13" x14ac:dyDescent="0.3">
      <c r="A506" t="s">
        <v>3540</v>
      </c>
      <c r="B506" s="7" t="s">
        <v>3541</v>
      </c>
      <c r="C506" s="7" t="s">
        <v>3541</v>
      </c>
      <c r="D506" s="7" t="s">
        <v>3542</v>
      </c>
      <c r="E506" s="7" t="s">
        <v>15</v>
      </c>
      <c r="F506" s="15" t="s">
        <v>3541</v>
      </c>
      <c r="G506" s="15" t="s">
        <v>4968</v>
      </c>
      <c r="H506" s="15" t="s">
        <v>3541</v>
      </c>
      <c r="I506" s="15" t="s">
        <v>3541</v>
      </c>
      <c r="J506" s="15" t="s">
        <v>3541</v>
      </c>
      <c r="K506" s="16">
        <v>4</v>
      </c>
      <c r="L506" s="17" t="s">
        <v>3541</v>
      </c>
      <c r="M506" s="10" t="s">
        <v>4968</v>
      </c>
    </row>
    <row r="507" spans="1:13" x14ac:dyDescent="0.3">
      <c r="A507" t="s">
        <v>3545</v>
      </c>
      <c r="B507" s="7" t="s">
        <v>3546</v>
      </c>
      <c r="C507" s="7" t="s">
        <v>3547</v>
      </c>
      <c r="D507" s="7" t="s">
        <v>3547</v>
      </c>
      <c r="E507" s="7" t="s">
        <v>23</v>
      </c>
      <c r="F507" s="15" t="s">
        <v>3547</v>
      </c>
      <c r="G507" s="15" t="s">
        <v>4968</v>
      </c>
      <c r="H507" s="15" t="s">
        <v>3547</v>
      </c>
      <c r="I507" s="15" t="s">
        <v>3547</v>
      </c>
      <c r="J507" s="15" t="s">
        <v>3547</v>
      </c>
      <c r="K507" s="16">
        <v>5</v>
      </c>
      <c r="L507" s="17" t="s">
        <v>3547</v>
      </c>
      <c r="M507" s="10" t="s">
        <v>5244</v>
      </c>
    </row>
    <row r="508" spans="1:13" x14ac:dyDescent="0.3">
      <c r="A508" t="s">
        <v>3556</v>
      </c>
      <c r="B508" s="7" t="s">
        <v>3557</v>
      </c>
      <c r="C508" s="7"/>
      <c r="D508" s="7" t="s">
        <v>3557</v>
      </c>
      <c r="E508" s="7" t="s">
        <v>34</v>
      </c>
      <c r="F508" s="15" t="s">
        <v>3557</v>
      </c>
      <c r="G508" s="15" t="s">
        <v>4968</v>
      </c>
      <c r="H508" s="15" t="s">
        <v>3557</v>
      </c>
      <c r="I508" s="15" t="s">
        <v>3557</v>
      </c>
      <c r="J508" s="15" t="s">
        <v>3557</v>
      </c>
      <c r="K508" s="16">
        <v>4</v>
      </c>
      <c r="L508" s="17" t="s">
        <v>3557</v>
      </c>
      <c r="M508" s="10" t="s">
        <v>4968</v>
      </c>
    </row>
    <row r="509" spans="1:13" x14ac:dyDescent="0.3">
      <c r="A509" t="s">
        <v>3558</v>
      </c>
      <c r="B509" s="7" t="s">
        <v>3559</v>
      </c>
      <c r="C509" s="7"/>
      <c r="D509" s="7" t="s">
        <v>3559</v>
      </c>
      <c r="E509" s="7" t="s">
        <v>34</v>
      </c>
      <c r="F509" s="15" t="s">
        <v>3559</v>
      </c>
      <c r="G509" s="15" t="s">
        <v>4968</v>
      </c>
      <c r="H509" s="15" t="s">
        <v>3559</v>
      </c>
      <c r="I509" s="15" t="s">
        <v>3559</v>
      </c>
      <c r="J509" s="15" t="s">
        <v>3559</v>
      </c>
      <c r="K509" s="16">
        <v>5</v>
      </c>
      <c r="L509" s="17" t="s">
        <v>3559</v>
      </c>
      <c r="M509" s="10" t="s">
        <v>5245</v>
      </c>
    </row>
    <row r="510" spans="1:13" x14ac:dyDescent="0.3">
      <c r="A510" t="s">
        <v>3575</v>
      </c>
      <c r="B510" s="7"/>
      <c r="C510" s="7" t="s">
        <v>3576</v>
      </c>
      <c r="D510" s="7" t="s">
        <v>3576</v>
      </c>
      <c r="E510" s="7" t="s">
        <v>49</v>
      </c>
      <c r="F510" s="15" t="s">
        <v>3576</v>
      </c>
      <c r="G510" s="15" t="s">
        <v>4968</v>
      </c>
      <c r="H510" s="15" t="s">
        <v>3576</v>
      </c>
      <c r="I510" s="15" t="s">
        <v>3576</v>
      </c>
      <c r="J510" s="15" t="s">
        <v>3576</v>
      </c>
      <c r="K510" s="16">
        <v>5</v>
      </c>
      <c r="L510" s="17" t="s">
        <v>3576</v>
      </c>
      <c r="M510" s="10" t="s">
        <v>5246</v>
      </c>
    </row>
    <row r="511" spans="1:13" x14ac:dyDescent="0.3">
      <c r="A511" t="s">
        <v>3583</v>
      </c>
      <c r="B511" s="7" t="s">
        <v>3584</v>
      </c>
      <c r="C511" s="7" t="s">
        <v>3584</v>
      </c>
      <c r="D511" s="7"/>
      <c r="E511" s="7" t="s">
        <v>323</v>
      </c>
      <c r="F511" s="15" t="s">
        <v>3584</v>
      </c>
      <c r="G511" s="15" t="s">
        <v>4968</v>
      </c>
      <c r="H511" s="15" t="s">
        <v>3584</v>
      </c>
      <c r="I511" s="15" t="s">
        <v>3584</v>
      </c>
      <c r="J511" s="15" t="s">
        <v>3584</v>
      </c>
      <c r="K511" s="16">
        <v>4</v>
      </c>
      <c r="L511" s="17" t="s">
        <v>3584</v>
      </c>
      <c r="M511" s="10" t="s">
        <v>4968</v>
      </c>
    </row>
    <row r="512" spans="1:13" x14ac:dyDescent="0.3">
      <c r="A512" t="s">
        <v>3589</v>
      </c>
      <c r="B512" s="7" t="s">
        <v>3590</v>
      </c>
      <c r="C512" s="7" t="s">
        <v>3591</v>
      </c>
      <c r="D512" s="7" t="s">
        <v>3591</v>
      </c>
      <c r="E512" s="7" t="s">
        <v>23</v>
      </c>
      <c r="F512" s="15" t="s">
        <v>3590</v>
      </c>
      <c r="G512" s="15" t="s">
        <v>4968</v>
      </c>
      <c r="H512" s="15" t="s">
        <v>3591</v>
      </c>
      <c r="I512" s="15" t="s">
        <v>3590</v>
      </c>
      <c r="J512" s="15" t="s">
        <v>3590</v>
      </c>
      <c r="K512" s="16">
        <v>4</v>
      </c>
      <c r="L512" s="17" t="s">
        <v>3590</v>
      </c>
      <c r="M512" s="10" t="s">
        <v>4968</v>
      </c>
    </row>
    <row r="513" spans="1:13" x14ac:dyDescent="0.3">
      <c r="A513" t="s">
        <v>3598</v>
      </c>
      <c r="B513" s="7"/>
      <c r="C513" s="7"/>
      <c r="D513" s="7" t="s">
        <v>3599</v>
      </c>
      <c r="E513" s="7" t="s">
        <v>9</v>
      </c>
      <c r="F513" s="15" t="s">
        <v>3599</v>
      </c>
      <c r="G513" s="15" t="s">
        <v>4968</v>
      </c>
      <c r="H513" s="15" t="s">
        <v>3599</v>
      </c>
      <c r="I513" s="15" t="s">
        <v>3599</v>
      </c>
      <c r="J513" s="15" t="s">
        <v>3599</v>
      </c>
      <c r="K513" s="16">
        <v>5</v>
      </c>
      <c r="L513" s="17" t="s">
        <v>3599</v>
      </c>
      <c r="M513" s="10" t="s">
        <v>5247</v>
      </c>
    </row>
    <row r="514" spans="1:13" x14ac:dyDescent="0.3">
      <c r="A514" t="s">
        <v>3624</v>
      </c>
      <c r="B514" s="7" t="s">
        <v>3625</v>
      </c>
      <c r="C514" s="7" t="s">
        <v>3626</v>
      </c>
      <c r="D514" s="7" t="s">
        <v>3627</v>
      </c>
      <c r="E514" s="7" t="s">
        <v>295</v>
      </c>
      <c r="F514" s="15" t="s">
        <v>5248</v>
      </c>
      <c r="G514" s="15" t="s">
        <v>4968</v>
      </c>
      <c r="H514" s="15" t="s">
        <v>3626</v>
      </c>
      <c r="I514" s="15" t="s">
        <v>5248</v>
      </c>
      <c r="J514" s="15" t="s">
        <v>5248</v>
      </c>
      <c r="K514" s="16">
        <v>4</v>
      </c>
      <c r="L514" s="17" t="s">
        <v>5248</v>
      </c>
      <c r="M514" s="10" t="s">
        <v>5249</v>
      </c>
    </row>
    <row r="515" spans="1:13" x14ac:dyDescent="0.3">
      <c r="A515" t="s">
        <v>3630</v>
      </c>
      <c r="B515" s="7" t="s">
        <v>3631</v>
      </c>
      <c r="C515" s="7" t="s">
        <v>3632</v>
      </c>
      <c r="D515" s="7" t="s">
        <v>3632</v>
      </c>
      <c r="E515" s="7" t="s">
        <v>23</v>
      </c>
      <c r="F515" s="15" t="s">
        <v>3631</v>
      </c>
      <c r="G515" s="15" t="s">
        <v>4968</v>
      </c>
      <c r="H515" s="15" t="s">
        <v>3632</v>
      </c>
      <c r="I515" s="15" t="s">
        <v>3632</v>
      </c>
      <c r="J515" s="15" t="s">
        <v>4968</v>
      </c>
      <c r="K515" s="16">
        <v>2</v>
      </c>
      <c r="L515" s="17" t="s">
        <v>3632</v>
      </c>
      <c r="M515" s="10" t="s">
        <v>4968</v>
      </c>
    </row>
    <row r="516" spans="1:13" x14ac:dyDescent="0.3">
      <c r="A516" t="s">
        <v>3633</v>
      </c>
      <c r="B516" s="7"/>
      <c r="C516" s="7" t="s">
        <v>3634</v>
      </c>
      <c r="D516" s="7" t="s">
        <v>3634</v>
      </c>
      <c r="E516" s="7" t="s">
        <v>49</v>
      </c>
      <c r="F516" s="15" t="s">
        <v>3634</v>
      </c>
      <c r="G516" s="15" t="s">
        <v>4968</v>
      </c>
      <c r="H516" s="15" t="s">
        <v>3634</v>
      </c>
      <c r="I516" s="15" t="s">
        <v>4968</v>
      </c>
      <c r="J516" s="15" t="s">
        <v>4968</v>
      </c>
      <c r="K516" s="16">
        <v>3</v>
      </c>
      <c r="L516" s="17" t="s">
        <v>3634</v>
      </c>
      <c r="M516" s="10" t="s">
        <v>5250</v>
      </c>
    </row>
    <row r="517" spans="1:13" x14ac:dyDescent="0.3">
      <c r="A517" t="s">
        <v>3635</v>
      </c>
      <c r="B517" s="7" t="s">
        <v>3636</v>
      </c>
      <c r="C517" s="7"/>
      <c r="D517" s="7" t="s">
        <v>3636</v>
      </c>
      <c r="E517" s="7" t="s">
        <v>34</v>
      </c>
      <c r="F517" s="15" t="s">
        <v>3636</v>
      </c>
      <c r="G517" s="15" t="s">
        <v>4968</v>
      </c>
      <c r="H517" s="15" t="s">
        <v>3636</v>
      </c>
      <c r="I517" s="15" t="s">
        <v>3636</v>
      </c>
      <c r="J517" s="15" t="s">
        <v>3636</v>
      </c>
      <c r="K517" s="16">
        <v>5</v>
      </c>
      <c r="L517" s="17" t="s">
        <v>3636</v>
      </c>
      <c r="M517" s="10" t="s">
        <v>5251</v>
      </c>
    </row>
    <row r="518" spans="1:13" x14ac:dyDescent="0.3">
      <c r="A518" t="s">
        <v>3637</v>
      </c>
      <c r="B518" s="7" t="s">
        <v>3638</v>
      </c>
      <c r="C518" s="7" t="s">
        <v>3639</v>
      </c>
      <c r="D518" s="7" t="s">
        <v>3639</v>
      </c>
      <c r="E518" s="7" t="s">
        <v>23</v>
      </c>
      <c r="F518" s="15" t="s">
        <v>3639</v>
      </c>
      <c r="G518" s="15" t="s">
        <v>4968</v>
      </c>
      <c r="H518" s="15" t="s">
        <v>3639</v>
      </c>
      <c r="I518" s="15" t="s">
        <v>3639</v>
      </c>
      <c r="J518" s="15" t="s">
        <v>4968</v>
      </c>
      <c r="K518" s="16">
        <v>3</v>
      </c>
      <c r="L518" s="17" t="s">
        <v>3639</v>
      </c>
      <c r="M518" s="10" t="s">
        <v>4968</v>
      </c>
    </row>
    <row r="519" spans="1:13" x14ac:dyDescent="0.3">
      <c r="A519" t="s">
        <v>3646</v>
      </c>
      <c r="B519" s="7" t="s">
        <v>3647</v>
      </c>
      <c r="C519" s="7" t="s">
        <v>3647</v>
      </c>
      <c r="D519" s="7" t="s">
        <v>3648</v>
      </c>
      <c r="E519" s="7" t="s">
        <v>15</v>
      </c>
      <c r="F519" s="15" t="s">
        <v>3647</v>
      </c>
      <c r="G519" s="15" t="s">
        <v>4968</v>
      </c>
      <c r="H519" s="15" t="s">
        <v>3647</v>
      </c>
      <c r="I519" s="15" t="s">
        <v>3647</v>
      </c>
      <c r="J519" s="15" t="s">
        <v>3647</v>
      </c>
      <c r="K519" s="16">
        <v>4</v>
      </c>
      <c r="L519" s="17" t="s">
        <v>3647</v>
      </c>
      <c r="M519" s="10" t="s">
        <v>4968</v>
      </c>
    </row>
    <row r="520" spans="1:13" x14ac:dyDescent="0.3">
      <c r="A520" t="s">
        <v>3649</v>
      </c>
      <c r="B520" s="7" t="s">
        <v>3650</v>
      </c>
      <c r="C520" s="7" t="s">
        <v>3650</v>
      </c>
      <c r="D520" s="7"/>
      <c r="E520" s="7" t="s">
        <v>323</v>
      </c>
      <c r="F520" s="15" t="s">
        <v>3650</v>
      </c>
      <c r="G520" s="15" t="s">
        <v>4968</v>
      </c>
      <c r="H520" s="15" t="s">
        <v>3650</v>
      </c>
      <c r="I520" s="15" t="s">
        <v>3650</v>
      </c>
      <c r="J520" s="15" t="s">
        <v>3650</v>
      </c>
      <c r="K520" s="16">
        <v>4</v>
      </c>
      <c r="L520" s="17" t="s">
        <v>3650</v>
      </c>
      <c r="M520" s="10" t="s">
        <v>4968</v>
      </c>
    </row>
    <row r="521" spans="1:13" x14ac:dyDescent="0.3">
      <c r="A521" t="s">
        <v>3651</v>
      </c>
      <c r="B521" s="7" t="s">
        <v>3652</v>
      </c>
      <c r="C521" s="7"/>
      <c r="D521" s="7" t="s">
        <v>3652</v>
      </c>
      <c r="E521" s="7" t="s">
        <v>34</v>
      </c>
      <c r="F521" s="15" t="s">
        <v>3652</v>
      </c>
      <c r="G521" s="15" t="s">
        <v>4968</v>
      </c>
      <c r="H521" s="15" t="s">
        <v>3652</v>
      </c>
      <c r="I521" s="15" t="s">
        <v>3652</v>
      </c>
      <c r="J521" s="15" t="s">
        <v>3652</v>
      </c>
      <c r="K521" s="16">
        <v>4</v>
      </c>
      <c r="L521" s="17" t="s">
        <v>3652</v>
      </c>
      <c r="M521" s="10" t="s">
        <v>4968</v>
      </c>
    </row>
    <row r="522" spans="1:13" x14ac:dyDescent="0.3">
      <c r="A522" t="s">
        <v>3656</v>
      </c>
      <c r="B522" s="7"/>
      <c r="C522" s="7" t="s">
        <v>3657</v>
      </c>
      <c r="D522" s="7" t="s">
        <v>3657</v>
      </c>
      <c r="E522" s="7" t="s">
        <v>49</v>
      </c>
      <c r="F522" s="15" t="s">
        <v>3657</v>
      </c>
      <c r="G522" s="15" t="s">
        <v>4968</v>
      </c>
      <c r="H522" s="15" t="s">
        <v>3657</v>
      </c>
      <c r="I522" s="15" t="s">
        <v>3657</v>
      </c>
      <c r="J522" s="15" t="s">
        <v>3657</v>
      </c>
      <c r="K522" s="16">
        <v>5</v>
      </c>
      <c r="L522" s="17" t="s">
        <v>3657</v>
      </c>
      <c r="M522" s="10" t="s">
        <v>5252</v>
      </c>
    </row>
    <row r="523" spans="1:13" x14ac:dyDescent="0.3">
      <c r="A523" t="s">
        <v>3662</v>
      </c>
      <c r="B523" s="7"/>
      <c r="C523" s="7" t="s">
        <v>3663</v>
      </c>
      <c r="D523" s="7" t="s">
        <v>3663</v>
      </c>
      <c r="E523" s="7" t="s">
        <v>49</v>
      </c>
      <c r="F523" s="15" t="s">
        <v>3663</v>
      </c>
      <c r="G523" s="15" t="s">
        <v>4968</v>
      </c>
      <c r="H523" s="15" t="s">
        <v>3663</v>
      </c>
      <c r="I523" s="15" t="s">
        <v>3663</v>
      </c>
      <c r="J523" s="15" t="s">
        <v>3663</v>
      </c>
      <c r="K523" s="16">
        <v>5</v>
      </c>
      <c r="L523" s="17" t="s">
        <v>3663</v>
      </c>
      <c r="M523" s="10" t="s">
        <v>5253</v>
      </c>
    </row>
    <row r="524" spans="1:13" x14ac:dyDescent="0.3">
      <c r="A524" t="s">
        <v>3664</v>
      </c>
      <c r="B524" s="7" t="s">
        <v>3665</v>
      </c>
      <c r="C524" s="7"/>
      <c r="D524" s="7" t="s">
        <v>3665</v>
      </c>
      <c r="E524" s="7" t="s">
        <v>34</v>
      </c>
      <c r="F524" s="15" t="s">
        <v>3665</v>
      </c>
      <c r="G524" s="15" t="s">
        <v>4968</v>
      </c>
      <c r="H524" s="15" t="s">
        <v>3665</v>
      </c>
      <c r="I524" s="15" t="s">
        <v>3665</v>
      </c>
      <c r="J524" s="15" t="s">
        <v>3665</v>
      </c>
      <c r="K524" s="16">
        <v>5</v>
      </c>
      <c r="L524" s="17" t="s">
        <v>3665</v>
      </c>
      <c r="M524" s="10" t="s">
        <v>5254</v>
      </c>
    </row>
    <row r="525" spans="1:13" x14ac:dyDescent="0.3">
      <c r="A525" t="s">
        <v>3670</v>
      </c>
      <c r="B525" s="7" t="s">
        <v>3671</v>
      </c>
      <c r="C525" s="7" t="s">
        <v>3671</v>
      </c>
      <c r="D525" s="7" t="s">
        <v>3672</v>
      </c>
      <c r="E525" s="7" t="s">
        <v>15</v>
      </c>
      <c r="F525" s="15" t="s">
        <v>3671</v>
      </c>
      <c r="G525" s="15" t="s">
        <v>4968</v>
      </c>
      <c r="H525" s="15" t="s">
        <v>3671</v>
      </c>
      <c r="I525" s="15" t="s">
        <v>3671</v>
      </c>
      <c r="J525" s="15" t="s">
        <v>3671</v>
      </c>
      <c r="K525" s="16">
        <v>4</v>
      </c>
      <c r="L525" s="17" t="s">
        <v>3671</v>
      </c>
      <c r="M525" s="10" t="s">
        <v>4968</v>
      </c>
    </row>
    <row r="526" spans="1:13" x14ac:dyDescent="0.3">
      <c r="A526" t="s">
        <v>3681</v>
      </c>
      <c r="B526" s="7" t="s">
        <v>3682</v>
      </c>
      <c r="C526" s="7"/>
      <c r="D526" s="7" t="s">
        <v>3682</v>
      </c>
      <c r="E526" s="7" t="s">
        <v>34</v>
      </c>
      <c r="F526" s="15" t="s">
        <v>3682</v>
      </c>
      <c r="G526" s="15" t="s">
        <v>4968</v>
      </c>
      <c r="H526" s="15" t="s">
        <v>3682</v>
      </c>
      <c r="I526" s="15" t="s">
        <v>3682</v>
      </c>
      <c r="J526" s="15" t="s">
        <v>3682</v>
      </c>
      <c r="K526" s="16">
        <v>4</v>
      </c>
      <c r="L526" s="17" t="s">
        <v>3682</v>
      </c>
      <c r="M526" s="10" t="s">
        <v>4968</v>
      </c>
    </row>
    <row r="527" spans="1:13" x14ac:dyDescent="0.3">
      <c r="A527" t="s">
        <v>3683</v>
      </c>
      <c r="B527" s="7" t="s">
        <v>3684</v>
      </c>
      <c r="C527" s="7"/>
      <c r="D527" s="7" t="s">
        <v>3684</v>
      </c>
      <c r="E527" s="7" t="s">
        <v>34</v>
      </c>
      <c r="F527" s="15" t="s">
        <v>3684</v>
      </c>
      <c r="G527" s="15" t="s">
        <v>4968</v>
      </c>
      <c r="H527" s="15" t="s">
        <v>3684</v>
      </c>
      <c r="I527" s="15" t="s">
        <v>3684</v>
      </c>
      <c r="J527" s="15" t="s">
        <v>3684</v>
      </c>
      <c r="K527" s="16">
        <v>5</v>
      </c>
      <c r="L527" s="17" t="s">
        <v>3684</v>
      </c>
      <c r="M527" s="10" t="s">
        <v>5255</v>
      </c>
    </row>
    <row r="528" spans="1:13" x14ac:dyDescent="0.3">
      <c r="A528" t="s">
        <v>3710</v>
      </c>
      <c r="B528" s="7" t="s">
        <v>3711</v>
      </c>
      <c r="C528" s="7" t="s">
        <v>3712</v>
      </c>
      <c r="D528" s="7" t="s">
        <v>3712</v>
      </c>
      <c r="E528" s="7" t="s">
        <v>23</v>
      </c>
      <c r="F528" s="15" t="s">
        <v>3711</v>
      </c>
      <c r="G528" s="15" t="s">
        <v>4968</v>
      </c>
      <c r="H528" s="15" t="s">
        <v>3712</v>
      </c>
      <c r="I528" s="15" t="s">
        <v>5256</v>
      </c>
      <c r="J528" s="15" t="s">
        <v>5256</v>
      </c>
      <c r="K528" s="16">
        <v>4</v>
      </c>
      <c r="L528" s="17" t="s">
        <v>5256</v>
      </c>
      <c r="M528" s="10" t="s">
        <v>4968</v>
      </c>
    </row>
    <row r="529" spans="1:13" x14ac:dyDescent="0.3">
      <c r="A529" t="s">
        <v>3721</v>
      </c>
      <c r="B529" s="7"/>
      <c r="C529" s="7" t="s">
        <v>3722</v>
      </c>
      <c r="D529" s="7" t="s">
        <v>3723</v>
      </c>
      <c r="E529" s="7" t="s">
        <v>9</v>
      </c>
      <c r="F529" s="15" t="s">
        <v>3723</v>
      </c>
      <c r="G529" s="15" t="s">
        <v>4968</v>
      </c>
      <c r="H529" s="15" t="s">
        <v>3723</v>
      </c>
      <c r="I529" s="15" t="s">
        <v>3723</v>
      </c>
      <c r="J529" s="15" t="s">
        <v>3723</v>
      </c>
      <c r="K529" s="16">
        <v>5</v>
      </c>
      <c r="L529" s="17" t="s">
        <v>3723</v>
      </c>
      <c r="M529" s="10" t="s">
        <v>5257</v>
      </c>
    </row>
    <row r="530" spans="1:13" x14ac:dyDescent="0.3">
      <c r="A530" t="s">
        <v>3738</v>
      </c>
      <c r="B530" s="7"/>
      <c r="C530" s="7" t="s">
        <v>3739</v>
      </c>
      <c r="D530" s="7" t="s">
        <v>3740</v>
      </c>
      <c r="E530" s="7" t="s">
        <v>9</v>
      </c>
      <c r="F530" s="15" t="s">
        <v>3740</v>
      </c>
      <c r="G530" s="15" t="s">
        <v>4968</v>
      </c>
      <c r="H530" s="15" t="s">
        <v>3740</v>
      </c>
      <c r="I530" s="15" t="s">
        <v>3740</v>
      </c>
      <c r="J530" s="15" t="s">
        <v>4968</v>
      </c>
      <c r="K530" s="16">
        <v>3</v>
      </c>
      <c r="L530" s="17" t="s">
        <v>3740</v>
      </c>
      <c r="M530" s="10" t="s">
        <v>4968</v>
      </c>
    </row>
    <row r="531" spans="1:13" x14ac:dyDescent="0.3">
      <c r="A531" t="s">
        <v>3743</v>
      </c>
      <c r="B531" s="7" t="s">
        <v>3744</v>
      </c>
      <c r="C531" s="7" t="s">
        <v>3744</v>
      </c>
      <c r="D531" s="7" t="s">
        <v>3745</v>
      </c>
      <c r="E531" s="7" t="s">
        <v>15</v>
      </c>
      <c r="F531" s="15" t="s">
        <v>3744</v>
      </c>
      <c r="G531" s="15" t="s">
        <v>4968</v>
      </c>
      <c r="H531" s="15" t="s">
        <v>3744</v>
      </c>
      <c r="I531" s="15" t="s">
        <v>3744</v>
      </c>
      <c r="J531" s="15" t="s">
        <v>3744</v>
      </c>
      <c r="K531" s="16">
        <v>4</v>
      </c>
      <c r="L531" s="17" t="s">
        <v>3744</v>
      </c>
      <c r="M531" s="10" t="s">
        <v>4968</v>
      </c>
    </row>
    <row r="532" spans="1:13" x14ac:dyDescent="0.3">
      <c r="A532" t="s">
        <v>3752</v>
      </c>
      <c r="B532" s="7" t="s">
        <v>3753</v>
      </c>
      <c r="C532" s="7" t="s">
        <v>3753</v>
      </c>
      <c r="D532" s="7" t="s">
        <v>3754</v>
      </c>
      <c r="E532" s="7" t="s">
        <v>15</v>
      </c>
      <c r="F532" s="15" t="s">
        <v>3753</v>
      </c>
      <c r="G532" s="15" t="s">
        <v>4968</v>
      </c>
      <c r="H532" s="15" t="s">
        <v>3753</v>
      </c>
      <c r="I532" s="15" t="s">
        <v>3753</v>
      </c>
      <c r="J532" s="15" t="s">
        <v>3753</v>
      </c>
      <c r="K532" s="16">
        <v>5</v>
      </c>
      <c r="L532" s="17" t="s">
        <v>3753</v>
      </c>
      <c r="M532" s="10" t="s">
        <v>5258</v>
      </c>
    </row>
    <row r="533" spans="1:13" x14ac:dyDescent="0.3">
      <c r="A533" t="s">
        <v>3755</v>
      </c>
      <c r="B533" s="7"/>
      <c r="C533" s="7"/>
      <c r="D533" s="7" t="s">
        <v>3756</v>
      </c>
      <c r="E533" s="7" t="s">
        <v>9</v>
      </c>
      <c r="F533" s="15" t="s">
        <v>5259</v>
      </c>
      <c r="G533" s="15" t="s">
        <v>4968</v>
      </c>
      <c r="H533" s="15" t="s">
        <v>5260</v>
      </c>
      <c r="I533" s="15" t="s">
        <v>5259</v>
      </c>
      <c r="J533" s="15" t="s">
        <v>5259</v>
      </c>
      <c r="K533" s="16">
        <v>4</v>
      </c>
      <c r="L533" s="17" t="s">
        <v>5259</v>
      </c>
      <c r="M533" s="10" t="s">
        <v>4968</v>
      </c>
    </row>
    <row r="534" spans="1:13" x14ac:dyDescent="0.3">
      <c r="A534" t="s">
        <v>3757</v>
      </c>
      <c r="B534" s="7" t="s">
        <v>3758</v>
      </c>
      <c r="C534" s="7" t="s">
        <v>3759</v>
      </c>
      <c r="D534" s="7"/>
      <c r="E534" s="7" t="s">
        <v>9</v>
      </c>
      <c r="F534" s="15" t="s">
        <v>3758</v>
      </c>
      <c r="G534" s="15" t="s">
        <v>4968</v>
      </c>
      <c r="H534" s="15" t="s">
        <v>3759</v>
      </c>
      <c r="I534" s="15" t="s">
        <v>3758</v>
      </c>
      <c r="J534" s="15" t="s">
        <v>3758</v>
      </c>
      <c r="K534" s="16">
        <v>3</v>
      </c>
      <c r="L534" s="17" t="s">
        <v>3758</v>
      </c>
      <c r="M534" s="10" t="s">
        <v>4968</v>
      </c>
    </row>
    <row r="535" spans="1:13" x14ac:dyDescent="0.3">
      <c r="A535" t="s">
        <v>3760</v>
      </c>
      <c r="B535" s="7"/>
      <c r="C535" s="7" t="s">
        <v>3761</v>
      </c>
      <c r="D535" s="7" t="s">
        <v>3761</v>
      </c>
      <c r="E535" s="7" t="s">
        <v>49</v>
      </c>
      <c r="F535" s="15" t="s">
        <v>3761</v>
      </c>
      <c r="G535" s="15" t="s">
        <v>4968</v>
      </c>
      <c r="H535" s="15" t="s">
        <v>3761</v>
      </c>
      <c r="I535" s="15" t="s">
        <v>3761</v>
      </c>
      <c r="J535" s="15" t="s">
        <v>3761</v>
      </c>
      <c r="K535" s="16">
        <v>5</v>
      </c>
      <c r="L535" s="17" t="s">
        <v>3761</v>
      </c>
      <c r="M535" s="10" t="s">
        <v>5261</v>
      </c>
    </row>
    <row r="536" spans="1:13" x14ac:dyDescent="0.3">
      <c r="A536" t="s">
        <v>3768</v>
      </c>
      <c r="B536" s="7" t="s">
        <v>3769</v>
      </c>
      <c r="C536" s="7" t="s">
        <v>3770</v>
      </c>
      <c r="D536" s="7" t="s">
        <v>3769</v>
      </c>
      <c r="E536" s="7" t="s">
        <v>493</v>
      </c>
      <c r="F536" s="15" t="s">
        <v>5263</v>
      </c>
      <c r="G536" s="15" t="s">
        <v>4968</v>
      </c>
      <c r="H536" s="15" t="s">
        <v>5263</v>
      </c>
      <c r="I536" s="15" t="s">
        <v>5263</v>
      </c>
      <c r="J536" s="15" t="s">
        <v>5263</v>
      </c>
      <c r="K536" s="16">
        <v>5</v>
      </c>
      <c r="L536" s="17" t="s">
        <v>5263</v>
      </c>
      <c r="M536" s="10" t="s">
        <v>5262</v>
      </c>
    </row>
    <row r="537" spans="1:13" x14ac:dyDescent="0.3">
      <c r="A537" t="s">
        <v>3773</v>
      </c>
      <c r="B537" s="7"/>
      <c r="C537" s="7"/>
      <c r="D537" s="7" t="s">
        <v>3774</v>
      </c>
      <c r="E537" s="7" t="s">
        <v>9</v>
      </c>
      <c r="F537" s="15" t="s">
        <v>5264</v>
      </c>
      <c r="G537" s="15" t="s">
        <v>4968</v>
      </c>
      <c r="H537" s="15" t="s">
        <v>5264</v>
      </c>
      <c r="I537" s="15" t="s">
        <v>5264</v>
      </c>
      <c r="J537" s="15" t="s">
        <v>5264</v>
      </c>
      <c r="K537" s="16">
        <v>4</v>
      </c>
      <c r="L537" s="17" t="s">
        <v>5264</v>
      </c>
      <c r="M537" s="10" t="s">
        <v>4968</v>
      </c>
    </row>
    <row r="538" spans="1:13" x14ac:dyDescent="0.3">
      <c r="A538" t="s">
        <v>3775</v>
      </c>
      <c r="B538" s="7" t="s">
        <v>3776</v>
      </c>
      <c r="C538" s="7" t="s">
        <v>3777</v>
      </c>
      <c r="D538" s="7" t="s">
        <v>3776</v>
      </c>
      <c r="E538" s="7" t="s">
        <v>493</v>
      </c>
      <c r="F538" s="15" t="s">
        <v>3776</v>
      </c>
      <c r="G538" s="15" t="s">
        <v>4968</v>
      </c>
      <c r="H538" s="15" t="s">
        <v>3777</v>
      </c>
      <c r="I538" s="15" t="s">
        <v>3776</v>
      </c>
      <c r="J538" s="15" t="s">
        <v>3776</v>
      </c>
      <c r="K538" s="16">
        <v>3</v>
      </c>
      <c r="L538" s="17" t="s">
        <v>3776</v>
      </c>
      <c r="M538" s="10" t="s">
        <v>4968</v>
      </c>
    </row>
    <row r="539" spans="1:13" x14ac:dyDescent="0.3">
      <c r="A539" t="s">
        <v>3782</v>
      </c>
      <c r="B539" s="7"/>
      <c r="C539" s="7" t="s">
        <v>3783</v>
      </c>
      <c r="D539" s="7" t="s">
        <v>3784</v>
      </c>
      <c r="E539" s="7" t="s">
        <v>9</v>
      </c>
      <c r="F539" s="15" t="s">
        <v>3783</v>
      </c>
      <c r="G539" s="15" t="s">
        <v>4968</v>
      </c>
      <c r="H539" s="15" t="s">
        <v>3783</v>
      </c>
      <c r="I539" s="15" t="s">
        <v>3783</v>
      </c>
      <c r="J539" s="15" t="s">
        <v>3783</v>
      </c>
      <c r="K539" s="16">
        <v>5</v>
      </c>
      <c r="L539" s="17" t="s">
        <v>3783</v>
      </c>
      <c r="M539" s="10" t="s">
        <v>5265</v>
      </c>
    </row>
    <row r="540" spans="1:13" x14ac:dyDescent="0.3">
      <c r="A540" t="s">
        <v>3787</v>
      </c>
      <c r="B540" s="7"/>
      <c r="C540" s="7" t="s">
        <v>3788</v>
      </c>
      <c r="D540" s="7" t="s">
        <v>3788</v>
      </c>
      <c r="E540" s="7" t="s">
        <v>49</v>
      </c>
      <c r="F540" s="15" t="s">
        <v>3788</v>
      </c>
      <c r="G540" s="15" t="s">
        <v>4968</v>
      </c>
      <c r="H540" s="15" t="s">
        <v>3788</v>
      </c>
      <c r="I540" s="15" t="s">
        <v>3788</v>
      </c>
      <c r="J540" s="15" t="s">
        <v>3788</v>
      </c>
      <c r="K540" s="16">
        <v>5</v>
      </c>
      <c r="L540" s="17" t="s">
        <v>3788</v>
      </c>
      <c r="M540" s="10" t="s">
        <v>5266</v>
      </c>
    </row>
    <row r="541" spans="1:13" x14ac:dyDescent="0.3">
      <c r="A541" t="s">
        <v>3790</v>
      </c>
      <c r="B541" s="7" t="s">
        <v>3791</v>
      </c>
      <c r="C541" s="7"/>
      <c r="D541" s="7" t="s">
        <v>3791</v>
      </c>
      <c r="E541" s="7" t="s">
        <v>34</v>
      </c>
      <c r="F541" s="15" t="s">
        <v>3791</v>
      </c>
      <c r="G541" s="15" t="s">
        <v>4968</v>
      </c>
      <c r="H541" s="15" t="s">
        <v>3791</v>
      </c>
      <c r="I541" s="15" t="s">
        <v>3791</v>
      </c>
      <c r="J541" s="15" t="s">
        <v>3791</v>
      </c>
      <c r="K541" s="16">
        <v>5</v>
      </c>
      <c r="L541" s="17" t="s">
        <v>3791</v>
      </c>
      <c r="M541" s="10" t="s">
        <v>5267</v>
      </c>
    </row>
    <row r="542" spans="1:13" x14ac:dyDescent="0.3">
      <c r="A542" t="s">
        <v>3794</v>
      </c>
      <c r="B542" s="7"/>
      <c r="C542" s="7"/>
      <c r="D542" s="7"/>
      <c r="E542" s="7" t="s">
        <v>11</v>
      </c>
      <c r="F542" s="15" t="s">
        <v>5268</v>
      </c>
      <c r="G542" s="15" t="s">
        <v>4968</v>
      </c>
      <c r="H542" s="15" t="s">
        <v>5269</v>
      </c>
      <c r="I542" s="15" t="s">
        <v>5268</v>
      </c>
      <c r="J542" s="15" t="s">
        <v>4968</v>
      </c>
      <c r="K542" s="16">
        <v>2</v>
      </c>
      <c r="L542" s="17" t="s">
        <v>5268</v>
      </c>
      <c r="M542" s="10" t="s">
        <v>4968</v>
      </c>
    </row>
    <row r="543" spans="1:13" x14ac:dyDescent="0.3">
      <c r="A543" t="s">
        <v>3798</v>
      </c>
      <c r="B543" s="7"/>
      <c r="C543" s="7"/>
      <c r="D543" s="7" t="s">
        <v>3799</v>
      </c>
      <c r="E543" s="7" t="s">
        <v>9</v>
      </c>
      <c r="F543" s="15" t="s">
        <v>5270</v>
      </c>
      <c r="G543" s="15" t="s">
        <v>4968</v>
      </c>
      <c r="H543" s="15" t="s">
        <v>5270</v>
      </c>
      <c r="I543" s="15" t="s">
        <v>5270</v>
      </c>
      <c r="J543" s="15" t="s">
        <v>5270</v>
      </c>
      <c r="K543" s="16">
        <v>4</v>
      </c>
      <c r="L543" s="17" t="s">
        <v>5270</v>
      </c>
      <c r="M543" s="10" t="s">
        <v>4968</v>
      </c>
    </row>
    <row r="544" spans="1:13" x14ac:dyDescent="0.3">
      <c r="A544" t="s">
        <v>3810</v>
      </c>
      <c r="B544" s="7" t="s">
        <v>3811</v>
      </c>
      <c r="C544" s="7"/>
      <c r="D544" s="7" t="s">
        <v>3811</v>
      </c>
      <c r="E544" s="7" t="s">
        <v>34</v>
      </c>
      <c r="F544" s="15" t="s">
        <v>3811</v>
      </c>
      <c r="G544" s="15" t="s">
        <v>4968</v>
      </c>
      <c r="H544" s="15" t="s">
        <v>3811</v>
      </c>
      <c r="I544" s="15" t="s">
        <v>3811</v>
      </c>
      <c r="J544" s="15" t="s">
        <v>3811</v>
      </c>
      <c r="K544" s="16">
        <v>5</v>
      </c>
      <c r="L544" s="17" t="s">
        <v>3811</v>
      </c>
      <c r="M544" s="10" t="s">
        <v>5271</v>
      </c>
    </row>
    <row r="545" spans="1:13" x14ac:dyDescent="0.3">
      <c r="A545" t="s">
        <v>3812</v>
      </c>
      <c r="B545" s="7" t="s">
        <v>3813</v>
      </c>
      <c r="C545" s="7"/>
      <c r="D545" s="7" t="s">
        <v>3813</v>
      </c>
      <c r="E545" s="7" t="s">
        <v>34</v>
      </c>
      <c r="F545" s="15" t="s">
        <v>3813</v>
      </c>
      <c r="G545" s="15" t="s">
        <v>4968</v>
      </c>
      <c r="H545" s="15" t="s">
        <v>3813</v>
      </c>
      <c r="I545" s="15" t="s">
        <v>3813</v>
      </c>
      <c r="J545" s="15" t="s">
        <v>3813</v>
      </c>
      <c r="K545" s="16">
        <v>5</v>
      </c>
      <c r="L545" s="17" t="s">
        <v>3813</v>
      </c>
      <c r="M545" s="10" t="s">
        <v>5272</v>
      </c>
    </row>
    <row r="546" spans="1:13" x14ac:dyDescent="0.3">
      <c r="A546" t="s">
        <v>3814</v>
      </c>
      <c r="B546" s="7"/>
      <c r="C546" s="7" t="s">
        <v>3815</v>
      </c>
      <c r="D546" s="7" t="s">
        <v>3815</v>
      </c>
      <c r="E546" s="7" t="s">
        <v>49</v>
      </c>
      <c r="F546" s="15" t="s">
        <v>3815</v>
      </c>
      <c r="G546" s="15" t="s">
        <v>4968</v>
      </c>
      <c r="H546" s="15" t="s">
        <v>3815</v>
      </c>
      <c r="I546" s="15" t="s">
        <v>3815</v>
      </c>
      <c r="J546" s="15" t="s">
        <v>3815</v>
      </c>
      <c r="K546" s="16">
        <v>5</v>
      </c>
      <c r="L546" s="17" t="s">
        <v>3815</v>
      </c>
      <c r="M546" s="10" t="s">
        <v>5273</v>
      </c>
    </row>
    <row r="547" spans="1:13" x14ac:dyDescent="0.3">
      <c r="A547" t="s">
        <v>3822</v>
      </c>
      <c r="B547" s="7" t="s">
        <v>3823</v>
      </c>
      <c r="C547" s="7"/>
      <c r="D547" s="7" t="s">
        <v>3823</v>
      </c>
      <c r="E547" s="7" t="s">
        <v>34</v>
      </c>
      <c r="F547" s="15" t="s">
        <v>3823</v>
      </c>
      <c r="G547" s="15" t="s">
        <v>4968</v>
      </c>
      <c r="H547" s="15" t="s">
        <v>3823</v>
      </c>
      <c r="I547" s="15" t="s">
        <v>3823</v>
      </c>
      <c r="J547" s="15" t="s">
        <v>3823</v>
      </c>
      <c r="K547" s="16">
        <v>5</v>
      </c>
      <c r="L547" s="17" t="s">
        <v>3823</v>
      </c>
      <c r="M547" s="10" t="s">
        <v>5274</v>
      </c>
    </row>
    <row r="548" spans="1:13" x14ac:dyDescent="0.3">
      <c r="A548" t="s">
        <v>3828</v>
      </c>
      <c r="B548" s="7"/>
      <c r="C548" s="7"/>
      <c r="D548" s="7"/>
      <c r="E548" s="7" t="s">
        <v>11</v>
      </c>
      <c r="F548" s="15" t="s">
        <v>5276</v>
      </c>
      <c r="G548" s="15" t="s">
        <v>4968</v>
      </c>
      <c r="H548" s="15" t="s">
        <v>5275</v>
      </c>
      <c r="I548" s="15" t="s">
        <v>5277</v>
      </c>
      <c r="J548" s="15" t="s">
        <v>5278</v>
      </c>
      <c r="K548" s="16">
        <v>2</v>
      </c>
      <c r="L548" s="17" t="s">
        <v>5275</v>
      </c>
      <c r="M548" s="10" t="s">
        <v>5279</v>
      </c>
    </row>
    <row r="549" spans="1:13" x14ac:dyDescent="0.3">
      <c r="A549" t="s">
        <v>3833</v>
      </c>
      <c r="B549" s="7" t="s">
        <v>3834</v>
      </c>
      <c r="C549" s="7"/>
      <c r="D549" s="7" t="s">
        <v>3834</v>
      </c>
      <c r="E549" s="7" t="s">
        <v>34</v>
      </c>
      <c r="F549" s="15" t="s">
        <v>3834</v>
      </c>
      <c r="G549" s="15" t="s">
        <v>4968</v>
      </c>
      <c r="H549" s="15" t="s">
        <v>3834</v>
      </c>
      <c r="I549" s="15" t="s">
        <v>3834</v>
      </c>
      <c r="J549" s="15" t="s">
        <v>3834</v>
      </c>
      <c r="K549" s="16">
        <v>4</v>
      </c>
      <c r="L549" s="17" t="s">
        <v>3834</v>
      </c>
      <c r="M549" s="10" t="s">
        <v>4968</v>
      </c>
    </row>
    <row r="550" spans="1:13" x14ac:dyDescent="0.3">
      <c r="A550" t="s">
        <v>3843</v>
      </c>
      <c r="B550" s="7" t="s">
        <v>3844</v>
      </c>
      <c r="C550" s="7"/>
      <c r="D550" s="7" t="s">
        <v>3844</v>
      </c>
      <c r="E550" s="7" t="s">
        <v>34</v>
      </c>
      <c r="F550" s="15" t="s">
        <v>3844</v>
      </c>
      <c r="G550" s="15" t="s">
        <v>4968</v>
      </c>
      <c r="H550" s="15" t="s">
        <v>3844</v>
      </c>
      <c r="I550" s="15" t="s">
        <v>3844</v>
      </c>
      <c r="J550" s="15" t="s">
        <v>3844</v>
      </c>
      <c r="K550" s="16">
        <v>5</v>
      </c>
      <c r="L550" s="17" t="s">
        <v>3844</v>
      </c>
      <c r="M550" s="10" t="s">
        <v>5280</v>
      </c>
    </row>
    <row r="551" spans="1:13" x14ac:dyDescent="0.3">
      <c r="A551" t="s">
        <v>3861</v>
      </c>
      <c r="B551" s="7"/>
      <c r="C551" s="7" t="s">
        <v>3862</v>
      </c>
      <c r="D551" s="7" t="s">
        <v>3862</v>
      </c>
      <c r="E551" s="7" t="s">
        <v>49</v>
      </c>
      <c r="F551" s="15" t="s">
        <v>5281</v>
      </c>
      <c r="G551" s="15" t="s">
        <v>4968</v>
      </c>
      <c r="H551" s="15" t="s">
        <v>3862</v>
      </c>
      <c r="I551" s="15" t="s">
        <v>5281</v>
      </c>
      <c r="J551" s="15" t="s">
        <v>5281</v>
      </c>
      <c r="K551" s="16">
        <v>4</v>
      </c>
      <c r="L551" s="17" t="s">
        <v>5281</v>
      </c>
      <c r="M551" s="10" t="s">
        <v>4968</v>
      </c>
    </row>
    <row r="552" spans="1:13" x14ac:dyDescent="0.3">
      <c r="A552" t="s">
        <v>3863</v>
      </c>
      <c r="B552" s="7"/>
      <c r="C552" s="7" t="s">
        <v>3864</v>
      </c>
      <c r="D552" s="7" t="s">
        <v>3864</v>
      </c>
      <c r="E552" s="7" t="s">
        <v>49</v>
      </c>
      <c r="F552" s="15" t="s">
        <v>5283</v>
      </c>
      <c r="G552" s="15" t="s">
        <v>4968</v>
      </c>
      <c r="H552" s="15" t="s">
        <v>5283</v>
      </c>
      <c r="I552" s="15" t="s">
        <v>5283</v>
      </c>
      <c r="J552" s="15" t="s">
        <v>5283</v>
      </c>
      <c r="K552" s="16">
        <v>5</v>
      </c>
      <c r="L552" s="17" t="s">
        <v>5283</v>
      </c>
      <c r="M552" s="10" t="s">
        <v>5282</v>
      </c>
    </row>
    <row r="553" spans="1:13" x14ac:dyDescent="0.3">
      <c r="A553" t="s">
        <v>3869</v>
      </c>
      <c r="B553" s="7" t="s">
        <v>3870</v>
      </c>
      <c r="C553" s="7"/>
      <c r="D553" s="7" t="s">
        <v>3870</v>
      </c>
      <c r="E553" s="7" t="s">
        <v>34</v>
      </c>
      <c r="F553" s="15" t="s">
        <v>3870</v>
      </c>
      <c r="G553" s="15" t="s">
        <v>4968</v>
      </c>
      <c r="H553" s="15" t="s">
        <v>3870</v>
      </c>
      <c r="I553" s="15" t="s">
        <v>3870</v>
      </c>
      <c r="J553" s="15" t="s">
        <v>3870</v>
      </c>
      <c r="K553" s="16">
        <v>5</v>
      </c>
      <c r="L553" s="17" t="s">
        <v>3870</v>
      </c>
      <c r="M553" s="10" t="s">
        <v>4968</v>
      </c>
    </row>
    <row r="554" spans="1:13" x14ac:dyDescent="0.3">
      <c r="A554" t="s">
        <v>3871</v>
      </c>
      <c r="B554" s="7" t="s">
        <v>3872</v>
      </c>
      <c r="C554" s="7"/>
      <c r="D554" s="7" t="s">
        <v>3872</v>
      </c>
      <c r="E554" s="7" t="s">
        <v>34</v>
      </c>
      <c r="F554" s="15" t="s">
        <v>3872</v>
      </c>
      <c r="G554" s="15" t="s">
        <v>4968</v>
      </c>
      <c r="H554" s="15" t="s">
        <v>3872</v>
      </c>
      <c r="I554" s="15" t="s">
        <v>3872</v>
      </c>
      <c r="J554" s="15" t="s">
        <v>3872</v>
      </c>
      <c r="K554" s="16">
        <v>5</v>
      </c>
      <c r="L554" s="17" t="s">
        <v>3872</v>
      </c>
      <c r="M554" s="10" t="s">
        <v>5284</v>
      </c>
    </row>
    <row r="555" spans="1:13" x14ac:dyDescent="0.3">
      <c r="A555" t="s">
        <v>3873</v>
      </c>
      <c r="B555" s="7" t="s">
        <v>3874</v>
      </c>
      <c r="C555" s="7"/>
      <c r="D555" s="7" t="s">
        <v>3874</v>
      </c>
      <c r="E555" s="7" t="s">
        <v>34</v>
      </c>
      <c r="F555" s="15" t="s">
        <v>3874</v>
      </c>
      <c r="G555" s="15" t="s">
        <v>4968</v>
      </c>
      <c r="H555" s="15" t="s">
        <v>3874</v>
      </c>
      <c r="I555" s="15" t="s">
        <v>3874</v>
      </c>
      <c r="J555" s="15" t="s">
        <v>3874</v>
      </c>
      <c r="K555" s="16">
        <v>5</v>
      </c>
      <c r="L555" s="17" t="s">
        <v>3874</v>
      </c>
      <c r="M555" s="10" t="s">
        <v>5285</v>
      </c>
    </row>
    <row r="556" spans="1:13" x14ac:dyDescent="0.3">
      <c r="A556" t="s">
        <v>3879</v>
      </c>
      <c r="B556" s="7" t="s">
        <v>3880</v>
      </c>
      <c r="C556" s="7"/>
      <c r="D556" s="7" t="s">
        <v>3880</v>
      </c>
      <c r="E556" s="7" t="s">
        <v>34</v>
      </c>
      <c r="F556" s="15" t="s">
        <v>3880</v>
      </c>
      <c r="G556" s="15" t="s">
        <v>4968</v>
      </c>
      <c r="H556" s="15" t="s">
        <v>3880</v>
      </c>
      <c r="I556" s="15" t="s">
        <v>3880</v>
      </c>
      <c r="J556" s="15" t="s">
        <v>3880</v>
      </c>
      <c r="K556" s="16">
        <v>5</v>
      </c>
      <c r="L556" s="17" t="s">
        <v>3880</v>
      </c>
      <c r="M556" s="10" t="s">
        <v>5286</v>
      </c>
    </row>
    <row r="557" spans="1:13" x14ac:dyDescent="0.3">
      <c r="A557" t="s">
        <v>3893</v>
      </c>
      <c r="B557" s="7"/>
      <c r="C557" s="7"/>
      <c r="D557" s="7" t="s">
        <v>3894</v>
      </c>
      <c r="E557" s="7" t="s">
        <v>9</v>
      </c>
      <c r="F557" s="15" t="s">
        <v>5287</v>
      </c>
      <c r="G557" s="15" t="s">
        <v>4968</v>
      </c>
      <c r="H557" s="15" t="s">
        <v>5287</v>
      </c>
      <c r="I557" s="15" t="s">
        <v>5287</v>
      </c>
      <c r="J557" s="15" t="s">
        <v>5287</v>
      </c>
      <c r="K557" s="16">
        <v>4</v>
      </c>
      <c r="L557" s="17" t="s">
        <v>5287</v>
      </c>
      <c r="M557" s="10" t="s">
        <v>4968</v>
      </c>
    </row>
    <row r="558" spans="1:13" x14ac:dyDescent="0.3">
      <c r="A558" t="s">
        <v>3895</v>
      </c>
      <c r="B558" s="7" t="s">
        <v>3896</v>
      </c>
      <c r="C558" s="7"/>
      <c r="D558" s="7" t="s">
        <v>3897</v>
      </c>
      <c r="E558" s="7" t="s">
        <v>9</v>
      </c>
      <c r="F558" s="15" t="s">
        <v>3896</v>
      </c>
      <c r="G558" s="15" t="s">
        <v>4968</v>
      </c>
      <c r="H558" s="15" t="s">
        <v>3897</v>
      </c>
      <c r="I558" s="15" t="s">
        <v>3896</v>
      </c>
      <c r="J558" s="15" t="s">
        <v>3896</v>
      </c>
      <c r="K558" s="16">
        <v>3</v>
      </c>
      <c r="L558" s="17" t="s">
        <v>3896</v>
      </c>
      <c r="M558" s="10" t="s">
        <v>4968</v>
      </c>
    </row>
    <row r="559" spans="1:13" x14ac:dyDescent="0.3">
      <c r="A559" t="s">
        <v>3899</v>
      </c>
      <c r="B559" s="7" t="s">
        <v>3900</v>
      </c>
      <c r="C559" s="7"/>
      <c r="D559" s="7" t="s">
        <v>3900</v>
      </c>
      <c r="E559" s="7" t="s">
        <v>34</v>
      </c>
      <c r="F559" s="15" t="s">
        <v>3900</v>
      </c>
      <c r="G559" s="15" t="s">
        <v>4968</v>
      </c>
      <c r="H559" s="15" t="s">
        <v>3900</v>
      </c>
      <c r="I559" s="15" t="s">
        <v>3900</v>
      </c>
      <c r="J559" s="15" t="s">
        <v>3900</v>
      </c>
      <c r="K559" s="16">
        <v>5</v>
      </c>
      <c r="L559" s="17" t="s">
        <v>3900</v>
      </c>
      <c r="M559" s="10" t="s">
        <v>5288</v>
      </c>
    </row>
    <row r="560" spans="1:13" x14ac:dyDescent="0.3">
      <c r="A560" t="s">
        <v>3912</v>
      </c>
      <c r="B560" s="7" t="s">
        <v>3913</v>
      </c>
      <c r="C560" s="7"/>
      <c r="D560" s="7" t="s">
        <v>3913</v>
      </c>
      <c r="E560" s="7" t="s">
        <v>34</v>
      </c>
      <c r="F560" s="15" t="s">
        <v>3913</v>
      </c>
      <c r="G560" s="15" t="s">
        <v>4968</v>
      </c>
      <c r="H560" s="15" t="s">
        <v>5289</v>
      </c>
      <c r="I560" s="15" t="s">
        <v>3913</v>
      </c>
      <c r="J560" s="15" t="s">
        <v>3913</v>
      </c>
      <c r="K560" s="16">
        <v>4</v>
      </c>
      <c r="L560" s="17" t="s">
        <v>3913</v>
      </c>
      <c r="M560" s="10" t="s">
        <v>5290</v>
      </c>
    </row>
    <row r="561" spans="1:13" x14ac:dyDescent="0.3">
      <c r="A561" t="s">
        <v>3936</v>
      </c>
      <c r="B561" s="7"/>
      <c r="C561" s="7"/>
      <c r="D561" s="7" t="s">
        <v>3937</v>
      </c>
      <c r="E561" s="7" t="s">
        <v>9</v>
      </c>
      <c r="F561" s="15" t="s">
        <v>3937</v>
      </c>
      <c r="G561" s="15" t="s">
        <v>4968</v>
      </c>
      <c r="H561" s="15" t="s">
        <v>3937</v>
      </c>
      <c r="I561" s="15" t="s">
        <v>3937</v>
      </c>
      <c r="J561" s="15" t="s">
        <v>3937</v>
      </c>
      <c r="K561" s="16">
        <v>4</v>
      </c>
      <c r="L561" s="17" t="s">
        <v>3937</v>
      </c>
      <c r="M561" s="10" t="s">
        <v>4968</v>
      </c>
    </row>
    <row r="562" spans="1:13" x14ac:dyDescent="0.3">
      <c r="A562" t="s">
        <v>3948</v>
      </c>
      <c r="B562" s="7"/>
      <c r="C562" s="7"/>
      <c r="D562" s="7" t="s">
        <v>3949</v>
      </c>
      <c r="E562" s="7" t="s">
        <v>9</v>
      </c>
      <c r="F562" s="15" t="s">
        <v>5293</v>
      </c>
      <c r="G562" s="15" t="s">
        <v>4968</v>
      </c>
      <c r="H562" s="15" t="s">
        <v>5293</v>
      </c>
      <c r="I562" s="15" t="s">
        <v>5293</v>
      </c>
      <c r="J562" s="15" t="s">
        <v>5293</v>
      </c>
      <c r="K562" s="16">
        <v>5</v>
      </c>
      <c r="L562" s="17" t="s">
        <v>5291</v>
      </c>
      <c r="M562" s="10" t="s">
        <v>5292</v>
      </c>
    </row>
    <row r="563" spans="1:13" x14ac:dyDescent="0.3">
      <c r="A563" t="s">
        <v>3954</v>
      </c>
      <c r="B563" s="7"/>
      <c r="C563" s="7"/>
      <c r="D563" s="7" t="s">
        <v>3955</v>
      </c>
      <c r="E563" s="7" t="s">
        <v>9</v>
      </c>
      <c r="F563" s="15" t="s">
        <v>3955</v>
      </c>
      <c r="G563" s="15" t="s">
        <v>4968</v>
      </c>
      <c r="H563" s="15" t="s">
        <v>3955</v>
      </c>
      <c r="I563" s="15" t="s">
        <v>3955</v>
      </c>
      <c r="J563" s="15" t="s">
        <v>3955</v>
      </c>
      <c r="K563" s="16">
        <v>5</v>
      </c>
      <c r="L563" s="17" t="s">
        <v>3955</v>
      </c>
      <c r="M563" s="10" t="s">
        <v>5294</v>
      </c>
    </row>
    <row r="564" spans="1:13" x14ac:dyDescent="0.3">
      <c r="A564" t="s">
        <v>3965</v>
      </c>
      <c r="B564" s="7"/>
      <c r="C564" s="7" t="s">
        <v>3966</v>
      </c>
      <c r="D564" s="7" t="s">
        <v>3966</v>
      </c>
      <c r="E564" s="7" t="s">
        <v>49</v>
      </c>
      <c r="F564" s="15" t="s">
        <v>3966</v>
      </c>
      <c r="G564" s="15" t="s">
        <v>4968</v>
      </c>
      <c r="H564" s="15" t="s">
        <v>3966</v>
      </c>
      <c r="I564" s="15" t="s">
        <v>3966</v>
      </c>
      <c r="J564" s="15" t="s">
        <v>3966</v>
      </c>
      <c r="K564" s="16">
        <v>5</v>
      </c>
      <c r="L564" s="17" t="s">
        <v>3966</v>
      </c>
      <c r="M564" s="10" t="s">
        <v>5295</v>
      </c>
    </row>
    <row r="565" spans="1:13" x14ac:dyDescent="0.3">
      <c r="A565" t="s">
        <v>3967</v>
      </c>
      <c r="B565" s="7" t="s">
        <v>3968</v>
      </c>
      <c r="C565" s="7" t="s">
        <v>3969</v>
      </c>
      <c r="D565" s="7" t="s">
        <v>3969</v>
      </c>
      <c r="E565" s="7" t="s">
        <v>23</v>
      </c>
      <c r="F565" s="15" t="s">
        <v>3968</v>
      </c>
      <c r="G565" s="15" t="s">
        <v>4968</v>
      </c>
      <c r="H565" s="15" t="s">
        <v>3969</v>
      </c>
      <c r="I565" s="15" t="s">
        <v>3969</v>
      </c>
      <c r="J565" s="15" t="s">
        <v>5296</v>
      </c>
      <c r="K565" s="16">
        <v>3</v>
      </c>
      <c r="L565" s="17" t="s">
        <v>3969</v>
      </c>
      <c r="M565" s="10" t="s">
        <v>5297</v>
      </c>
    </row>
    <row r="566" spans="1:13" x14ac:dyDescent="0.3">
      <c r="A566" t="s">
        <v>3975</v>
      </c>
      <c r="B566" s="7"/>
      <c r="C566" s="7" t="s">
        <v>3976</v>
      </c>
      <c r="D566" s="7" t="s">
        <v>3976</v>
      </c>
      <c r="E566" s="7" t="s">
        <v>49</v>
      </c>
      <c r="F566" s="15" t="s">
        <v>3976</v>
      </c>
      <c r="G566" s="15" t="s">
        <v>4968</v>
      </c>
      <c r="H566" s="15" t="s">
        <v>3976</v>
      </c>
      <c r="I566" s="15" t="s">
        <v>3976</v>
      </c>
      <c r="J566" s="15" t="s">
        <v>3976</v>
      </c>
      <c r="K566" s="16">
        <v>4</v>
      </c>
      <c r="L566" s="17" t="s">
        <v>3976</v>
      </c>
      <c r="M566" s="10" t="s">
        <v>4968</v>
      </c>
    </row>
    <row r="567" spans="1:13" x14ac:dyDescent="0.3">
      <c r="A567" t="s">
        <v>3990</v>
      </c>
      <c r="B567" s="7" t="s">
        <v>3973</v>
      </c>
      <c r="C567" s="7" t="s">
        <v>3991</v>
      </c>
      <c r="D567" s="7" t="s">
        <v>3991</v>
      </c>
      <c r="E567" s="7" t="s">
        <v>23</v>
      </c>
      <c r="F567" s="15" t="s">
        <v>3973</v>
      </c>
      <c r="G567" s="15" t="s">
        <v>4968</v>
      </c>
      <c r="H567" s="15" t="s">
        <v>3991</v>
      </c>
      <c r="I567" s="15" t="s">
        <v>3991</v>
      </c>
      <c r="J567" s="15" t="s">
        <v>3991</v>
      </c>
      <c r="K567" s="16">
        <v>4</v>
      </c>
      <c r="L567" s="17" t="s">
        <v>3991</v>
      </c>
      <c r="M567" s="10" t="s">
        <v>5298</v>
      </c>
    </row>
    <row r="568" spans="1:13" x14ac:dyDescent="0.3">
      <c r="A568" t="s">
        <v>3996</v>
      </c>
      <c r="B568" s="7" t="s">
        <v>3997</v>
      </c>
      <c r="C568" s="7" t="s">
        <v>3998</v>
      </c>
      <c r="D568" s="7" t="s">
        <v>3997</v>
      </c>
      <c r="E568" s="7" t="s">
        <v>493</v>
      </c>
      <c r="F568" s="15" t="s">
        <v>3998</v>
      </c>
      <c r="G568" s="15" t="s">
        <v>4968</v>
      </c>
      <c r="H568" s="15" t="s">
        <v>3998</v>
      </c>
      <c r="I568" s="15" t="s">
        <v>3998</v>
      </c>
      <c r="J568" s="15" t="s">
        <v>3998</v>
      </c>
      <c r="K568" s="16">
        <v>4</v>
      </c>
      <c r="L568" s="17" t="s">
        <v>3998</v>
      </c>
      <c r="M568" s="10" t="s">
        <v>4968</v>
      </c>
    </row>
    <row r="569" spans="1:13" x14ac:dyDescent="0.3">
      <c r="A569" t="s">
        <v>4001</v>
      </c>
      <c r="B569" s="7"/>
      <c r="C569" s="7" t="s">
        <v>4002</v>
      </c>
      <c r="D569" s="7" t="s">
        <v>4002</v>
      </c>
      <c r="E569" s="7" t="s">
        <v>49</v>
      </c>
      <c r="F569" s="15" t="s">
        <v>4002</v>
      </c>
      <c r="G569" s="15" t="s">
        <v>4968</v>
      </c>
      <c r="H569" s="15" t="s">
        <v>4002</v>
      </c>
      <c r="I569" s="15" t="s">
        <v>4002</v>
      </c>
      <c r="J569" s="15" t="s">
        <v>4002</v>
      </c>
      <c r="K569" s="16">
        <v>4</v>
      </c>
      <c r="L569" s="17" t="s">
        <v>4002</v>
      </c>
      <c r="M569" s="10" t="s">
        <v>4968</v>
      </c>
    </row>
    <row r="570" spans="1:13" x14ac:dyDescent="0.3">
      <c r="A570" t="s">
        <v>4005</v>
      </c>
      <c r="B570" s="7" t="s">
        <v>4006</v>
      </c>
      <c r="C570" s="7" t="s">
        <v>4007</v>
      </c>
      <c r="D570" s="7" t="s">
        <v>4007</v>
      </c>
      <c r="E570" s="7" t="s">
        <v>23</v>
      </c>
      <c r="F570" s="15" t="s">
        <v>4007</v>
      </c>
      <c r="G570" s="15" t="s">
        <v>4968</v>
      </c>
      <c r="H570" s="15" t="s">
        <v>4007</v>
      </c>
      <c r="I570" s="15" t="s">
        <v>4007</v>
      </c>
      <c r="J570" s="15" t="s">
        <v>4007</v>
      </c>
      <c r="K570" s="16">
        <v>4</v>
      </c>
      <c r="L570" s="17" t="s">
        <v>4007</v>
      </c>
      <c r="M570" s="10" t="s">
        <v>5299</v>
      </c>
    </row>
    <row r="571" spans="1:13" x14ac:dyDescent="0.3">
      <c r="A571" t="s">
        <v>4008</v>
      </c>
      <c r="B571" s="7" t="s">
        <v>4009</v>
      </c>
      <c r="C571" s="7"/>
      <c r="D571" s="7" t="s">
        <v>4010</v>
      </c>
      <c r="E571" s="7" t="s">
        <v>9</v>
      </c>
      <c r="F571" s="15" t="s">
        <v>5300</v>
      </c>
      <c r="G571" s="15" t="s">
        <v>4968</v>
      </c>
      <c r="H571" s="15" t="s">
        <v>5300</v>
      </c>
      <c r="I571" s="15" t="s">
        <v>5300</v>
      </c>
      <c r="J571" s="15" t="s">
        <v>5300</v>
      </c>
      <c r="K571" s="16">
        <v>5</v>
      </c>
      <c r="L571" s="17" t="s">
        <v>5300</v>
      </c>
      <c r="M571" s="10" t="s">
        <v>5301</v>
      </c>
    </row>
    <row r="572" spans="1:13" x14ac:dyDescent="0.3">
      <c r="A572" t="s">
        <v>4015</v>
      </c>
      <c r="B572" s="7"/>
      <c r="C572" s="7"/>
      <c r="D572" s="7" t="s">
        <v>4016</v>
      </c>
      <c r="E572" s="7" t="s">
        <v>9</v>
      </c>
      <c r="F572" s="15" t="s">
        <v>4016</v>
      </c>
      <c r="G572" s="15" t="s">
        <v>4968</v>
      </c>
      <c r="H572" s="15" t="s">
        <v>4016</v>
      </c>
      <c r="I572" s="15" t="s">
        <v>4016</v>
      </c>
      <c r="J572" s="15" t="s">
        <v>4016</v>
      </c>
      <c r="K572" s="16">
        <v>5</v>
      </c>
      <c r="L572" s="17" t="s">
        <v>4016</v>
      </c>
      <c r="M572" s="10" t="s">
        <v>5302</v>
      </c>
    </row>
    <row r="573" spans="1:13" x14ac:dyDescent="0.3">
      <c r="A573" t="s">
        <v>4017</v>
      </c>
      <c r="B573" s="7"/>
      <c r="C573" s="7"/>
      <c r="D573" s="7"/>
      <c r="E573" s="7" t="s">
        <v>11</v>
      </c>
      <c r="F573" s="15" t="s">
        <v>5303</v>
      </c>
      <c r="G573" s="15" t="s">
        <v>4968</v>
      </c>
      <c r="H573" s="15" t="s">
        <v>5303</v>
      </c>
      <c r="I573" s="15" t="s">
        <v>5303</v>
      </c>
      <c r="J573" s="15" t="s">
        <v>5303</v>
      </c>
      <c r="K573" s="16">
        <v>4</v>
      </c>
      <c r="L573" s="17" t="s">
        <v>5303</v>
      </c>
      <c r="M573" s="10" t="s">
        <v>4968</v>
      </c>
    </row>
    <row r="574" spans="1:13" x14ac:dyDescent="0.3">
      <c r="A574" t="s">
        <v>4022</v>
      </c>
      <c r="B574" s="7" t="s">
        <v>4023</v>
      </c>
      <c r="C574" s="7"/>
      <c r="D574" s="7" t="s">
        <v>4023</v>
      </c>
      <c r="E574" s="7" t="s">
        <v>34</v>
      </c>
      <c r="F574" s="15" t="s">
        <v>4023</v>
      </c>
      <c r="G574" s="15" t="s">
        <v>4968</v>
      </c>
      <c r="H574" s="15" t="s">
        <v>4023</v>
      </c>
      <c r="I574" s="15" t="s">
        <v>4023</v>
      </c>
      <c r="J574" s="15" t="s">
        <v>4023</v>
      </c>
      <c r="K574" s="16">
        <v>4</v>
      </c>
      <c r="L574" s="17" t="s">
        <v>4023</v>
      </c>
      <c r="M574" s="10" t="s">
        <v>4968</v>
      </c>
    </row>
    <row r="575" spans="1:13" x14ac:dyDescent="0.3">
      <c r="A575" t="s">
        <v>4024</v>
      </c>
      <c r="B575" s="7"/>
      <c r="C575" s="7" t="s">
        <v>4025</v>
      </c>
      <c r="D575" s="7" t="s">
        <v>4025</v>
      </c>
      <c r="E575" s="7" t="s">
        <v>49</v>
      </c>
      <c r="F575" s="15" t="s">
        <v>5305</v>
      </c>
      <c r="G575" s="15" t="s">
        <v>4968</v>
      </c>
      <c r="H575" s="15" t="s">
        <v>4025</v>
      </c>
      <c r="I575" s="15" t="s">
        <v>5305</v>
      </c>
      <c r="J575" s="15" t="s">
        <v>5305</v>
      </c>
      <c r="K575" s="16">
        <v>4</v>
      </c>
      <c r="L575" s="17" t="s">
        <v>5305</v>
      </c>
      <c r="M575" s="10" t="s">
        <v>5304</v>
      </c>
    </row>
    <row r="576" spans="1:13" x14ac:dyDescent="0.3">
      <c r="A576" t="s">
        <v>4034</v>
      </c>
      <c r="B576" s="7"/>
      <c r="C576" s="7" t="s">
        <v>4035</v>
      </c>
      <c r="D576" s="7" t="s">
        <v>4035</v>
      </c>
      <c r="E576" s="7" t="s">
        <v>49</v>
      </c>
      <c r="F576" s="15" t="s">
        <v>4035</v>
      </c>
      <c r="G576" s="15" t="s">
        <v>4968</v>
      </c>
      <c r="H576" s="15" t="s">
        <v>4035</v>
      </c>
      <c r="I576" s="15" t="s">
        <v>4035</v>
      </c>
      <c r="J576" s="15" t="s">
        <v>4035</v>
      </c>
      <c r="K576" s="16">
        <v>4</v>
      </c>
      <c r="L576" s="17" t="s">
        <v>4035</v>
      </c>
      <c r="M576" s="10" t="s">
        <v>4968</v>
      </c>
    </row>
    <row r="577" spans="1:13" x14ac:dyDescent="0.3">
      <c r="A577" t="s">
        <v>4036</v>
      </c>
      <c r="B577" s="7"/>
      <c r="C577" s="7" t="s">
        <v>4037</v>
      </c>
      <c r="D577" s="7" t="s">
        <v>4037</v>
      </c>
      <c r="E577" s="7" t="s">
        <v>49</v>
      </c>
      <c r="F577" s="15" t="s">
        <v>4037</v>
      </c>
      <c r="G577" s="15" t="s">
        <v>4968</v>
      </c>
      <c r="H577" s="15" t="s">
        <v>4037</v>
      </c>
      <c r="I577" s="15" t="s">
        <v>4037</v>
      </c>
      <c r="J577" s="15" t="s">
        <v>4037</v>
      </c>
      <c r="K577" s="16">
        <v>5</v>
      </c>
      <c r="L577" s="17" t="s">
        <v>4037</v>
      </c>
      <c r="M577" s="10" t="s">
        <v>5306</v>
      </c>
    </row>
    <row r="578" spans="1:13" x14ac:dyDescent="0.3">
      <c r="A578" t="s">
        <v>4042</v>
      </c>
      <c r="B578" s="7"/>
      <c r="C578" s="7"/>
      <c r="D578" s="7" t="s">
        <v>4043</v>
      </c>
      <c r="E578" s="7" t="s">
        <v>9</v>
      </c>
      <c r="F578" s="15" t="s">
        <v>4043</v>
      </c>
      <c r="G578" s="15" t="s">
        <v>4968</v>
      </c>
      <c r="H578" s="15" t="s">
        <v>4043</v>
      </c>
      <c r="I578" s="15" t="s">
        <v>4043</v>
      </c>
      <c r="J578" s="15" t="s">
        <v>4043</v>
      </c>
      <c r="K578" s="16">
        <v>5</v>
      </c>
      <c r="L578" s="17" t="s">
        <v>4043</v>
      </c>
      <c r="M578" s="10" t="s">
        <v>5307</v>
      </c>
    </row>
    <row r="579" spans="1:13" x14ac:dyDescent="0.3">
      <c r="A579" t="s">
        <v>4046</v>
      </c>
      <c r="B579" s="7" t="s">
        <v>4047</v>
      </c>
      <c r="C579" s="7" t="s">
        <v>4048</v>
      </c>
      <c r="D579" s="7" t="s">
        <v>4048</v>
      </c>
      <c r="E579" s="7" t="s">
        <v>23</v>
      </c>
      <c r="F579" s="15" t="s">
        <v>4048</v>
      </c>
      <c r="G579" s="15" t="s">
        <v>4968</v>
      </c>
      <c r="H579" s="15" t="s">
        <v>4048</v>
      </c>
      <c r="I579" s="15" t="s">
        <v>4048</v>
      </c>
      <c r="J579" s="15" t="s">
        <v>4048</v>
      </c>
      <c r="K579" s="16">
        <v>5</v>
      </c>
      <c r="L579" s="17" t="s">
        <v>4048</v>
      </c>
      <c r="M579" s="10" t="s">
        <v>5308</v>
      </c>
    </row>
    <row r="580" spans="1:13" x14ac:dyDescent="0.3">
      <c r="A580" t="s">
        <v>4049</v>
      </c>
      <c r="B580" s="7" t="s">
        <v>4050</v>
      </c>
      <c r="C580" s="7"/>
      <c r="D580" s="7" t="s">
        <v>4050</v>
      </c>
      <c r="E580" s="7" t="s">
        <v>34</v>
      </c>
      <c r="F580" s="15" t="s">
        <v>4050</v>
      </c>
      <c r="G580" s="15" t="s">
        <v>4968</v>
      </c>
      <c r="H580" s="15" t="s">
        <v>4050</v>
      </c>
      <c r="I580" s="15" t="s">
        <v>4050</v>
      </c>
      <c r="J580" s="15" t="s">
        <v>4050</v>
      </c>
      <c r="K580" s="16">
        <v>5</v>
      </c>
      <c r="L580" s="17" t="s">
        <v>4050</v>
      </c>
      <c r="M580" s="10" t="s">
        <v>5309</v>
      </c>
    </row>
    <row r="581" spans="1:13" x14ac:dyDescent="0.3">
      <c r="A581" t="s">
        <v>4053</v>
      </c>
      <c r="B581" s="7" t="s">
        <v>4054</v>
      </c>
      <c r="C581" s="7"/>
      <c r="D581" s="7" t="s">
        <v>4054</v>
      </c>
      <c r="E581" s="7" t="s">
        <v>34</v>
      </c>
      <c r="F581" s="15" t="s">
        <v>4054</v>
      </c>
      <c r="G581" s="15" t="s">
        <v>4968</v>
      </c>
      <c r="H581" s="15" t="s">
        <v>4054</v>
      </c>
      <c r="I581" s="15" t="s">
        <v>4054</v>
      </c>
      <c r="J581" s="15" t="s">
        <v>4054</v>
      </c>
      <c r="K581" s="16">
        <v>4</v>
      </c>
      <c r="L581" s="17" t="s">
        <v>4054</v>
      </c>
      <c r="M581" s="10" t="s">
        <v>4968</v>
      </c>
    </row>
    <row r="582" spans="1:13" x14ac:dyDescent="0.3">
      <c r="A582" t="s">
        <v>4063</v>
      </c>
      <c r="B582" s="7" t="s">
        <v>4064</v>
      </c>
      <c r="C582" s="7" t="s">
        <v>4064</v>
      </c>
      <c r="D582" s="7" t="s">
        <v>4065</v>
      </c>
      <c r="E582" s="7" t="s">
        <v>15</v>
      </c>
      <c r="F582" s="15" t="s">
        <v>4064</v>
      </c>
      <c r="G582" s="15" t="s">
        <v>4968</v>
      </c>
      <c r="H582" s="15" t="s">
        <v>4064</v>
      </c>
      <c r="I582" s="15" t="s">
        <v>4064</v>
      </c>
      <c r="J582" s="15" t="s">
        <v>4064</v>
      </c>
      <c r="K582" s="16">
        <v>5</v>
      </c>
      <c r="L582" s="17" t="s">
        <v>4064</v>
      </c>
      <c r="M582" s="10" t="s">
        <v>5310</v>
      </c>
    </row>
    <row r="583" spans="1:13" x14ac:dyDescent="0.3">
      <c r="A583" t="s">
        <v>4068</v>
      </c>
      <c r="B583" s="7" t="s">
        <v>4069</v>
      </c>
      <c r="C583" s="7"/>
      <c r="D583" s="7" t="s">
        <v>4070</v>
      </c>
      <c r="E583" s="7" t="s">
        <v>9</v>
      </c>
      <c r="F583" s="15" t="s">
        <v>5311</v>
      </c>
      <c r="G583" s="15" t="s">
        <v>4968</v>
      </c>
      <c r="H583" s="15" t="s">
        <v>5311</v>
      </c>
      <c r="I583" s="15" t="s">
        <v>5311</v>
      </c>
      <c r="J583" s="15" t="s">
        <v>5311</v>
      </c>
      <c r="K583" s="16">
        <v>4</v>
      </c>
      <c r="L583" s="17" t="s">
        <v>5311</v>
      </c>
      <c r="M583" s="10" t="s">
        <v>4968</v>
      </c>
    </row>
    <row r="584" spans="1:13" x14ac:dyDescent="0.3">
      <c r="A584" t="s">
        <v>4073</v>
      </c>
      <c r="B584" s="7" t="s">
        <v>4074</v>
      </c>
      <c r="C584" s="7"/>
      <c r="D584" s="7" t="s">
        <v>4074</v>
      </c>
      <c r="E584" s="7" t="s">
        <v>34</v>
      </c>
      <c r="F584" s="15" t="s">
        <v>5312</v>
      </c>
      <c r="G584" s="15" t="s">
        <v>4968</v>
      </c>
      <c r="H584" s="15" t="s">
        <v>5312</v>
      </c>
      <c r="I584" s="15" t="s">
        <v>5312</v>
      </c>
      <c r="J584" s="15" t="s">
        <v>5312</v>
      </c>
      <c r="K584" s="16">
        <v>5</v>
      </c>
      <c r="L584" s="17" t="s">
        <v>5312</v>
      </c>
      <c r="M584" s="10" t="s">
        <v>5313</v>
      </c>
    </row>
    <row r="585" spans="1:13" x14ac:dyDescent="0.3">
      <c r="A585" t="s">
        <v>4079</v>
      </c>
      <c r="B585" s="7"/>
      <c r="C585" s="7"/>
      <c r="D585" s="7" t="s">
        <v>4080</v>
      </c>
      <c r="E585" s="7" t="s">
        <v>9</v>
      </c>
      <c r="F585" s="15" t="s">
        <v>4080</v>
      </c>
      <c r="G585" s="15" t="s">
        <v>4968</v>
      </c>
      <c r="H585" s="15" t="s">
        <v>4080</v>
      </c>
      <c r="I585" s="15" t="s">
        <v>5315</v>
      </c>
      <c r="J585" s="15" t="s">
        <v>5315</v>
      </c>
      <c r="K585" s="16">
        <v>5</v>
      </c>
      <c r="L585" s="17" t="s">
        <v>4080</v>
      </c>
      <c r="M585" s="10" t="s">
        <v>5314</v>
      </c>
    </row>
    <row r="586" spans="1:13" x14ac:dyDescent="0.3">
      <c r="A586" t="s">
        <v>4081</v>
      </c>
      <c r="B586" s="7" t="s">
        <v>4082</v>
      </c>
      <c r="C586" s="7"/>
      <c r="D586" s="7" t="s">
        <v>4082</v>
      </c>
      <c r="E586" s="7" t="s">
        <v>34</v>
      </c>
      <c r="F586" s="15" t="s">
        <v>4082</v>
      </c>
      <c r="G586" s="15" t="s">
        <v>4968</v>
      </c>
      <c r="H586" s="15" t="s">
        <v>4082</v>
      </c>
      <c r="I586" s="15" t="s">
        <v>4082</v>
      </c>
      <c r="J586" s="15" t="s">
        <v>4082</v>
      </c>
      <c r="K586" s="16">
        <v>4</v>
      </c>
      <c r="L586" s="17" t="s">
        <v>4082</v>
      </c>
      <c r="M586" s="10" t="s">
        <v>4968</v>
      </c>
    </row>
    <row r="587" spans="1:13" x14ac:dyDescent="0.3">
      <c r="A587" t="s">
        <v>4093</v>
      </c>
      <c r="B587" s="7" t="s">
        <v>4094</v>
      </c>
      <c r="C587" s="7" t="s">
        <v>4095</v>
      </c>
      <c r="D587" s="7" t="s">
        <v>4094</v>
      </c>
      <c r="E587" s="7" t="s">
        <v>493</v>
      </c>
      <c r="F587" s="15" t="s">
        <v>4095</v>
      </c>
      <c r="G587" s="15" t="s">
        <v>4968</v>
      </c>
      <c r="H587" s="15" t="s">
        <v>4095</v>
      </c>
      <c r="I587" s="15" t="s">
        <v>4095</v>
      </c>
      <c r="J587" s="15" t="s">
        <v>4095</v>
      </c>
      <c r="K587" s="16">
        <v>4</v>
      </c>
      <c r="L587" s="17" t="s">
        <v>4095</v>
      </c>
      <c r="M587" s="10" t="s">
        <v>4968</v>
      </c>
    </row>
    <row r="588" spans="1:13" x14ac:dyDescent="0.3">
      <c r="A588" t="s">
        <v>4096</v>
      </c>
      <c r="B588" s="7" t="s">
        <v>4097</v>
      </c>
      <c r="C588" s="7" t="s">
        <v>4097</v>
      </c>
      <c r="D588" s="7" t="s">
        <v>4098</v>
      </c>
      <c r="E588" s="7" t="s">
        <v>15</v>
      </c>
      <c r="F588" s="15" t="s">
        <v>4098</v>
      </c>
      <c r="G588" s="15" t="s">
        <v>4968</v>
      </c>
      <c r="H588" s="15" t="s">
        <v>4098</v>
      </c>
      <c r="I588" s="15" t="s">
        <v>4098</v>
      </c>
      <c r="J588" s="15" t="s">
        <v>4098</v>
      </c>
      <c r="K588" s="16">
        <v>4</v>
      </c>
      <c r="L588" s="17" t="s">
        <v>4098</v>
      </c>
      <c r="M588" s="10" t="s">
        <v>4968</v>
      </c>
    </row>
    <row r="589" spans="1:13" x14ac:dyDescent="0.3">
      <c r="A589" t="s">
        <v>4103</v>
      </c>
      <c r="B589" s="7" t="s">
        <v>4104</v>
      </c>
      <c r="C589" s="7" t="s">
        <v>4104</v>
      </c>
      <c r="D589" s="7" t="s">
        <v>4105</v>
      </c>
      <c r="E589" s="7" t="s">
        <v>15</v>
      </c>
      <c r="F589" s="15" t="s">
        <v>4104</v>
      </c>
      <c r="G589" s="15" t="s">
        <v>4968</v>
      </c>
      <c r="H589" s="15" t="s">
        <v>4104</v>
      </c>
      <c r="I589" s="15" t="s">
        <v>4104</v>
      </c>
      <c r="J589" s="15" t="s">
        <v>4104</v>
      </c>
      <c r="K589" s="16">
        <v>5</v>
      </c>
      <c r="L589" s="17" t="s">
        <v>4104</v>
      </c>
      <c r="M589" s="10" t="s">
        <v>5316</v>
      </c>
    </row>
    <row r="590" spans="1:13" x14ac:dyDescent="0.3">
      <c r="A590" t="s">
        <v>4108</v>
      </c>
      <c r="B590" s="7"/>
      <c r="C590" s="7" t="s">
        <v>4109</v>
      </c>
      <c r="D590" s="7" t="s">
        <v>4109</v>
      </c>
      <c r="E590" s="7" t="s">
        <v>49</v>
      </c>
      <c r="F590" s="15" t="s">
        <v>4109</v>
      </c>
      <c r="G590" s="15" t="s">
        <v>4968</v>
      </c>
      <c r="H590" s="15" t="s">
        <v>4109</v>
      </c>
      <c r="I590" s="15" t="s">
        <v>4109</v>
      </c>
      <c r="J590" s="15" t="s">
        <v>4109</v>
      </c>
      <c r="K590" s="16">
        <v>4</v>
      </c>
      <c r="L590" s="17" t="s">
        <v>4109</v>
      </c>
      <c r="M590" s="10" t="s">
        <v>4968</v>
      </c>
    </row>
    <row r="591" spans="1:13" x14ac:dyDescent="0.3">
      <c r="A591" t="s">
        <v>4114</v>
      </c>
      <c r="B591" s="7" t="s">
        <v>4115</v>
      </c>
      <c r="C591" s="7" t="s">
        <v>4116</v>
      </c>
      <c r="D591" s="7" t="s">
        <v>4115</v>
      </c>
      <c r="E591" s="7" t="s">
        <v>493</v>
      </c>
      <c r="F591" s="15" t="s">
        <v>5317</v>
      </c>
      <c r="G591" s="15" t="s">
        <v>4968</v>
      </c>
      <c r="H591" s="15" t="s">
        <v>4116</v>
      </c>
      <c r="I591" s="15" t="s">
        <v>5317</v>
      </c>
      <c r="J591" s="15" t="s">
        <v>5317</v>
      </c>
      <c r="K591" s="16">
        <v>3</v>
      </c>
      <c r="L591" s="17" t="s">
        <v>5317</v>
      </c>
      <c r="M591" s="10" t="s">
        <v>4968</v>
      </c>
    </row>
    <row r="592" spans="1:13" x14ac:dyDescent="0.3">
      <c r="A592" t="s">
        <v>4117</v>
      </c>
      <c r="B592" s="7" t="s">
        <v>4118</v>
      </c>
      <c r="C592" s="7" t="s">
        <v>4118</v>
      </c>
      <c r="D592" s="7" t="s">
        <v>4119</v>
      </c>
      <c r="E592" s="7" t="s">
        <v>15</v>
      </c>
      <c r="F592" s="15" t="s">
        <v>4118</v>
      </c>
      <c r="G592" s="15" t="s">
        <v>4968</v>
      </c>
      <c r="H592" s="15" t="s">
        <v>4118</v>
      </c>
      <c r="I592" s="15" t="s">
        <v>4118</v>
      </c>
      <c r="J592" s="15" t="s">
        <v>4118</v>
      </c>
      <c r="K592" s="16">
        <v>5</v>
      </c>
      <c r="L592" s="17" t="s">
        <v>4118</v>
      </c>
      <c r="M592" s="10" t="s">
        <v>5318</v>
      </c>
    </row>
    <row r="593" spans="1:13" x14ac:dyDescent="0.3">
      <c r="A593" t="s">
        <v>4122</v>
      </c>
      <c r="B593" s="7"/>
      <c r="C593" s="7"/>
      <c r="D593" s="7" t="s">
        <v>4123</v>
      </c>
      <c r="E593" s="7" t="s">
        <v>9</v>
      </c>
      <c r="F593" s="15" t="s">
        <v>4123</v>
      </c>
      <c r="G593" s="15" t="s">
        <v>4968</v>
      </c>
      <c r="H593" s="15" t="s">
        <v>4123</v>
      </c>
      <c r="I593" s="15" t="s">
        <v>4123</v>
      </c>
      <c r="J593" s="15" t="s">
        <v>4123</v>
      </c>
      <c r="K593" s="16">
        <v>5</v>
      </c>
      <c r="L593" s="17" t="s">
        <v>4123</v>
      </c>
      <c r="M593" s="10" t="s">
        <v>5319</v>
      </c>
    </row>
    <row r="594" spans="1:13" x14ac:dyDescent="0.3">
      <c r="A594" t="s">
        <v>4124</v>
      </c>
      <c r="B594" s="7" t="s">
        <v>4125</v>
      </c>
      <c r="C594" s="7" t="s">
        <v>4126</v>
      </c>
      <c r="D594" s="7" t="s">
        <v>4126</v>
      </c>
      <c r="E594" s="7" t="s">
        <v>23</v>
      </c>
      <c r="F594" s="15" t="s">
        <v>4125</v>
      </c>
      <c r="G594" s="15" t="s">
        <v>4968</v>
      </c>
      <c r="H594" s="15" t="s">
        <v>4126</v>
      </c>
      <c r="I594" s="15" t="s">
        <v>4125</v>
      </c>
      <c r="J594" s="15" t="s">
        <v>4125</v>
      </c>
      <c r="K594" s="16">
        <v>3</v>
      </c>
      <c r="L594" s="17" t="s">
        <v>4125</v>
      </c>
      <c r="M594" s="10" t="s">
        <v>4968</v>
      </c>
    </row>
    <row r="595" spans="1:13" x14ac:dyDescent="0.3">
      <c r="A595" t="s">
        <v>4129</v>
      </c>
      <c r="B595" s="7"/>
      <c r="C595" s="7" t="s">
        <v>4130</v>
      </c>
      <c r="D595" s="7" t="s">
        <v>4130</v>
      </c>
      <c r="E595" s="7" t="s">
        <v>49</v>
      </c>
      <c r="F595" s="15" t="s">
        <v>4130</v>
      </c>
      <c r="G595" s="15" t="s">
        <v>4968</v>
      </c>
      <c r="H595" s="15" t="s">
        <v>4130</v>
      </c>
      <c r="I595" s="15" t="s">
        <v>4130</v>
      </c>
      <c r="J595" s="15" t="s">
        <v>4130</v>
      </c>
      <c r="K595" s="16">
        <v>4</v>
      </c>
      <c r="L595" s="17" t="s">
        <v>4130</v>
      </c>
      <c r="M595" s="10" t="s">
        <v>4968</v>
      </c>
    </row>
    <row r="596" spans="1:13" x14ac:dyDescent="0.3">
      <c r="A596" t="s">
        <v>4131</v>
      </c>
      <c r="B596" s="7" t="s">
        <v>4132</v>
      </c>
      <c r="C596" s="7"/>
      <c r="D596" s="7" t="s">
        <v>4132</v>
      </c>
      <c r="E596" s="7" t="s">
        <v>34</v>
      </c>
      <c r="F596" s="15" t="s">
        <v>4132</v>
      </c>
      <c r="G596" s="15" t="s">
        <v>4968</v>
      </c>
      <c r="H596" s="15" t="s">
        <v>4132</v>
      </c>
      <c r="I596" s="15" t="s">
        <v>4132</v>
      </c>
      <c r="J596" s="15" t="s">
        <v>4132</v>
      </c>
      <c r="K596" s="16">
        <v>5</v>
      </c>
      <c r="L596" s="17" t="s">
        <v>4132</v>
      </c>
      <c r="M596" s="10" t="s">
        <v>5320</v>
      </c>
    </row>
    <row r="597" spans="1:13" x14ac:dyDescent="0.3">
      <c r="A597" t="s">
        <v>4137</v>
      </c>
      <c r="B597" s="7" t="s">
        <v>4138</v>
      </c>
      <c r="C597" s="7"/>
      <c r="D597" s="7" t="s">
        <v>4138</v>
      </c>
      <c r="E597" s="7" t="s">
        <v>34</v>
      </c>
      <c r="F597" s="15" t="s">
        <v>4138</v>
      </c>
      <c r="G597" s="15" t="s">
        <v>4968</v>
      </c>
      <c r="H597" s="15" t="s">
        <v>4138</v>
      </c>
      <c r="I597" s="15" t="s">
        <v>4138</v>
      </c>
      <c r="J597" s="15" t="s">
        <v>4138</v>
      </c>
      <c r="K597" s="16">
        <v>5</v>
      </c>
      <c r="L597" s="17" t="s">
        <v>4138</v>
      </c>
      <c r="M597" s="10" t="s">
        <v>5321</v>
      </c>
    </row>
    <row r="598" spans="1:13" x14ac:dyDescent="0.3">
      <c r="A598" t="s">
        <v>4141</v>
      </c>
      <c r="B598" s="7"/>
      <c r="C598" s="7"/>
      <c r="D598" s="7" t="s">
        <v>4142</v>
      </c>
      <c r="E598" s="7" t="s">
        <v>9</v>
      </c>
      <c r="F598" s="15" t="s">
        <v>4142</v>
      </c>
      <c r="G598" s="15" t="s">
        <v>4968</v>
      </c>
      <c r="H598" s="15" t="s">
        <v>4142</v>
      </c>
      <c r="I598" s="15" t="s">
        <v>4142</v>
      </c>
      <c r="J598" s="15" t="s">
        <v>4142</v>
      </c>
      <c r="K598" s="16">
        <v>5</v>
      </c>
      <c r="L598" s="17" t="s">
        <v>4142</v>
      </c>
      <c r="M598" s="10" t="s">
        <v>5322</v>
      </c>
    </row>
    <row r="599" spans="1:13" x14ac:dyDescent="0.3">
      <c r="A599" t="s">
        <v>4149</v>
      </c>
      <c r="B599" s="7" t="s">
        <v>4150</v>
      </c>
      <c r="C599" s="7"/>
      <c r="D599" s="7" t="s">
        <v>4150</v>
      </c>
      <c r="E599" s="7" t="s">
        <v>34</v>
      </c>
      <c r="F599" s="15" t="s">
        <v>4150</v>
      </c>
      <c r="G599" s="15" t="s">
        <v>4968</v>
      </c>
      <c r="H599" s="15" t="s">
        <v>4150</v>
      </c>
      <c r="I599" s="15" t="s">
        <v>4150</v>
      </c>
      <c r="J599" s="15" t="s">
        <v>4150</v>
      </c>
      <c r="K599" s="16">
        <v>4</v>
      </c>
      <c r="L599" s="17" t="s">
        <v>4150</v>
      </c>
      <c r="M599" s="10" t="s">
        <v>4968</v>
      </c>
    </row>
    <row r="600" spans="1:13" x14ac:dyDescent="0.3">
      <c r="A600" t="s">
        <v>4155</v>
      </c>
      <c r="B600" s="7" t="s">
        <v>4156</v>
      </c>
      <c r="C600" s="7" t="s">
        <v>4156</v>
      </c>
      <c r="D600" s="7"/>
      <c r="E600" s="7" t="s">
        <v>323</v>
      </c>
      <c r="F600" s="15" t="s">
        <v>4156</v>
      </c>
      <c r="G600" s="15" t="s">
        <v>4968</v>
      </c>
      <c r="H600" s="15" t="s">
        <v>4156</v>
      </c>
      <c r="I600" s="15" t="s">
        <v>4156</v>
      </c>
      <c r="J600" s="15" t="s">
        <v>4156</v>
      </c>
      <c r="K600" s="16">
        <v>4</v>
      </c>
      <c r="L600" s="17" t="s">
        <v>4156</v>
      </c>
      <c r="M600" s="10" t="s">
        <v>4968</v>
      </c>
    </row>
    <row r="601" spans="1:13" x14ac:dyDescent="0.3">
      <c r="A601" t="s">
        <v>4157</v>
      </c>
      <c r="B601" s="7" t="s">
        <v>4158</v>
      </c>
      <c r="C601" s="7"/>
      <c r="D601" s="7" t="s">
        <v>4158</v>
      </c>
      <c r="E601" s="7" t="s">
        <v>34</v>
      </c>
      <c r="F601" s="15" t="s">
        <v>4158</v>
      </c>
      <c r="G601" s="15" t="s">
        <v>4968</v>
      </c>
      <c r="H601" s="15" t="s">
        <v>4158</v>
      </c>
      <c r="I601" s="15" t="s">
        <v>4158</v>
      </c>
      <c r="J601" s="15" t="s">
        <v>4968</v>
      </c>
      <c r="K601" s="16">
        <v>4</v>
      </c>
      <c r="L601" s="17" t="s">
        <v>4158</v>
      </c>
      <c r="M601" s="10" t="s">
        <v>5323</v>
      </c>
    </row>
    <row r="602" spans="1:13" x14ac:dyDescent="0.3">
      <c r="A602" t="s">
        <v>4164</v>
      </c>
      <c r="B602" s="7" t="s">
        <v>4165</v>
      </c>
      <c r="C602" s="7"/>
      <c r="D602" s="7" t="s">
        <v>4165</v>
      </c>
      <c r="E602" s="7" t="s">
        <v>34</v>
      </c>
      <c r="F602" s="15" t="s">
        <v>4165</v>
      </c>
      <c r="G602" s="15" t="s">
        <v>4968</v>
      </c>
      <c r="H602" s="15" t="s">
        <v>4165</v>
      </c>
      <c r="I602" s="15" t="s">
        <v>4165</v>
      </c>
      <c r="J602" s="15" t="s">
        <v>4165</v>
      </c>
      <c r="K602" s="16">
        <v>5</v>
      </c>
      <c r="L602" s="17" t="s">
        <v>4165</v>
      </c>
      <c r="M602" s="10" t="s">
        <v>5324</v>
      </c>
    </row>
    <row r="603" spans="1:13" x14ac:dyDescent="0.3">
      <c r="A603" t="s">
        <v>4178</v>
      </c>
      <c r="B603" s="7" t="s">
        <v>4179</v>
      </c>
      <c r="C603" s="7"/>
      <c r="D603" s="7" t="s">
        <v>4179</v>
      </c>
      <c r="E603" s="7" t="s">
        <v>34</v>
      </c>
      <c r="F603" s="15" t="s">
        <v>4179</v>
      </c>
      <c r="G603" s="15" t="s">
        <v>4968</v>
      </c>
      <c r="H603" s="15" t="s">
        <v>4179</v>
      </c>
      <c r="I603" s="15" t="s">
        <v>4179</v>
      </c>
      <c r="J603" s="15" t="s">
        <v>4179</v>
      </c>
      <c r="K603" s="16">
        <v>5</v>
      </c>
      <c r="L603" s="17" t="s">
        <v>4179</v>
      </c>
      <c r="M603" s="10" t="s">
        <v>5325</v>
      </c>
    </row>
    <row r="604" spans="1:13" x14ac:dyDescent="0.3">
      <c r="A604" t="s">
        <v>4189</v>
      </c>
      <c r="B604" s="7" t="s">
        <v>4190</v>
      </c>
      <c r="C604" s="7"/>
      <c r="D604" s="7" t="s">
        <v>4191</v>
      </c>
      <c r="E604" s="7" t="s">
        <v>9</v>
      </c>
      <c r="F604" s="15" t="s">
        <v>5326</v>
      </c>
      <c r="G604" s="15" t="s">
        <v>4968</v>
      </c>
      <c r="H604" s="15" t="s">
        <v>5326</v>
      </c>
      <c r="I604" s="15" t="s">
        <v>5326</v>
      </c>
      <c r="J604" s="15" t="s">
        <v>5326</v>
      </c>
      <c r="K604" s="16">
        <v>4</v>
      </c>
      <c r="L604" s="17" t="s">
        <v>5326</v>
      </c>
      <c r="M604" s="10" t="s">
        <v>4968</v>
      </c>
    </row>
    <row r="605" spans="1:13" x14ac:dyDescent="0.3">
      <c r="A605" t="s">
        <v>4202</v>
      </c>
      <c r="B605" s="7" t="s">
        <v>4195</v>
      </c>
      <c r="C605" s="7"/>
      <c r="D605" s="7" t="s">
        <v>4195</v>
      </c>
      <c r="E605" s="7" t="s">
        <v>34</v>
      </c>
      <c r="F605" s="15" t="s">
        <v>4195</v>
      </c>
      <c r="G605" s="15" t="s">
        <v>4968</v>
      </c>
      <c r="H605" s="15" t="s">
        <v>4195</v>
      </c>
      <c r="I605" s="15" t="s">
        <v>4195</v>
      </c>
      <c r="J605" s="15" t="s">
        <v>4195</v>
      </c>
      <c r="K605" s="16">
        <v>5</v>
      </c>
      <c r="L605" s="17" t="s">
        <v>4195</v>
      </c>
      <c r="M605" s="10" t="s">
        <v>5327</v>
      </c>
    </row>
    <row r="606" spans="1:13" x14ac:dyDescent="0.3">
      <c r="A606" t="s">
        <v>4215</v>
      </c>
      <c r="B606" s="7" t="s">
        <v>4216</v>
      </c>
      <c r="C606" s="7"/>
      <c r="D606" s="7" t="s">
        <v>4216</v>
      </c>
      <c r="E606" s="7" t="s">
        <v>34</v>
      </c>
      <c r="F606" s="15" t="s">
        <v>4216</v>
      </c>
      <c r="G606" s="15" t="s">
        <v>4968</v>
      </c>
      <c r="H606" s="15" t="s">
        <v>4216</v>
      </c>
      <c r="I606" s="15" t="s">
        <v>4216</v>
      </c>
      <c r="J606" s="15" t="s">
        <v>4216</v>
      </c>
      <c r="K606" s="16">
        <v>5</v>
      </c>
      <c r="L606" s="17" t="s">
        <v>4216</v>
      </c>
      <c r="M606" s="10" t="s">
        <v>5328</v>
      </c>
    </row>
    <row r="607" spans="1:13" x14ac:dyDescent="0.3">
      <c r="A607" t="s">
        <v>4219</v>
      </c>
      <c r="B607" s="7" t="s">
        <v>4220</v>
      </c>
      <c r="C607" s="7" t="s">
        <v>4221</v>
      </c>
      <c r="D607" s="7" t="s">
        <v>4221</v>
      </c>
      <c r="E607" s="7" t="s">
        <v>23</v>
      </c>
      <c r="F607" s="15" t="s">
        <v>4221</v>
      </c>
      <c r="G607" s="15" t="s">
        <v>4968</v>
      </c>
      <c r="H607" s="15" t="s">
        <v>4221</v>
      </c>
      <c r="I607" s="15" t="s">
        <v>4221</v>
      </c>
      <c r="J607" s="15" t="s">
        <v>4221</v>
      </c>
      <c r="K607" s="16">
        <v>4</v>
      </c>
      <c r="L607" s="17" t="s">
        <v>4221</v>
      </c>
      <c r="M607" s="10" t="s">
        <v>4968</v>
      </c>
    </row>
    <row r="608" spans="1:13" x14ac:dyDescent="0.3">
      <c r="A608" t="s">
        <v>4226</v>
      </c>
      <c r="B608" s="7" t="s">
        <v>4227</v>
      </c>
      <c r="C608" s="7"/>
      <c r="D608" s="7" t="s">
        <v>4227</v>
      </c>
      <c r="E608" s="7" t="s">
        <v>34</v>
      </c>
      <c r="F608" s="15" t="s">
        <v>4227</v>
      </c>
      <c r="G608" s="15" t="s">
        <v>4968</v>
      </c>
      <c r="H608" s="15" t="s">
        <v>4227</v>
      </c>
      <c r="I608" s="15" t="s">
        <v>4227</v>
      </c>
      <c r="J608" s="15" t="s">
        <v>4227</v>
      </c>
      <c r="K608" s="16">
        <v>5</v>
      </c>
      <c r="L608" s="17" t="s">
        <v>4227</v>
      </c>
      <c r="M608" s="10" t="s">
        <v>5329</v>
      </c>
    </row>
    <row r="609" spans="1:13" x14ac:dyDescent="0.3">
      <c r="A609" t="s">
        <v>4234</v>
      </c>
      <c r="B609" s="7" t="s">
        <v>4235</v>
      </c>
      <c r="C609" s="7"/>
      <c r="D609" s="7" t="s">
        <v>4236</v>
      </c>
      <c r="E609" s="7" t="s">
        <v>9</v>
      </c>
      <c r="F609" s="15" t="s">
        <v>4235</v>
      </c>
      <c r="G609" s="15" t="s">
        <v>4968</v>
      </c>
      <c r="H609" s="15" t="s">
        <v>4236</v>
      </c>
      <c r="I609" s="15" t="s">
        <v>4236</v>
      </c>
      <c r="J609" s="15" t="s">
        <v>4235</v>
      </c>
      <c r="K609" s="16">
        <v>3</v>
      </c>
      <c r="L609" s="17" t="s">
        <v>4236</v>
      </c>
      <c r="M609" s="10" t="s">
        <v>5330</v>
      </c>
    </row>
    <row r="610" spans="1:13" x14ac:dyDescent="0.3">
      <c r="A610" t="s">
        <v>4237</v>
      </c>
      <c r="B610" s="7" t="s">
        <v>4238</v>
      </c>
      <c r="C610" s="7"/>
      <c r="D610" s="7" t="s">
        <v>4238</v>
      </c>
      <c r="E610" s="7" t="s">
        <v>34</v>
      </c>
      <c r="F610" s="15" t="s">
        <v>4238</v>
      </c>
      <c r="G610" s="15" t="s">
        <v>4968</v>
      </c>
      <c r="H610" s="15" t="s">
        <v>4238</v>
      </c>
      <c r="I610" s="15" t="s">
        <v>4238</v>
      </c>
      <c r="J610" s="15" t="s">
        <v>4238</v>
      </c>
      <c r="K610" s="16">
        <v>4</v>
      </c>
      <c r="L610" s="17" t="s">
        <v>4238</v>
      </c>
      <c r="M610" s="10" t="s">
        <v>5331</v>
      </c>
    </row>
    <row r="611" spans="1:13" x14ac:dyDescent="0.3">
      <c r="A611" t="s">
        <v>4247</v>
      </c>
      <c r="B611" s="7" t="s">
        <v>4248</v>
      </c>
      <c r="C611" s="7"/>
      <c r="D611" s="7" t="s">
        <v>4248</v>
      </c>
      <c r="E611" s="7" t="s">
        <v>34</v>
      </c>
      <c r="F611" s="15" t="s">
        <v>4248</v>
      </c>
      <c r="G611" s="15" t="s">
        <v>4968</v>
      </c>
      <c r="H611" s="15" t="s">
        <v>4248</v>
      </c>
      <c r="I611" s="15" t="s">
        <v>4248</v>
      </c>
      <c r="J611" s="15" t="s">
        <v>4248</v>
      </c>
      <c r="K611" s="16">
        <v>5</v>
      </c>
      <c r="L611" s="17" t="s">
        <v>4248</v>
      </c>
      <c r="M611" s="10" t="s">
        <v>5332</v>
      </c>
    </row>
    <row r="612" spans="1:13" x14ac:dyDescent="0.3">
      <c r="A612" t="s">
        <v>4265</v>
      </c>
      <c r="B612" s="7" t="s">
        <v>4266</v>
      </c>
      <c r="C612" s="7" t="s">
        <v>4267</v>
      </c>
      <c r="D612" s="7" t="s">
        <v>4248</v>
      </c>
      <c r="E612" s="7" t="s">
        <v>295</v>
      </c>
      <c r="F612" s="15" t="s">
        <v>4266</v>
      </c>
      <c r="G612" s="15" t="s">
        <v>4968</v>
      </c>
      <c r="H612" s="15" t="s">
        <v>4267</v>
      </c>
      <c r="I612" s="15" t="s">
        <v>4266</v>
      </c>
      <c r="J612" s="15" t="s">
        <v>4266</v>
      </c>
      <c r="K612" s="16">
        <v>4</v>
      </c>
      <c r="L612" s="17" t="s">
        <v>4266</v>
      </c>
      <c r="M612" s="10" t="s">
        <v>5333</v>
      </c>
    </row>
    <row r="613" spans="1:13" x14ac:dyDescent="0.3">
      <c r="A613" t="s">
        <v>4268</v>
      </c>
      <c r="B613" s="7" t="s">
        <v>4269</v>
      </c>
      <c r="C613" s="7"/>
      <c r="D613" s="7" t="s">
        <v>4269</v>
      </c>
      <c r="E613" s="7" t="s">
        <v>34</v>
      </c>
      <c r="F613" s="15" t="s">
        <v>5334</v>
      </c>
      <c r="G613" s="15" t="s">
        <v>4968</v>
      </c>
      <c r="H613" s="15" t="s">
        <v>5334</v>
      </c>
      <c r="I613" s="15" t="s">
        <v>5334</v>
      </c>
      <c r="J613" s="15" t="s">
        <v>5334</v>
      </c>
      <c r="K613" s="16">
        <v>5</v>
      </c>
      <c r="L613" s="17" t="s">
        <v>5334</v>
      </c>
      <c r="M613" s="10" t="s">
        <v>5335</v>
      </c>
    </row>
    <row r="614" spans="1:13" x14ac:dyDescent="0.3">
      <c r="A614" t="s">
        <v>4272</v>
      </c>
      <c r="B614" s="7"/>
      <c r="C614" s="7" t="s">
        <v>4260</v>
      </c>
      <c r="D614" s="7" t="s">
        <v>4260</v>
      </c>
      <c r="E614" s="7" t="s">
        <v>49</v>
      </c>
      <c r="F614" s="15" t="s">
        <v>4260</v>
      </c>
      <c r="G614" s="15" t="s">
        <v>4968</v>
      </c>
      <c r="H614" s="15" t="s">
        <v>4260</v>
      </c>
      <c r="I614" s="15" t="s">
        <v>4260</v>
      </c>
      <c r="J614" s="15" t="s">
        <v>4260</v>
      </c>
      <c r="K614" s="16">
        <v>5</v>
      </c>
      <c r="L614" s="17" t="s">
        <v>4260</v>
      </c>
      <c r="M614" s="10" t="s">
        <v>5336</v>
      </c>
    </row>
    <row r="615" spans="1:13" x14ac:dyDescent="0.3">
      <c r="A615" t="s">
        <v>4277</v>
      </c>
      <c r="B615" s="7" t="s">
        <v>4278</v>
      </c>
      <c r="C615" s="7" t="s">
        <v>4278</v>
      </c>
      <c r="D615" s="7"/>
      <c r="E615" s="7" t="s">
        <v>323</v>
      </c>
      <c r="F615" s="15" t="s">
        <v>4278</v>
      </c>
      <c r="G615" s="15" t="s">
        <v>4968</v>
      </c>
      <c r="H615" s="15" t="s">
        <v>4278</v>
      </c>
      <c r="I615" s="15" t="s">
        <v>4278</v>
      </c>
      <c r="J615" s="15" t="s">
        <v>4278</v>
      </c>
      <c r="K615" s="16">
        <v>4</v>
      </c>
      <c r="L615" s="17" t="s">
        <v>4278</v>
      </c>
      <c r="M615" s="10" t="s">
        <v>4968</v>
      </c>
    </row>
    <row r="616" spans="1:13" x14ac:dyDescent="0.3">
      <c r="A616" t="s">
        <v>4279</v>
      </c>
      <c r="B616" s="7"/>
      <c r="C616" s="7"/>
      <c r="D616" s="7" t="s">
        <v>4280</v>
      </c>
      <c r="E616" s="7" t="s">
        <v>9</v>
      </c>
      <c r="F616" s="15" t="s">
        <v>4280</v>
      </c>
      <c r="G616" s="15" t="s">
        <v>4968</v>
      </c>
      <c r="H616" s="15" t="s">
        <v>4280</v>
      </c>
      <c r="I616" s="15" t="s">
        <v>4280</v>
      </c>
      <c r="J616" s="15" t="s">
        <v>4280</v>
      </c>
      <c r="K616" s="16">
        <v>5</v>
      </c>
      <c r="L616" s="17" t="s">
        <v>4280</v>
      </c>
      <c r="M616" s="10" t="s">
        <v>5337</v>
      </c>
    </row>
    <row r="617" spans="1:13" x14ac:dyDescent="0.3">
      <c r="A617" t="s">
        <v>4291</v>
      </c>
      <c r="B617" s="7"/>
      <c r="C617" s="7" t="s">
        <v>4292</v>
      </c>
      <c r="D617" s="7" t="s">
        <v>4292</v>
      </c>
      <c r="E617" s="7" t="s">
        <v>49</v>
      </c>
      <c r="F617" s="15" t="s">
        <v>4292</v>
      </c>
      <c r="G617" s="15" t="s">
        <v>4968</v>
      </c>
      <c r="H617" s="15" t="s">
        <v>4292</v>
      </c>
      <c r="I617" s="15" t="s">
        <v>4292</v>
      </c>
      <c r="J617" s="15" t="s">
        <v>4292</v>
      </c>
      <c r="K617" s="16">
        <v>4</v>
      </c>
      <c r="L617" s="17" t="s">
        <v>4292</v>
      </c>
      <c r="M617" s="10" t="s">
        <v>4968</v>
      </c>
    </row>
    <row r="618" spans="1:13" x14ac:dyDescent="0.3">
      <c r="A618" t="s">
        <v>4299</v>
      </c>
      <c r="B618" s="7"/>
      <c r="C618" s="7"/>
      <c r="D618" s="7" t="s">
        <v>4300</v>
      </c>
      <c r="E618" s="7" t="s">
        <v>9</v>
      </c>
      <c r="F618" s="15" t="s">
        <v>4300</v>
      </c>
      <c r="G618" s="15" t="s">
        <v>4968</v>
      </c>
      <c r="H618" s="15" t="s">
        <v>4300</v>
      </c>
      <c r="I618" s="15" t="s">
        <v>4300</v>
      </c>
      <c r="J618" s="15" t="s">
        <v>5338</v>
      </c>
      <c r="K618" s="16">
        <v>3</v>
      </c>
      <c r="L618" s="17" t="s">
        <v>4300</v>
      </c>
      <c r="M618" s="10" t="s">
        <v>4968</v>
      </c>
    </row>
    <row r="619" spans="1:13" x14ac:dyDescent="0.3">
      <c r="A619" t="s">
        <v>4303</v>
      </c>
      <c r="B619" s="7" t="s">
        <v>4304</v>
      </c>
      <c r="C619" s="7" t="s">
        <v>4305</v>
      </c>
      <c r="D619" s="7" t="s">
        <v>4304</v>
      </c>
      <c r="E619" s="7" t="s">
        <v>493</v>
      </c>
      <c r="F619" s="15" t="s">
        <v>4304</v>
      </c>
      <c r="G619" s="15" t="s">
        <v>4968</v>
      </c>
      <c r="H619" s="15" t="s">
        <v>4305</v>
      </c>
      <c r="I619" s="15" t="s">
        <v>4304</v>
      </c>
      <c r="J619" s="15" t="s">
        <v>4304</v>
      </c>
      <c r="K619" s="16">
        <v>3</v>
      </c>
      <c r="L619" s="17" t="s">
        <v>4304</v>
      </c>
      <c r="M619" s="10" t="s">
        <v>4968</v>
      </c>
    </row>
    <row r="620" spans="1:13" x14ac:dyDescent="0.3">
      <c r="A620" t="s">
        <v>4308</v>
      </c>
      <c r="B620" s="7"/>
      <c r="C620" s="7" t="s">
        <v>4309</v>
      </c>
      <c r="D620" s="7" t="s">
        <v>4309</v>
      </c>
      <c r="E620" s="7" t="s">
        <v>49</v>
      </c>
      <c r="F620" s="15" t="s">
        <v>5339</v>
      </c>
      <c r="G620" s="15" t="s">
        <v>4968</v>
      </c>
      <c r="H620" s="15" t="s">
        <v>4309</v>
      </c>
      <c r="I620" s="15" t="s">
        <v>5339</v>
      </c>
      <c r="J620" s="15" t="s">
        <v>5339</v>
      </c>
      <c r="K620" s="16">
        <v>4</v>
      </c>
      <c r="L620" s="17" t="s">
        <v>5339</v>
      </c>
      <c r="M620" s="10" t="s">
        <v>4968</v>
      </c>
    </row>
    <row r="621" spans="1:13" x14ac:dyDescent="0.3">
      <c r="A621" t="s">
        <v>4314</v>
      </c>
      <c r="B621" s="7" t="s">
        <v>4315</v>
      </c>
      <c r="C621" s="7"/>
      <c r="D621" s="7" t="s">
        <v>4315</v>
      </c>
      <c r="E621" s="7" t="s">
        <v>34</v>
      </c>
      <c r="F621" s="15" t="s">
        <v>4315</v>
      </c>
      <c r="G621" s="15" t="s">
        <v>4968</v>
      </c>
      <c r="H621" s="15" t="s">
        <v>5339</v>
      </c>
      <c r="I621" s="15" t="s">
        <v>4315</v>
      </c>
      <c r="J621" s="15" t="s">
        <v>5339</v>
      </c>
      <c r="K621" s="16">
        <v>3</v>
      </c>
      <c r="L621" s="17" t="s">
        <v>4315</v>
      </c>
      <c r="M621" s="10" t="s">
        <v>5340</v>
      </c>
    </row>
    <row r="622" spans="1:13" x14ac:dyDescent="0.3">
      <c r="A622" t="s">
        <v>4318</v>
      </c>
      <c r="B622" s="7"/>
      <c r="C622" s="7" t="s">
        <v>4319</v>
      </c>
      <c r="D622" s="7"/>
      <c r="E622" s="7" t="s">
        <v>9</v>
      </c>
      <c r="F622" s="15" t="s">
        <v>4319</v>
      </c>
      <c r="G622" s="15" t="s">
        <v>4968</v>
      </c>
      <c r="H622" s="15" t="s">
        <v>4319</v>
      </c>
      <c r="I622" s="15" t="s">
        <v>4319</v>
      </c>
      <c r="J622" s="15" t="s">
        <v>4319</v>
      </c>
      <c r="K622" s="16">
        <v>4</v>
      </c>
      <c r="L622" s="17" t="s">
        <v>4319</v>
      </c>
      <c r="M622" s="10" t="s">
        <v>4968</v>
      </c>
    </row>
    <row r="623" spans="1:13" x14ac:dyDescent="0.3">
      <c r="A623" t="s">
        <v>4324</v>
      </c>
      <c r="B623" s="7"/>
      <c r="C623" s="7" t="s">
        <v>4325</v>
      </c>
      <c r="D623" s="7" t="s">
        <v>4325</v>
      </c>
      <c r="E623" s="7" t="s">
        <v>49</v>
      </c>
      <c r="F623" s="15" t="s">
        <v>4325</v>
      </c>
      <c r="G623" s="15" t="s">
        <v>4968</v>
      </c>
      <c r="H623" s="15" t="s">
        <v>4325</v>
      </c>
      <c r="I623" s="15" t="s">
        <v>4325</v>
      </c>
      <c r="J623" s="15" t="s">
        <v>4325</v>
      </c>
      <c r="K623" s="16">
        <v>5</v>
      </c>
      <c r="L623" s="17" t="s">
        <v>4325</v>
      </c>
      <c r="M623" s="10" t="s">
        <v>5341</v>
      </c>
    </row>
    <row r="624" spans="1:13" x14ac:dyDescent="0.3">
      <c r="A624" t="s">
        <v>4330</v>
      </c>
      <c r="B624" s="7" t="s">
        <v>4331</v>
      </c>
      <c r="C624" s="7"/>
      <c r="D624" s="7" t="s">
        <v>4331</v>
      </c>
      <c r="E624" s="7" t="s">
        <v>34</v>
      </c>
      <c r="F624" s="15" t="s">
        <v>4331</v>
      </c>
      <c r="G624" s="15" t="s">
        <v>4968</v>
      </c>
      <c r="H624" s="15" t="s">
        <v>4331</v>
      </c>
      <c r="I624" s="15" t="s">
        <v>4331</v>
      </c>
      <c r="J624" s="15" t="s">
        <v>4331</v>
      </c>
      <c r="K624" s="16">
        <v>4</v>
      </c>
      <c r="L624" s="17" t="s">
        <v>4331</v>
      </c>
      <c r="M624" s="10" t="s">
        <v>4968</v>
      </c>
    </row>
    <row r="625" spans="1:13" x14ac:dyDescent="0.3">
      <c r="A625" t="s">
        <v>4346</v>
      </c>
      <c r="B625" s="7"/>
      <c r="C625" s="7" t="s">
        <v>4347</v>
      </c>
      <c r="D625" s="7" t="s">
        <v>4347</v>
      </c>
      <c r="E625" s="7" t="s">
        <v>49</v>
      </c>
      <c r="F625" s="15" t="s">
        <v>4347</v>
      </c>
      <c r="G625" s="15" t="s">
        <v>4968</v>
      </c>
      <c r="H625" s="15" t="s">
        <v>4347</v>
      </c>
      <c r="I625" s="15" t="s">
        <v>4347</v>
      </c>
      <c r="J625" s="15" t="s">
        <v>4347</v>
      </c>
      <c r="K625" s="16">
        <v>5</v>
      </c>
      <c r="L625" s="17" t="s">
        <v>4347</v>
      </c>
      <c r="M625" s="10" t="s">
        <v>5342</v>
      </c>
    </row>
    <row r="626" spans="1:13" x14ac:dyDescent="0.3">
      <c r="A626" t="s">
        <v>4350</v>
      </c>
      <c r="B626" s="7"/>
      <c r="C626" s="7" t="s">
        <v>4351</v>
      </c>
      <c r="D626" s="7" t="s">
        <v>4351</v>
      </c>
      <c r="E626" s="7" t="s">
        <v>49</v>
      </c>
      <c r="F626" s="15" t="s">
        <v>4351</v>
      </c>
      <c r="G626" s="15" t="s">
        <v>4968</v>
      </c>
      <c r="H626" s="15" t="s">
        <v>4351</v>
      </c>
      <c r="I626" s="15" t="s">
        <v>4351</v>
      </c>
      <c r="J626" s="15" t="s">
        <v>4351</v>
      </c>
      <c r="K626" s="16">
        <v>4</v>
      </c>
      <c r="L626" s="17" t="s">
        <v>4351</v>
      </c>
      <c r="M626" s="10" t="s">
        <v>4968</v>
      </c>
    </row>
    <row r="627" spans="1:13" x14ac:dyDescent="0.3">
      <c r="A627" t="s">
        <v>4363</v>
      </c>
      <c r="B627" s="7" t="s">
        <v>4364</v>
      </c>
      <c r="C627" s="7"/>
      <c r="D627" s="7" t="s">
        <v>4364</v>
      </c>
      <c r="E627" s="7" t="s">
        <v>34</v>
      </c>
      <c r="F627" s="15" t="s">
        <v>4364</v>
      </c>
      <c r="G627" s="15" t="s">
        <v>4968</v>
      </c>
      <c r="H627" s="15" t="s">
        <v>4364</v>
      </c>
      <c r="I627" s="15" t="s">
        <v>4364</v>
      </c>
      <c r="J627" s="15" t="s">
        <v>4364</v>
      </c>
      <c r="K627" s="16">
        <v>5</v>
      </c>
      <c r="L627" s="17" t="s">
        <v>4364</v>
      </c>
      <c r="M627" s="10" t="s">
        <v>5343</v>
      </c>
    </row>
    <row r="628" spans="1:13" x14ac:dyDescent="0.3">
      <c r="A628" t="s">
        <v>4365</v>
      </c>
      <c r="B628" s="7" t="s">
        <v>4366</v>
      </c>
      <c r="C628" s="7"/>
      <c r="D628" s="7" t="s">
        <v>4366</v>
      </c>
      <c r="E628" s="7" t="s">
        <v>34</v>
      </c>
      <c r="F628" s="15" t="s">
        <v>4366</v>
      </c>
      <c r="G628" s="15" t="s">
        <v>4968</v>
      </c>
      <c r="H628" s="15" t="s">
        <v>4366</v>
      </c>
      <c r="I628" s="15" t="s">
        <v>4366</v>
      </c>
      <c r="J628" s="15" t="s">
        <v>4366</v>
      </c>
      <c r="K628" s="16">
        <v>5</v>
      </c>
      <c r="L628" s="17" t="s">
        <v>4366</v>
      </c>
      <c r="M628" s="10" t="s">
        <v>5344</v>
      </c>
    </row>
    <row r="629" spans="1:13" x14ac:dyDescent="0.3">
      <c r="A629" t="s">
        <v>4367</v>
      </c>
      <c r="B629" s="7" t="s">
        <v>4368</v>
      </c>
      <c r="C629" s="7"/>
      <c r="D629" s="7" t="s">
        <v>4368</v>
      </c>
      <c r="E629" s="7" t="s">
        <v>34</v>
      </c>
      <c r="F629" s="15" t="s">
        <v>4368</v>
      </c>
      <c r="G629" s="15" t="s">
        <v>4968</v>
      </c>
      <c r="H629" s="15" t="s">
        <v>4368</v>
      </c>
      <c r="I629" s="15" t="s">
        <v>4368</v>
      </c>
      <c r="J629" s="15" t="s">
        <v>4368</v>
      </c>
      <c r="K629" s="16">
        <v>5</v>
      </c>
      <c r="L629" s="17" t="s">
        <v>4368</v>
      </c>
      <c r="M629" s="10" t="s">
        <v>5345</v>
      </c>
    </row>
    <row r="630" spans="1:13" x14ac:dyDescent="0.3">
      <c r="A630" t="s">
        <v>4369</v>
      </c>
      <c r="B630" s="7" t="s">
        <v>4370</v>
      </c>
      <c r="C630" s="7" t="s">
        <v>4370</v>
      </c>
      <c r="D630" s="7"/>
      <c r="E630" s="7" t="s">
        <v>323</v>
      </c>
      <c r="F630" s="15" t="s">
        <v>4370</v>
      </c>
      <c r="G630" s="15" t="s">
        <v>4968</v>
      </c>
      <c r="H630" s="15" t="s">
        <v>4370</v>
      </c>
      <c r="I630" s="15" t="s">
        <v>4370</v>
      </c>
      <c r="J630" s="15" t="s">
        <v>4370</v>
      </c>
      <c r="K630" s="16">
        <v>4</v>
      </c>
      <c r="L630" s="17" t="s">
        <v>4370</v>
      </c>
      <c r="M630" s="10" t="s">
        <v>4968</v>
      </c>
    </row>
    <row r="631" spans="1:13" x14ac:dyDescent="0.3">
      <c r="A631" t="s">
        <v>4371</v>
      </c>
      <c r="B631" s="7" t="s">
        <v>4372</v>
      </c>
      <c r="C631" s="7"/>
      <c r="D631" s="7" t="s">
        <v>4373</v>
      </c>
      <c r="E631" s="7" t="s">
        <v>9</v>
      </c>
      <c r="F631" s="15" t="s">
        <v>4372</v>
      </c>
      <c r="G631" s="15" t="s">
        <v>4968</v>
      </c>
      <c r="H631" s="15" t="s">
        <v>4372</v>
      </c>
      <c r="I631" s="15" t="s">
        <v>4372</v>
      </c>
      <c r="J631" s="15" t="s">
        <v>4372</v>
      </c>
      <c r="K631" s="16">
        <v>4</v>
      </c>
      <c r="L631" s="17" t="s">
        <v>4372</v>
      </c>
      <c r="M631" s="10" t="s">
        <v>4968</v>
      </c>
    </row>
    <row r="632" spans="1:13" x14ac:dyDescent="0.3">
      <c r="A632" t="s">
        <v>4374</v>
      </c>
      <c r="B632" s="7" t="s">
        <v>4375</v>
      </c>
      <c r="C632" s="7"/>
      <c r="D632" s="7" t="s">
        <v>4375</v>
      </c>
      <c r="E632" s="7" t="s">
        <v>34</v>
      </c>
      <c r="F632" s="15" t="s">
        <v>4375</v>
      </c>
      <c r="G632" s="15" t="s">
        <v>4968</v>
      </c>
      <c r="H632" s="15" t="s">
        <v>4375</v>
      </c>
      <c r="I632" s="15" t="s">
        <v>4375</v>
      </c>
      <c r="J632" s="15" t="s">
        <v>4375</v>
      </c>
      <c r="K632" s="16">
        <v>4</v>
      </c>
      <c r="L632" s="17" t="s">
        <v>4375</v>
      </c>
      <c r="M632" s="10" t="s">
        <v>4968</v>
      </c>
    </row>
    <row r="633" spans="1:13" x14ac:dyDescent="0.3">
      <c r="A633" t="s">
        <v>4385</v>
      </c>
      <c r="B633" s="7" t="s">
        <v>4386</v>
      </c>
      <c r="C633" s="7" t="s">
        <v>4387</v>
      </c>
      <c r="D633" s="7"/>
      <c r="E633" s="7" t="s">
        <v>9</v>
      </c>
      <c r="F633" s="15" t="s">
        <v>4386</v>
      </c>
      <c r="G633" s="15" t="s">
        <v>4968</v>
      </c>
      <c r="H633" s="15" t="s">
        <v>4387</v>
      </c>
      <c r="I633" s="15" t="s">
        <v>5347</v>
      </c>
      <c r="J633" s="15" t="s">
        <v>4387</v>
      </c>
      <c r="K633" s="16">
        <v>4</v>
      </c>
      <c r="L633" s="17" t="s">
        <v>5346</v>
      </c>
      <c r="M633" s="10" t="s">
        <v>4968</v>
      </c>
    </row>
    <row r="634" spans="1:13" x14ac:dyDescent="0.3">
      <c r="A634" t="s">
        <v>4402</v>
      </c>
      <c r="B634" s="7" t="s">
        <v>4403</v>
      </c>
      <c r="C634" s="7" t="s">
        <v>4403</v>
      </c>
      <c r="D634" s="7" t="s">
        <v>4404</v>
      </c>
      <c r="E634" s="7" t="s">
        <v>15</v>
      </c>
      <c r="F634" s="15" t="s">
        <v>4403</v>
      </c>
      <c r="G634" s="15" t="s">
        <v>4968</v>
      </c>
      <c r="H634" s="15" t="s">
        <v>4403</v>
      </c>
      <c r="I634" s="15" t="s">
        <v>4403</v>
      </c>
      <c r="J634" s="15" t="s">
        <v>4403</v>
      </c>
      <c r="K634" s="16">
        <v>5</v>
      </c>
      <c r="L634" s="17" t="s">
        <v>4403</v>
      </c>
      <c r="M634" s="10" t="s">
        <v>5348</v>
      </c>
    </row>
    <row r="635" spans="1:13" x14ac:dyDescent="0.3">
      <c r="A635" t="s">
        <v>4405</v>
      </c>
      <c r="B635" s="7" t="s">
        <v>4406</v>
      </c>
      <c r="C635" s="7" t="s">
        <v>4406</v>
      </c>
      <c r="D635" s="7"/>
      <c r="E635" s="7" t="s">
        <v>323</v>
      </c>
      <c r="F635" s="15" t="s">
        <v>4406</v>
      </c>
      <c r="G635" s="15" t="s">
        <v>4968</v>
      </c>
      <c r="H635" s="15" t="s">
        <v>4406</v>
      </c>
      <c r="I635" s="15" t="s">
        <v>4406</v>
      </c>
      <c r="J635" s="15" t="s">
        <v>4406</v>
      </c>
      <c r="K635" s="16">
        <v>4</v>
      </c>
      <c r="L635" s="17" t="s">
        <v>4406</v>
      </c>
      <c r="M635" s="10" t="s">
        <v>4968</v>
      </c>
    </row>
    <row r="636" spans="1:13" x14ac:dyDescent="0.3">
      <c r="A636" t="s">
        <v>4425</v>
      </c>
      <c r="B636" s="7"/>
      <c r="C636" s="7" t="s">
        <v>4426</v>
      </c>
      <c r="D636" s="7" t="s">
        <v>4426</v>
      </c>
      <c r="E636" s="7" t="s">
        <v>49</v>
      </c>
      <c r="F636" s="15" t="s">
        <v>4426</v>
      </c>
      <c r="G636" s="15" t="s">
        <v>4968</v>
      </c>
      <c r="H636" s="15" t="s">
        <v>4426</v>
      </c>
      <c r="I636" s="15" t="s">
        <v>4426</v>
      </c>
      <c r="J636" s="15" t="s">
        <v>4426</v>
      </c>
      <c r="K636" s="16">
        <v>5</v>
      </c>
      <c r="L636" s="17" t="s">
        <v>4426</v>
      </c>
      <c r="M636" s="10" t="s">
        <v>5349</v>
      </c>
    </row>
    <row r="637" spans="1:13" x14ac:dyDescent="0.3">
      <c r="A637" t="s">
        <v>4427</v>
      </c>
      <c r="B637" s="7"/>
      <c r="C637" s="7" t="s">
        <v>4428</v>
      </c>
      <c r="D637" s="7" t="s">
        <v>4428</v>
      </c>
      <c r="E637" s="7" t="s">
        <v>49</v>
      </c>
      <c r="F637" s="15" t="s">
        <v>4428</v>
      </c>
      <c r="G637" s="15" t="s">
        <v>4968</v>
      </c>
      <c r="H637" s="15" t="s">
        <v>4428</v>
      </c>
      <c r="I637" s="15" t="s">
        <v>4968</v>
      </c>
      <c r="J637" s="15" t="s">
        <v>4428</v>
      </c>
      <c r="K637" s="16">
        <v>4</v>
      </c>
      <c r="L637" s="17" t="s">
        <v>4428</v>
      </c>
      <c r="M637" s="10" t="s">
        <v>5350</v>
      </c>
    </row>
    <row r="638" spans="1:13" x14ac:dyDescent="0.3">
      <c r="A638" t="s">
        <v>4429</v>
      </c>
      <c r="B638" s="7" t="s">
        <v>4430</v>
      </c>
      <c r="C638" s="7" t="s">
        <v>4431</v>
      </c>
      <c r="D638" s="7" t="s">
        <v>4431</v>
      </c>
      <c r="E638" s="7" t="s">
        <v>23</v>
      </c>
      <c r="F638" s="15" t="s">
        <v>4430</v>
      </c>
      <c r="G638" s="15" t="s">
        <v>4968</v>
      </c>
      <c r="H638" s="15" t="s">
        <v>4431</v>
      </c>
      <c r="I638" s="15" t="s">
        <v>4431</v>
      </c>
      <c r="J638" s="15" t="s">
        <v>4431</v>
      </c>
      <c r="K638" s="16">
        <v>5</v>
      </c>
      <c r="L638" s="17" t="s">
        <v>4431</v>
      </c>
      <c r="M638" s="10" t="s">
        <v>5351</v>
      </c>
    </row>
    <row r="639" spans="1:13" x14ac:dyDescent="0.3">
      <c r="A639" t="s">
        <v>4436</v>
      </c>
      <c r="B639" s="7"/>
      <c r="C639" s="7" t="s">
        <v>4437</v>
      </c>
      <c r="D639" s="7" t="s">
        <v>4437</v>
      </c>
      <c r="E639" s="7" t="s">
        <v>49</v>
      </c>
      <c r="F639" s="15" t="s">
        <v>4437</v>
      </c>
      <c r="G639" s="15" t="s">
        <v>4968</v>
      </c>
      <c r="H639" s="15" t="s">
        <v>4437</v>
      </c>
      <c r="I639" s="15" t="s">
        <v>4437</v>
      </c>
      <c r="J639" s="15" t="s">
        <v>4437</v>
      </c>
      <c r="K639" s="16">
        <v>4</v>
      </c>
      <c r="L639" s="17" t="s">
        <v>4437</v>
      </c>
      <c r="M639" s="10" t="s">
        <v>4968</v>
      </c>
    </row>
    <row r="640" spans="1:13" x14ac:dyDescent="0.3">
      <c r="A640" t="s">
        <v>4444</v>
      </c>
      <c r="B640" s="7" t="s">
        <v>4445</v>
      </c>
      <c r="C640" s="7"/>
      <c r="D640" s="7" t="s">
        <v>4445</v>
      </c>
      <c r="E640" s="7" t="s">
        <v>34</v>
      </c>
      <c r="F640" s="15" t="s">
        <v>4445</v>
      </c>
      <c r="G640" s="15" t="s">
        <v>4968</v>
      </c>
      <c r="H640" s="15" t="s">
        <v>4445</v>
      </c>
      <c r="I640" s="15" t="s">
        <v>4445</v>
      </c>
      <c r="J640" s="15" t="s">
        <v>4445</v>
      </c>
      <c r="K640" s="16">
        <v>5</v>
      </c>
      <c r="L640" s="17" t="s">
        <v>4445</v>
      </c>
      <c r="M640" s="10" t="s">
        <v>5352</v>
      </c>
    </row>
    <row r="641" spans="1:13" x14ac:dyDescent="0.3">
      <c r="A641" t="s">
        <v>4446</v>
      </c>
      <c r="B641" s="7"/>
      <c r="C641" s="7" t="s">
        <v>4447</v>
      </c>
      <c r="D641" s="7" t="s">
        <v>4447</v>
      </c>
      <c r="E641" s="7" t="s">
        <v>49</v>
      </c>
      <c r="F641" s="15" t="s">
        <v>4447</v>
      </c>
      <c r="G641" s="15" t="s">
        <v>4968</v>
      </c>
      <c r="H641" s="15" t="s">
        <v>4447</v>
      </c>
      <c r="I641" s="15" t="s">
        <v>4447</v>
      </c>
      <c r="J641" s="15" t="s">
        <v>4447</v>
      </c>
      <c r="K641" s="16">
        <v>4</v>
      </c>
      <c r="L641" s="17" t="s">
        <v>4447</v>
      </c>
      <c r="M641" s="10" t="s">
        <v>4968</v>
      </c>
    </row>
    <row r="642" spans="1:13" x14ac:dyDescent="0.3">
      <c r="A642" t="s">
        <v>4472</v>
      </c>
      <c r="B642" s="7" t="s">
        <v>4473</v>
      </c>
      <c r="C642" s="7" t="s">
        <v>4473</v>
      </c>
      <c r="D642" s="7"/>
      <c r="E642" s="7" t="s">
        <v>323</v>
      </c>
      <c r="F642" s="15" t="s">
        <v>4473</v>
      </c>
      <c r="G642" s="15" t="s">
        <v>4968</v>
      </c>
      <c r="H642" s="15" t="s">
        <v>4473</v>
      </c>
      <c r="I642" s="15" t="s">
        <v>4473</v>
      </c>
      <c r="J642" s="15" t="s">
        <v>4473</v>
      </c>
      <c r="K642" s="16">
        <v>4</v>
      </c>
      <c r="L642" s="17" t="s">
        <v>5353</v>
      </c>
      <c r="M642" s="10" t="s">
        <v>4968</v>
      </c>
    </row>
    <row r="643" spans="1:13" x14ac:dyDescent="0.3">
      <c r="A643" t="s">
        <v>4474</v>
      </c>
      <c r="B643" s="7" t="s">
        <v>4475</v>
      </c>
      <c r="C643" s="7" t="s">
        <v>4476</v>
      </c>
      <c r="D643" s="7"/>
      <c r="E643" s="7" t="s">
        <v>9</v>
      </c>
      <c r="F643" s="15" t="s">
        <v>4475</v>
      </c>
      <c r="G643" s="15" t="s">
        <v>4968</v>
      </c>
      <c r="H643" s="15" t="s">
        <v>4476</v>
      </c>
      <c r="I643" s="15" t="s">
        <v>4475</v>
      </c>
      <c r="J643" s="15" t="s">
        <v>4475</v>
      </c>
      <c r="K643" s="16">
        <v>4</v>
      </c>
      <c r="L643" s="17" t="s">
        <v>4475</v>
      </c>
      <c r="M643" s="10" t="s">
        <v>5354</v>
      </c>
    </row>
    <row r="644" spans="1:13" x14ac:dyDescent="0.3">
      <c r="A644" t="s">
        <v>4477</v>
      </c>
      <c r="B644" s="7" t="s">
        <v>4478</v>
      </c>
      <c r="C644" s="7" t="s">
        <v>4478</v>
      </c>
      <c r="D644" s="7" t="s">
        <v>4479</v>
      </c>
      <c r="E644" s="7" t="s">
        <v>15</v>
      </c>
      <c r="F644" s="15" t="s">
        <v>5355</v>
      </c>
      <c r="G644" s="15" t="s">
        <v>4968</v>
      </c>
      <c r="H644" s="15" t="s">
        <v>5356</v>
      </c>
      <c r="I644" s="15" t="s">
        <v>4479</v>
      </c>
      <c r="J644" s="15" t="s">
        <v>4968</v>
      </c>
      <c r="K644" s="16">
        <v>3</v>
      </c>
      <c r="L644" s="17" t="s">
        <v>4479</v>
      </c>
      <c r="M644" s="10" t="s">
        <v>5357</v>
      </c>
    </row>
    <row r="645" spans="1:13" x14ac:dyDescent="0.3">
      <c r="A645" t="s">
        <v>4483</v>
      </c>
      <c r="B645" s="7" t="s">
        <v>4484</v>
      </c>
      <c r="C645" s="7" t="s">
        <v>4485</v>
      </c>
      <c r="D645" s="7" t="s">
        <v>4485</v>
      </c>
      <c r="E645" s="7" t="s">
        <v>23</v>
      </c>
      <c r="F645" s="15" t="s">
        <v>4484</v>
      </c>
      <c r="G645" s="15" t="s">
        <v>4968</v>
      </c>
      <c r="H645" s="15" t="s">
        <v>4485</v>
      </c>
      <c r="I645" s="15" t="s">
        <v>4484</v>
      </c>
      <c r="J645" s="15" t="s">
        <v>4484</v>
      </c>
      <c r="K645" s="16">
        <v>3</v>
      </c>
      <c r="L645" s="17" t="s">
        <v>4484</v>
      </c>
      <c r="M645" s="10" t="s">
        <v>4968</v>
      </c>
    </row>
    <row r="646" spans="1:13" x14ac:dyDescent="0.3">
      <c r="A646" t="s">
        <v>4488</v>
      </c>
      <c r="B646" s="7" t="s">
        <v>4489</v>
      </c>
      <c r="C646" s="7" t="s">
        <v>4490</v>
      </c>
      <c r="D646" s="7"/>
      <c r="E646" s="7" t="s">
        <v>9</v>
      </c>
      <c r="F646" s="15" t="s">
        <v>5358</v>
      </c>
      <c r="G646" s="15" t="s">
        <v>4968</v>
      </c>
      <c r="H646" s="15" t="s">
        <v>4490</v>
      </c>
      <c r="I646" s="15" t="s">
        <v>5358</v>
      </c>
      <c r="J646" s="15" t="s">
        <v>4489</v>
      </c>
      <c r="K646" s="16">
        <v>3</v>
      </c>
      <c r="L646" s="17" t="s">
        <v>5358</v>
      </c>
      <c r="M646" s="10" t="s">
        <v>5359</v>
      </c>
    </row>
    <row r="647" spans="1:13" x14ac:dyDescent="0.3">
      <c r="A647" t="s">
        <v>4501</v>
      </c>
      <c r="B647" s="7" t="s">
        <v>4502</v>
      </c>
      <c r="C647" s="7" t="s">
        <v>4503</v>
      </c>
      <c r="D647" s="7" t="s">
        <v>4504</v>
      </c>
      <c r="E647" s="7" t="s">
        <v>295</v>
      </c>
      <c r="F647" s="15" t="s">
        <v>4502</v>
      </c>
      <c r="G647" s="15" t="s">
        <v>4968</v>
      </c>
      <c r="H647" s="15" t="s">
        <v>4503</v>
      </c>
      <c r="I647" s="15" t="s">
        <v>4502</v>
      </c>
      <c r="J647" s="15" t="s">
        <v>4502</v>
      </c>
      <c r="K647" s="16">
        <v>3</v>
      </c>
      <c r="L647" s="17" t="s">
        <v>4502</v>
      </c>
      <c r="M647" s="10" t="s">
        <v>4968</v>
      </c>
    </row>
    <row r="648" spans="1:13" x14ac:dyDescent="0.3">
      <c r="A648" t="s">
        <v>4507</v>
      </c>
      <c r="B648" s="7" t="s">
        <v>297</v>
      </c>
      <c r="C648" s="7" t="s">
        <v>298</v>
      </c>
      <c r="D648" s="7" t="s">
        <v>298</v>
      </c>
      <c r="E648" s="7" t="s">
        <v>23</v>
      </c>
      <c r="F648" s="15" t="s">
        <v>297</v>
      </c>
      <c r="G648" s="15" t="s">
        <v>4968</v>
      </c>
      <c r="H648" s="15" t="s">
        <v>297</v>
      </c>
      <c r="I648" s="15" t="s">
        <v>297</v>
      </c>
      <c r="J648" s="15" t="s">
        <v>297</v>
      </c>
      <c r="K648" s="16">
        <v>5</v>
      </c>
      <c r="L648" s="17" t="s">
        <v>297</v>
      </c>
      <c r="M648" s="10" t="s">
        <v>5360</v>
      </c>
    </row>
    <row r="649" spans="1:13" x14ac:dyDescent="0.3">
      <c r="A649" t="s">
        <v>4512</v>
      </c>
      <c r="B649" s="7" t="s">
        <v>4513</v>
      </c>
      <c r="C649" s="7" t="s">
        <v>4513</v>
      </c>
      <c r="D649" s="7" t="s">
        <v>4514</v>
      </c>
      <c r="E649" s="7" t="s">
        <v>15</v>
      </c>
      <c r="F649" s="15" t="s">
        <v>5361</v>
      </c>
      <c r="G649" s="15" t="s">
        <v>4968</v>
      </c>
      <c r="H649" s="15" t="s">
        <v>5361</v>
      </c>
      <c r="I649" s="15" t="s">
        <v>5361</v>
      </c>
      <c r="J649" s="15" t="s">
        <v>4968</v>
      </c>
      <c r="K649" s="16">
        <v>3</v>
      </c>
      <c r="L649" s="17" t="s">
        <v>5361</v>
      </c>
      <c r="M649" s="10" t="s">
        <v>4968</v>
      </c>
    </row>
    <row r="650" spans="1:13" x14ac:dyDescent="0.3">
      <c r="A650" t="s">
        <v>4515</v>
      </c>
      <c r="B650" s="7"/>
      <c r="C650" s="7" t="s">
        <v>4516</v>
      </c>
      <c r="D650" s="7" t="s">
        <v>4514</v>
      </c>
      <c r="E650" s="7" t="s">
        <v>9</v>
      </c>
      <c r="F650" s="15" t="s">
        <v>4513</v>
      </c>
      <c r="G650" s="15" t="s">
        <v>4968</v>
      </c>
      <c r="H650" s="15" t="s">
        <v>4516</v>
      </c>
      <c r="I650" s="15" t="s">
        <v>4513</v>
      </c>
      <c r="J650" s="15" t="s">
        <v>4513</v>
      </c>
      <c r="K650" s="16">
        <v>3</v>
      </c>
      <c r="L650" s="17" t="s">
        <v>4513</v>
      </c>
      <c r="M650" s="10" t="s">
        <v>4968</v>
      </c>
    </row>
    <row r="651" spans="1:13" x14ac:dyDescent="0.3">
      <c r="A651" t="s">
        <v>4527</v>
      </c>
      <c r="B651" s="7" t="s">
        <v>4528</v>
      </c>
      <c r="C651" s="7" t="s">
        <v>4529</v>
      </c>
      <c r="D651" s="7" t="s">
        <v>4529</v>
      </c>
      <c r="E651" s="7" t="s">
        <v>23</v>
      </c>
      <c r="F651" s="15" t="s">
        <v>4528</v>
      </c>
      <c r="G651" s="15" t="s">
        <v>4968</v>
      </c>
      <c r="H651" s="15" t="s">
        <v>5362</v>
      </c>
      <c r="I651" s="15" t="s">
        <v>4528</v>
      </c>
      <c r="J651" s="15" t="s">
        <v>4528</v>
      </c>
      <c r="K651" s="16">
        <v>4</v>
      </c>
      <c r="L651" s="17" t="s">
        <v>4528</v>
      </c>
      <c r="M651" s="10" t="s">
        <v>5363</v>
      </c>
    </row>
    <row r="652" spans="1:13" x14ac:dyDescent="0.3">
      <c r="A652" t="s">
        <v>4532</v>
      </c>
      <c r="B652" s="7"/>
      <c r="C652" s="7"/>
      <c r="D652" s="7" t="s">
        <v>4533</v>
      </c>
      <c r="E652" s="7" t="s">
        <v>9</v>
      </c>
      <c r="F652" s="15" t="s">
        <v>4533</v>
      </c>
      <c r="G652" s="15" t="s">
        <v>4968</v>
      </c>
      <c r="H652" s="15" t="s">
        <v>4533</v>
      </c>
      <c r="I652" s="15" t="s">
        <v>4533</v>
      </c>
      <c r="J652" s="15" t="s">
        <v>4533</v>
      </c>
      <c r="K652" s="16">
        <v>5</v>
      </c>
      <c r="L652" s="17" t="s">
        <v>4533</v>
      </c>
      <c r="M652" s="10" t="s">
        <v>5364</v>
      </c>
    </row>
    <row r="653" spans="1:13" x14ac:dyDescent="0.3">
      <c r="A653" t="s">
        <v>4546</v>
      </c>
      <c r="B653" s="7"/>
      <c r="C653" s="7" t="s">
        <v>4547</v>
      </c>
      <c r="D653" s="7" t="s">
        <v>4547</v>
      </c>
      <c r="E653" s="7" t="s">
        <v>49</v>
      </c>
      <c r="F653" s="15" t="s">
        <v>5366</v>
      </c>
      <c r="G653" s="15" t="s">
        <v>4968</v>
      </c>
      <c r="H653" s="15" t="s">
        <v>5366</v>
      </c>
      <c r="I653" s="15" t="s">
        <v>5366</v>
      </c>
      <c r="J653" s="15" t="s">
        <v>5366</v>
      </c>
      <c r="K653" s="16">
        <v>5</v>
      </c>
      <c r="L653" s="17" t="s">
        <v>5366</v>
      </c>
      <c r="M653" s="10" t="s">
        <v>5365</v>
      </c>
    </row>
    <row r="654" spans="1:13" x14ac:dyDescent="0.3">
      <c r="A654" t="s">
        <v>4562</v>
      </c>
      <c r="B654" s="7" t="s">
        <v>4563</v>
      </c>
      <c r="C654" s="7" t="s">
        <v>4563</v>
      </c>
      <c r="D654" s="7" t="s">
        <v>4564</v>
      </c>
      <c r="E654" s="7" t="s">
        <v>15</v>
      </c>
      <c r="F654" s="15" t="s">
        <v>4563</v>
      </c>
      <c r="G654" s="15" t="s">
        <v>4968</v>
      </c>
      <c r="H654" s="15" t="s">
        <v>4563</v>
      </c>
      <c r="I654" s="15" t="s">
        <v>4563</v>
      </c>
      <c r="J654" s="15" t="s">
        <v>4563</v>
      </c>
      <c r="K654" s="16">
        <v>4</v>
      </c>
      <c r="L654" s="17" t="s">
        <v>4563</v>
      </c>
      <c r="M654" s="10" t="s">
        <v>4968</v>
      </c>
    </row>
    <row r="655" spans="1:13" x14ac:dyDescent="0.3">
      <c r="A655" t="s">
        <v>4572</v>
      </c>
      <c r="B655" s="7" t="s">
        <v>4573</v>
      </c>
      <c r="C655" s="7"/>
      <c r="D655" s="7" t="s">
        <v>4574</v>
      </c>
      <c r="E655" s="7" t="s">
        <v>9</v>
      </c>
      <c r="F655" s="15" t="s">
        <v>5367</v>
      </c>
      <c r="G655" s="15" t="s">
        <v>4968</v>
      </c>
      <c r="H655" s="15" t="s">
        <v>5367</v>
      </c>
      <c r="I655" s="15" t="s">
        <v>5367</v>
      </c>
      <c r="J655" s="15" t="s">
        <v>5368</v>
      </c>
      <c r="K655" s="16">
        <v>3</v>
      </c>
      <c r="L655" s="17" t="s">
        <v>5367</v>
      </c>
      <c r="M655" s="10" t="s">
        <v>4968</v>
      </c>
    </row>
    <row r="656" spans="1:13" x14ac:dyDescent="0.3">
      <c r="A656" t="s">
        <v>4575</v>
      </c>
      <c r="B656" s="7" t="s">
        <v>4576</v>
      </c>
      <c r="C656" s="7"/>
      <c r="D656" s="7" t="s">
        <v>4576</v>
      </c>
      <c r="E656" s="7" t="s">
        <v>34</v>
      </c>
      <c r="F656" s="15" t="s">
        <v>4576</v>
      </c>
      <c r="G656" s="15" t="s">
        <v>4968</v>
      </c>
      <c r="H656" s="15" t="s">
        <v>4576</v>
      </c>
      <c r="I656" s="15" t="s">
        <v>4968</v>
      </c>
      <c r="J656" s="15" t="s">
        <v>4576</v>
      </c>
      <c r="K656" s="16">
        <v>4</v>
      </c>
      <c r="L656" s="17" t="s">
        <v>4576</v>
      </c>
      <c r="M656" s="10" t="s">
        <v>5369</v>
      </c>
    </row>
    <row r="657" spans="1:13" x14ac:dyDescent="0.3">
      <c r="A657" t="s">
        <v>4579</v>
      </c>
      <c r="B657" s="7"/>
      <c r="C657" s="7" t="s">
        <v>4580</v>
      </c>
      <c r="D657" s="7" t="s">
        <v>4581</v>
      </c>
      <c r="E657" s="7" t="s">
        <v>9</v>
      </c>
      <c r="F657" s="15" t="s">
        <v>4580</v>
      </c>
      <c r="G657" s="15" t="s">
        <v>4968</v>
      </c>
      <c r="H657" s="15" t="s">
        <v>4580</v>
      </c>
      <c r="I657" s="15" t="s">
        <v>4580</v>
      </c>
      <c r="J657" s="15" t="s">
        <v>4580</v>
      </c>
      <c r="K657" s="16">
        <v>5</v>
      </c>
      <c r="L657" s="17" t="s">
        <v>4580</v>
      </c>
      <c r="M657" s="10" t="s">
        <v>5370</v>
      </c>
    </row>
    <row r="658" spans="1:13" x14ac:dyDescent="0.3">
      <c r="A658" t="s">
        <v>4585</v>
      </c>
      <c r="B658" s="7" t="s">
        <v>4586</v>
      </c>
      <c r="C658" s="7" t="s">
        <v>4587</v>
      </c>
      <c r="D658" s="7" t="s">
        <v>4587</v>
      </c>
      <c r="E658" s="7" t="s">
        <v>23</v>
      </c>
      <c r="F658" s="15" t="s">
        <v>4586</v>
      </c>
      <c r="G658" s="15" t="s">
        <v>4968</v>
      </c>
      <c r="H658" s="15" t="s">
        <v>4587</v>
      </c>
      <c r="I658" s="15" t="s">
        <v>4586</v>
      </c>
      <c r="J658" s="15" t="s">
        <v>4586</v>
      </c>
      <c r="K658" s="16">
        <v>3</v>
      </c>
      <c r="L658" s="17" t="s">
        <v>4586</v>
      </c>
      <c r="M658" s="10" t="s">
        <v>4968</v>
      </c>
    </row>
    <row r="659" spans="1:13" x14ac:dyDescent="0.3">
      <c r="A659" t="s">
        <v>4590</v>
      </c>
      <c r="B659" s="7"/>
      <c r="C659" s="7" t="s">
        <v>4591</v>
      </c>
      <c r="D659" s="7" t="s">
        <v>4591</v>
      </c>
      <c r="E659" s="7" t="s">
        <v>49</v>
      </c>
      <c r="F659" s="15" t="s">
        <v>4591</v>
      </c>
      <c r="G659" s="15" t="s">
        <v>4968</v>
      </c>
      <c r="H659" s="15" t="s">
        <v>4591</v>
      </c>
      <c r="I659" s="15" t="s">
        <v>4591</v>
      </c>
      <c r="J659" s="15" t="s">
        <v>4591</v>
      </c>
      <c r="K659" s="16">
        <v>5</v>
      </c>
      <c r="L659" s="17" t="s">
        <v>4591</v>
      </c>
      <c r="M659" s="10" t="s">
        <v>5371</v>
      </c>
    </row>
    <row r="660" spans="1:13" x14ac:dyDescent="0.3">
      <c r="A660" t="s">
        <v>4604</v>
      </c>
      <c r="B660" s="7" t="s">
        <v>4605</v>
      </c>
      <c r="C660" s="7"/>
      <c r="D660" s="7" t="s">
        <v>4605</v>
      </c>
      <c r="E660" s="7" t="s">
        <v>34</v>
      </c>
      <c r="F660" s="15" t="s">
        <v>4605</v>
      </c>
      <c r="G660" s="15" t="s">
        <v>4968</v>
      </c>
      <c r="H660" s="15" t="s">
        <v>4605</v>
      </c>
      <c r="I660" s="15" t="s">
        <v>4605</v>
      </c>
      <c r="J660" s="15" t="s">
        <v>4605</v>
      </c>
      <c r="K660" s="16">
        <v>5</v>
      </c>
      <c r="L660" s="17" t="s">
        <v>4605</v>
      </c>
      <c r="M660" s="10" t="s">
        <v>5372</v>
      </c>
    </row>
    <row r="661" spans="1:13" x14ac:dyDescent="0.3">
      <c r="A661" t="s">
        <v>4610</v>
      </c>
      <c r="B661" s="7" t="s">
        <v>4611</v>
      </c>
      <c r="C661" s="7"/>
      <c r="D661" s="7" t="s">
        <v>4611</v>
      </c>
      <c r="E661" s="7" t="s">
        <v>34</v>
      </c>
      <c r="F661" s="15" t="s">
        <v>4611</v>
      </c>
      <c r="G661" s="15" t="s">
        <v>4968</v>
      </c>
      <c r="H661" s="15" t="s">
        <v>4611</v>
      </c>
      <c r="I661" s="15" t="s">
        <v>4611</v>
      </c>
      <c r="J661" s="15" t="s">
        <v>4611</v>
      </c>
      <c r="K661" s="16">
        <v>5</v>
      </c>
      <c r="L661" s="17" t="s">
        <v>4611</v>
      </c>
      <c r="M661" s="10" t="s">
        <v>5373</v>
      </c>
    </row>
    <row r="662" spans="1:13" x14ac:dyDescent="0.3">
      <c r="A662" t="s">
        <v>4612</v>
      </c>
      <c r="B662" s="7" t="s">
        <v>4613</v>
      </c>
      <c r="C662" s="7" t="s">
        <v>4613</v>
      </c>
      <c r="D662" s="7"/>
      <c r="E662" s="7" t="s">
        <v>323</v>
      </c>
      <c r="F662" s="15" t="s">
        <v>4613</v>
      </c>
      <c r="G662" s="15" t="s">
        <v>4968</v>
      </c>
      <c r="H662" s="15" t="s">
        <v>4613</v>
      </c>
      <c r="I662" s="15" t="s">
        <v>4613</v>
      </c>
      <c r="J662" s="15" t="s">
        <v>4613</v>
      </c>
      <c r="K662" s="16">
        <v>5</v>
      </c>
      <c r="L662" s="17" t="s">
        <v>4613</v>
      </c>
      <c r="M662" s="10" t="s">
        <v>5374</v>
      </c>
    </row>
    <row r="663" spans="1:13" x14ac:dyDescent="0.3">
      <c r="A663" t="s">
        <v>4616</v>
      </c>
      <c r="B663" s="7"/>
      <c r="C663" s="7" t="s">
        <v>4617</v>
      </c>
      <c r="D663" s="7" t="s">
        <v>4617</v>
      </c>
      <c r="E663" s="7" t="s">
        <v>49</v>
      </c>
      <c r="F663" s="15" t="s">
        <v>4617</v>
      </c>
      <c r="G663" s="15" t="s">
        <v>4968</v>
      </c>
      <c r="H663" s="15" t="s">
        <v>4617</v>
      </c>
      <c r="I663" s="15" t="s">
        <v>4617</v>
      </c>
      <c r="J663" s="15" t="s">
        <v>4617</v>
      </c>
      <c r="K663" s="16">
        <v>5</v>
      </c>
      <c r="L663" s="17" t="s">
        <v>4617</v>
      </c>
      <c r="M663" s="10" t="s">
        <v>5375</v>
      </c>
    </row>
    <row r="664" spans="1:13" x14ac:dyDescent="0.3">
      <c r="A664" t="s">
        <v>4626</v>
      </c>
      <c r="B664" s="7"/>
      <c r="C664" s="7" t="s">
        <v>4627</v>
      </c>
      <c r="D664" s="7" t="s">
        <v>4628</v>
      </c>
      <c r="E664" s="7" t="s">
        <v>9</v>
      </c>
      <c r="F664" s="15" t="s">
        <v>4627</v>
      </c>
      <c r="G664" s="15" t="s">
        <v>4968</v>
      </c>
      <c r="H664" s="15" t="s">
        <v>4627</v>
      </c>
      <c r="I664" s="15" t="s">
        <v>4627</v>
      </c>
      <c r="J664" s="15" t="s">
        <v>4627</v>
      </c>
      <c r="K664" s="16">
        <v>4</v>
      </c>
      <c r="L664" s="17" t="s">
        <v>4627</v>
      </c>
      <c r="M664" s="10" t="s">
        <v>4968</v>
      </c>
    </row>
    <row r="665" spans="1:13" x14ac:dyDescent="0.3">
      <c r="A665" t="s">
        <v>4629</v>
      </c>
      <c r="B665" s="7"/>
      <c r="C665" s="7" t="s">
        <v>4630</v>
      </c>
      <c r="D665" s="7" t="s">
        <v>4630</v>
      </c>
      <c r="E665" s="7" t="s">
        <v>49</v>
      </c>
      <c r="F665" s="15" t="s">
        <v>4630</v>
      </c>
      <c r="G665" s="15" t="s">
        <v>4968</v>
      </c>
      <c r="H665" s="15" t="s">
        <v>4630</v>
      </c>
      <c r="I665" s="15" t="s">
        <v>4630</v>
      </c>
      <c r="J665" s="15" t="s">
        <v>4630</v>
      </c>
      <c r="K665" s="16">
        <v>4</v>
      </c>
      <c r="L665" s="17" t="s">
        <v>4630</v>
      </c>
      <c r="M665" s="10" t="s">
        <v>4968</v>
      </c>
    </row>
    <row r="666" spans="1:13" x14ac:dyDescent="0.3">
      <c r="A666" t="s">
        <v>4631</v>
      </c>
      <c r="B666" s="7"/>
      <c r="C666" s="7" t="s">
        <v>4632</v>
      </c>
      <c r="D666" s="7" t="s">
        <v>4632</v>
      </c>
      <c r="E666" s="7" t="s">
        <v>49</v>
      </c>
      <c r="F666" s="15" t="s">
        <v>4632</v>
      </c>
      <c r="G666" s="15" t="s">
        <v>4968</v>
      </c>
      <c r="H666" s="15" t="s">
        <v>4632</v>
      </c>
      <c r="I666" s="15" t="s">
        <v>4632</v>
      </c>
      <c r="J666" s="15" t="s">
        <v>4632</v>
      </c>
      <c r="K666" s="16">
        <v>4</v>
      </c>
      <c r="L666" s="17" t="s">
        <v>4632</v>
      </c>
      <c r="M666" s="10" t="s">
        <v>4968</v>
      </c>
    </row>
    <row r="667" spans="1:13" x14ac:dyDescent="0.3">
      <c r="A667" t="s">
        <v>4635</v>
      </c>
      <c r="B667" s="7"/>
      <c r="C667" s="7" t="s">
        <v>4636</v>
      </c>
      <c r="D667" s="7" t="s">
        <v>4632</v>
      </c>
      <c r="E667" s="7" t="s">
        <v>9</v>
      </c>
      <c r="F667" s="15" t="s">
        <v>4636</v>
      </c>
      <c r="G667" s="15" t="s">
        <v>4968</v>
      </c>
      <c r="H667" s="15" t="s">
        <v>4636</v>
      </c>
      <c r="I667" s="15" t="s">
        <v>4636</v>
      </c>
      <c r="J667" s="15" t="s">
        <v>4636</v>
      </c>
      <c r="K667" s="16">
        <v>5</v>
      </c>
      <c r="L667" s="17" t="s">
        <v>4636</v>
      </c>
      <c r="M667" s="10" t="s">
        <v>5376</v>
      </c>
    </row>
    <row r="668" spans="1:13" x14ac:dyDescent="0.3">
      <c r="A668" t="s">
        <v>4637</v>
      </c>
      <c r="B668" s="7"/>
      <c r="C668" s="7"/>
      <c r="D668" s="7" t="s">
        <v>4638</v>
      </c>
      <c r="E668" s="7" t="s">
        <v>9</v>
      </c>
      <c r="F668" s="15" t="s">
        <v>4638</v>
      </c>
      <c r="G668" s="15" t="s">
        <v>4968</v>
      </c>
      <c r="H668" s="15" t="s">
        <v>4638</v>
      </c>
      <c r="I668" s="15" t="s">
        <v>4638</v>
      </c>
      <c r="J668" s="15" t="s">
        <v>4638</v>
      </c>
      <c r="K668" s="16">
        <v>5</v>
      </c>
      <c r="L668" s="17" t="s">
        <v>4638</v>
      </c>
      <c r="M668" s="10" t="s">
        <v>5377</v>
      </c>
    </row>
    <row r="669" spans="1:13" x14ac:dyDescent="0.3">
      <c r="A669" t="s">
        <v>4653</v>
      </c>
      <c r="B669" s="7" t="s">
        <v>4654</v>
      </c>
      <c r="C669" s="7" t="s">
        <v>4655</v>
      </c>
      <c r="D669" s="7" t="s">
        <v>4655</v>
      </c>
      <c r="E669" s="7" t="s">
        <v>23</v>
      </c>
      <c r="F669" s="15" t="s">
        <v>4654</v>
      </c>
      <c r="G669" s="15" t="s">
        <v>4968</v>
      </c>
      <c r="H669" s="15" t="s">
        <v>4655</v>
      </c>
      <c r="I669" s="15" t="s">
        <v>4654</v>
      </c>
      <c r="J669" s="15" t="s">
        <v>4654</v>
      </c>
      <c r="K669" s="16">
        <v>4</v>
      </c>
      <c r="L669" s="17" t="s">
        <v>4654</v>
      </c>
      <c r="M669" s="10" t="s">
        <v>4968</v>
      </c>
    </row>
    <row r="670" spans="1:13" x14ac:dyDescent="0.3">
      <c r="A670" t="s">
        <v>4661</v>
      </c>
      <c r="B670" s="7"/>
      <c r="C670" s="7" t="s">
        <v>4662</v>
      </c>
      <c r="D670" s="7" t="s">
        <v>4662</v>
      </c>
      <c r="E670" s="7" t="s">
        <v>49</v>
      </c>
      <c r="F670" s="15" t="s">
        <v>4662</v>
      </c>
      <c r="G670" s="15" t="s">
        <v>4968</v>
      </c>
      <c r="H670" s="15" t="s">
        <v>4662</v>
      </c>
      <c r="I670" s="15" t="s">
        <v>4662</v>
      </c>
      <c r="J670" s="15" t="s">
        <v>5378</v>
      </c>
      <c r="K670" s="16">
        <v>3</v>
      </c>
      <c r="L670" s="17" t="s">
        <v>4662</v>
      </c>
      <c r="M670" s="10" t="s">
        <v>4968</v>
      </c>
    </row>
    <row r="671" spans="1:13" x14ac:dyDescent="0.3">
      <c r="A671" t="s">
        <v>4679</v>
      </c>
      <c r="B671" s="7" t="s">
        <v>4680</v>
      </c>
      <c r="C671" s="7" t="s">
        <v>4680</v>
      </c>
      <c r="D671" s="7" t="s">
        <v>4681</v>
      </c>
      <c r="E671" s="7" t="s">
        <v>15</v>
      </c>
      <c r="F671" s="15" t="s">
        <v>4680</v>
      </c>
      <c r="G671" s="15" t="s">
        <v>4968</v>
      </c>
      <c r="H671" s="15" t="s">
        <v>4680</v>
      </c>
      <c r="I671" s="15" t="s">
        <v>4680</v>
      </c>
      <c r="J671" s="15" t="s">
        <v>5380</v>
      </c>
      <c r="K671" s="16">
        <v>4</v>
      </c>
      <c r="L671" s="17" t="s">
        <v>4680</v>
      </c>
      <c r="M671" s="10" t="s">
        <v>5379</v>
      </c>
    </row>
    <row r="672" spans="1:13" x14ac:dyDescent="0.3">
      <c r="A672" t="s">
        <v>4682</v>
      </c>
      <c r="B672" s="7"/>
      <c r="C672" s="7" t="s">
        <v>4683</v>
      </c>
      <c r="D672" s="7" t="s">
        <v>4683</v>
      </c>
      <c r="E672" s="7" t="s">
        <v>49</v>
      </c>
      <c r="F672" s="15" t="s">
        <v>4683</v>
      </c>
      <c r="G672" s="15" t="s">
        <v>4968</v>
      </c>
      <c r="H672" s="15" t="s">
        <v>4683</v>
      </c>
      <c r="I672" s="15" t="s">
        <v>4683</v>
      </c>
      <c r="J672" s="15" t="s">
        <v>4683</v>
      </c>
      <c r="K672" s="16">
        <v>5</v>
      </c>
      <c r="L672" s="17" t="s">
        <v>4683</v>
      </c>
      <c r="M672" s="10" t="s">
        <v>5381</v>
      </c>
    </row>
    <row r="673" spans="1:13" x14ac:dyDescent="0.3">
      <c r="A673" t="s">
        <v>4688</v>
      </c>
      <c r="B673" s="7" t="s">
        <v>4689</v>
      </c>
      <c r="C673" s="7"/>
      <c r="D673" s="7" t="s">
        <v>4689</v>
      </c>
      <c r="E673" s="7" t="s">
        <v>34</v>
      </c>
      <c r="F673" s="15" t="s">
        <v>4689</v>
      </c>
      <c r="G673" s="15" t="s">
        <v>4968</v>
      </c>
      <c r="H673" s="15" t="s">
        <v>4689</v>
      </c>
      <c r="I673" s="15" t="s">
        <v>4689</v>
      </c>
      <c r="J673" s="15" t="s">
        <v>4689</v>
      </c>
      <c r="K673" s="16">
        <v>5</v>
      </c>
      <c r="L673" s="17" t="s">
        <v>4689</v>
      </c>
      <c r="M673" s="10" t="s">
        <v>5382</v>
      </c>
    </row>
    <row r="674" spans="1:13" x14ac:dyDescent="0.3">
      <c r="A674" t="s">
        <v>4690</v>
      </c>
      <c r="B674" s="7" t="s">
        <v>4691</v>
      </c>
      <c r="C674" s="7"/>
      <c r="D674" s="7" t="s">
        <v>4691</v>
      </c>
      <c r="E674" s="7" t="s">
        <v>34</v>
      </c>
      <c r="F674" s="15" t="s">
        <v>4691</v>
      </c>
      <c r="G674" s="15" t="s">
        <v>4968</v>
      </c>
      <c r="H674" s="15" t="s">
        <v>4691</v>
      </c>
      <c r="I674" s="15" t="s">
        <v>4691</v>
      </c>
      <c r="J674" s="15" t="s">
        <v>4691</v>
      </c>
      <c r="K674" s="16">
        <v>4</v>
      </c>
      <c r="L674" s="17" t="s">
        <v>4691</v>
      </c>
      <c r="M674" s="10" t="s">
        <v>4968</v>
      </c>
    </row>
    <row r="675" spans="1:13" x14ac:dyDescent="0.3">
      <c r="A675" t="s">
        <v>4716</v>
      </c>
      <c r="B675" s="7"/>
      <c r="C675" s="7" t="s">
        <v>4717</v>
      </c>
      <c r="D675" s="7" t="s">
        <v>4717</v>
      </c>
      <c r="E675" s="7" t="s">
        <v>49</v>
      </c>
      <c r="F675" s="15" t="s">
        <v>4717</v>
      </c>
      <c r="G675" s="15" t="s">
        <v>4968</v>
      </c>
      <c r="H675" s="15" t="s">
        <v>4717</v>
      </c>
      <c r="I675" s="15" t="s">
        <v>4717</v>
      </c>
      <c r="J675" s="15" t="s">
        <v>4717</v>
      </c>
      <c r="K675" s="16">
        <v>4</v>
      </c>
      <c r="L675" s="17" t="s">
        <v>4717</v>
      </c>
      <c r="M675" s="10" t="s">
        <v>4968</v>
      </c>
    </row>
    <row r="676" spans="1:13" x14ac:dyDescent="0.3">
      <c r="A676" t="s">
        <v>4718</v>
      </c>
      <c r="B676" s="7" t="s">
        <v>4719</v>
      </c>
      <c r="C676" s="7" t="s">
        <v>4720</v>
      </c>
      <c r="D676" s="7"/>
      <c r="E676" s="7" t="s">
        <v>9</v>
      </c>
      <c r="F676" s="15" t="s">
        <v>4719</v>
      </c>
      <c r="G676" s="15" t="s">
        <v>4968</v>
      </c>
      <c r="H676" s="15" t="s">
        <v>4720</v>
      </c>
      <c r="I676" s="15" t="s">
        <v>4719</v>
      </c>
      <c r="J676" s="15" t="s">
        <v>4719</v>
      </c>
      <c r="K676" s="16">
        <v>4</v>
      </c>
      <c r="L676" s="17" t="s">
        <v>4719</v>
      </c>
      <c r="M676" s="10" t="s">
        <v>5383</v>
      </c>
    </row>
    <row r="677" spans="1:13" x14ac:dyDescent="0.3">
      <c r="A677" t="s">
        <v>4723</v>
      </c>
      <c r="B677" s="7" t="s">
        <v>4724</v>
      </c>
      <c r="C677" s="7" t="s">
        <v>4724</v>
      </c>
      <c r="D677" s="7" t="s">
        <v>4725</v>
      </c>
      <c r="E677" s="7" t="s">
        <v>15</v>
      </c>
      <c r="F677" s="15" t="s">
        <v>4724</v>
      </c>
      <c r="G677" s="15" t="s">
        <v>4968</v>
      </c>
      <c r="H677" s="15" t="s">
        <v>4724</v>
      </c>
      <c r="I677" s="15" t="s">
        <v>4724</v>
      </c>
      <c r="J677" s="15" t="s">
        <v>4724</v>
      </c>
      <c r="K677" s="16">
        <v>5</v>
      </c>
      <c r="L677" s="17" t="s">
        <v>4724</v>
      </c>
      <c r="M677" s="10" t="s">
        <v>5384</v>
      </c>
    </row>
    <row r="678" spans="1:13" x14ac:dyDescent="0.3">
      <c r="A678" t="s">
        <v>4728</v>
      </c>
      <c r="B678" s="7"/>
      <c r="C678" s="7" t="s">
        <v>4729</v>
      </c>
      <c r="D678" s="7" t="s">
        <v>4729</v>
      </c>
      <c r="E678" s="7" t="s">
        <v>49</v>
      </c>
      <c r="F678" s="15" t="s">
        <v>4729</v>
      </c>
      <c r="G678" s="15" t="s">
        <v>4968</v>
      </c>
      <c r="H678" s="15" t="s">
        <v>4729</v>
      </c>
      <c r="I678" s="15" t="s">
        <v>4729</v>
      </c>
      <c r="J678" s="15" t="s">
        <v>4729</v>
      </c>
      <c r="K678" s="16">
        <v>5</v>
      </c>
      <c r="L678" s="17" t="s">
        <v>4729</v>
      </c>
      <c r="M678" s="10" t="s">
        <v>5385</v>
      </c>
    </row>
    <row r="679" spans="1:13" x14ac:dyDescent="0.3">
      <c r="A679" t="s">
        <v>4730</v>
      </c>
      <c r="B679" s="7" t="s">
        <v>4731</v>
      </c>
      <c r="C679" s="7"/>
      <c r="D679" s="7" t="s">
        <v>4731</v>
      </c>
      <c r="E679" s="7" t="s">
        <v>34</v>
      </c>
      <c r="F679" s="15" t="s">
        <v>4731</v>
      </c>
      <c r="G679" s="15" t="s">
        <v>4968</v>
      </c>
      <c r="H679" s="15" t="s">
        <v>4731</v>
      </c>
      <c r="I679" s="15" t="s">
        <v>4731</v>
      </c>
      <c r="J679" s="15" t="s">
        <v>4731</v>
      </c>
      <c r="K679" s="16">
        <v>5</v>
      </c>
      <c r="L679" s="17" t="s">
        <v>4731</v>
      </c>
      <c r="M679" s="10" t="s">
        <v>5386</v>
      </c>
    </row>
    <row r="680" spans="1:13" x14ac:dyDescent="0.3">
      <c r="A680" t="s">
        <v>4733</v>
      </c>
      <c r="B680" s="7"/>
      <c r="C680" s="7"/>
      <c r="D680" s="7" t="s">
        <v>4734</v>
      </c>
      <c r="E680" s="7" t="s">
        <v>9</v>
      </c>
      <c r="F680" s="15" t="s">
        <v>5387</v>
      </c>
      <c r="G680" s="15" t="s">
        <v>4968</v>
      </c>
      <c r="H680" s="15" t="s">
        <v>5387</v>
      </c>
      <c r="I680" s="15" t="s">
        <v>5387</v>
      </c>
      <c r="J680" s="15" t="s">
        <v>5387</v>
      </c>
      <c r="K680" s="16">
        <v>4</v>
      </c>
      <c r="L680" s="17" t="s">
        <v>5387</v>
      </c>
      <c r="M680" s="10" t="s">
        <v>4968</v>
      </c>
    </row>
    <row r="681" spans="1:13" x14ac:dyDescent="0.3">
      <c r="A681" t="s">
        <v>4735</v>
      </c>
      <c r="B681" s="7"/>
      <c r="C681" s="7"/>
      <c r="D681" s="7" t="s">
        <v>4736</v>
      </c>
      <c r="E681" s="7" t="s">
        <v>9</v>
      </c>
      <c r="F681" s="15" t="s">
        <v>5388</v>
      </c>
      <c r="G681" s="15" t="s">
        <v>4968</v>
      </c>
      <c r="H681" s="15" t="s">
        <v>5388</v>
      </c>
      <c r="I681" s="15" t="s">
        <v>5388</v>
      </c>
      <c r="J681" s="15" t="s">
        <v>5388</v>
      </c>
      <c r="K681" s="16">
        <v>4</v>
      </c>
      <c r="L681" s="17" t="s">
        <v>5388</v>
      </c>
      <c r="M681" s="10" t="s">
        <v>4968</v>
      </c>
    </row>
    <row r="682" spans="1:13" x14ac:dyDescent="0.3">
      <c r="A682" t="s">
        <v>4737</v>
      </c>
      <c r="B682" s="7" t="s">
        <v>4738</v>
      </c>
      <c r="C682" s="7"/>
      <c r="D682" s="7" t="s">
        <v>4738</v>
      </c>
      <c r="E682" s="7" t="s">
        <v>34</v>
      </c>
      <c r="F682" s="15" t="s">
        <v>4738</v>
      </c>
      <c r="G682" s="15" t="s">
        <v>4968</v>
      </c>
      <c r="H682" s="15" t="s">
        <v>4738</v>
      </c>
      <c r="I682" s="15" t="s">
        <v>4738</v>
      </c>
      <c r="J682" s="15" t="s">
        <v>4738</v>
      </c>
      <c r="K682" s="16">
        <v>5</v>
      </c>
      <c r="L682" s="17" t="s">
        <v>4738</v>
      </c>
      <c r="M682" s="10" t="s">
        <v>5389</v>
      </c>
    </row>
    <row r="683" spans="1:13" x14ac:dyDescent="0.3">
      <c r="A683" t="s">
        <v>4746</v>
      </c>
      <c r="B683" s="7" t="s">
        <v>88</v>
      </c>
      <c r="C683" s="7"/>
      <c r="D683" s="7" t="s">
        <v>88</v>
      </c>
      <c r="E683" s="7" t="s">
        <v>34</v>
      </c>
      <c r="F683" s="15" t="s">
        <v>88</v>
      </c>
      <c r="G683" s="15" t="s">
        <v>4968</v>
      </c>
      <c r="H683" s="15" t="s">
        <v>88</v>
      </c>
      <c r="I683" s="15" t="s">
        <v>88</v>
      </c>
      <c r="J683" s="15" t="s">
        <v>88</v>
      </c>
      <c r="K683" s="16">
        <v>5</v>
      </c>
      <c r="L683" s="17" t="s">
        <v>88</v>
      </c>
      <c r="M683" s="10" t="s">
        <v>5390</v>
      </c>
    </row>
    <row r="684" spans="1:13" x14ac:dyDescent="0.3">
      <c r="A684" t="s">
        <v>4747</v>
      </c>
      <c r="B684" s="7" t="s">
        <v>4748</v>
      </c>
      <c r="C684" s="7"/>
      <c r="D684" s="7" t="s">
        <v>4748</v>
      </c>
      <c r="E684" s="7" t="s">
        <v>34</v>
      </c>
      <c r="F684" s="15" t="s">
        <v>4748</v>
      </c>
      <c r="G684" s="15" t="s">
        <v>4968</v>
      </c>
      <c r="H684" s="15" t="s">
        <v>4748</v>
      </c>
      <c r="I684" s="15" t="s">
        <v>4748</v>
      </c>
      <c r="J684" s="15" t="s">
        <v>4748</v>
      </c>
      <c r="K684" s="16">
        <v>5</v>
      </c>
      <c r="L684" s="17" t="s">
        <v>4748</v>
      </c>
      <c r="M684" s="10" t="s">
        <v>5391</v>
      </c>
    </row>
    <row r="685" spans="1:13" x14ac:dyDescent="0.3">
      <c r="A685" t="s">
        <v>4749</v>
      </c>
      <c r="B685" s="7"/>
      <c r="C685" s="7" t="s">
        <v>4750</v>
      </c>
      <c r="D685" s="7" t="s">
        <v>4750</v>
      </c>
      <c r="E685" s="7" t="s">
        <v>49</v>
      </c>
      <c r="F685" s="15" t="s">
        <v>4750</v>
      </c>
      <c r="G685" s="15" t="s">
        <v>4968</v>
      </c>
      <c r="H685" s="15" t="s">
        <v>4750</v>
      </c>
      <c r="I685" s="15" t="s">
        <v>4750</v>
      </c>
      <c r="J685" s="15" t="s">
        <v>4750</v>
      </c>
      <c r="K685" s="16">
        <v>4</v>
      </c>
      <c r="L685" s="17" t="s">
        <v>4750</v>
      </c>
      <c r="M685" s="10" t="s">
        <v>4968</v>
      </c>
    </row>
    <row r="686" spans="1:13" x14ac:dyDescent="0.3">
      <c r="A686" t="s">
        <v>4754</v>
      </c>
      <c r="B686" s="7" t="s">
        <v>4755</v>
      </c>
      <c r="C686" s="7"/>
      <c r="D686" s="7" t="s">
        <v>4755</v>
      </c>
      <c r="E686" s="7" t="s">
        <v>34</v>
      </c>
      <c r="F686" s="15" t="s">
        <v>4755</v>
      </c>
      <c r="G686" s="15" t="s">
        <v>4968</v>
      </c>
      <c r="H686" s="15" t="s">
        <v>4755</v>
      </c>
      <c r="I686" s="15" t="s">
        <v>4755</v>
      </c>
      <c r="J686" s="15" t="s">
        <v>4755</v>
      </c>
      <c r="K686" s="16">
        <v>5</v>
      </c>
      <c r="L686" s="17" t="s">
        <v>4755</v>
      </c>
      <c r="M686" s="10" t="s">
        <v>5392</v>
      </c>
    </row>
    <row r="687" spans="1:13" x14ac:dyDescent="0.3">
      <c r="A687" t="s">
        <v>4778</v>
      </c>
      <c r="B687" s="7" t="s">
        <v>4779</v>
      </c>
      <c r="C687" s="7" t="s">
        <v>4780</v>
      </c>
      <c r="D687" s="7" t="s">
        <v>4777</v>
      </c>
      <c r="E687" s="7" t="s">
        <v>295</v>
      </c>
      <c r="F687" s="15" t="s">
        <v>4777</v>
      </c>
      <c r="G687" s="15" t="s">
        <v>4968</v>
      </c>
      <c r="H687" s="15" t="s">
        <v>4780</v>
      </c>
      <c r="I687" s="15" t="s">
        <v>4777</v>
      </c>
      <c r="J687" s="15" t="s">
        <v>4777</v>
      </c>
      <c r="K687" s="16">
        <v>4</v>
      </c>
      <c r="L687" s="17" t="s">
        <v>4777</v>
      </c>
      <c r="M687" s="10" t="s">
        <v>4968</v>
      </c>
    </row>
    <row r="688" spans="1:13" x14ac:dyDescent="0.3">
      <c r="A688" t="s">
        <v>4789</v>
      </c>
      <c r="B688" s="7"/>
      <c r="C688" s="7" t="s">
        <v>4790</v>
      </c>
      <c r="D688" s="7" t="s">
        <v>4790</v>
      </c>
      <c r="E688" s="7" t="s">
        <v>49</v>
      </c>
      <c r="F688" s="15" t="s">
        <v>4790</v>
      </c>
      <c r="G688" s="15" t="s">
        <v>4968</v>
      </c>
      <c r="H688" s="15" t="s">
        <v>4790</v>
      </c>
      <c r="I688" s="15" t="s">
        <v>4790</v>
      </c>
      <c r="J688" s="15" t="s">
        <v>4790</v>
      </c>
      <c r="K688" s="16">
        <v>5</v>
      </c>
      <c r="L688" s="17" t="s">
        <v>4790</v>
      </c>
      <c r="M688" s="10" t="s">
        <v>5393</v>
      </c>
    </row>
    <row r="689" spans="1:13" x14ac:dyDescent="0.3">
      <c r="A689" t="s">
        <v>4799</v>
      </c>
      <c r="B689" s="7"/>
      <c r="C689" s="7"/>
      <c r="D689" s="7" t="s">
        <v>4800</v>
      </c>
      <c r="E689" s="7" t="s">
        <v>9</v>
      </c>
      <c r="F689" s="15" t="s">
        <v>4800</v>
      </c>
      <c r="G689" s="15" t="s">
        <v>4968</v>
      </c>
      <c r="H689" s="15" t="s">
        <v>4800</v>
      </c>
      <c r="I689" s="15" t="s">
        <v>4800</v>
      </c>
      <c r="J689" s="15" t="s">
        <v>4800</v>
      </c>
      <c r="K689" s="16">
        <v>5</v>
      </c>
      <c r="L689" s="17" t="s">
        <v>4800</v>
      </c>
      <c r="M689" s="10" t="s">
        <v>5394</v>
      </c>
    </row>
    <row r="690" spans="1:13" x14ac:dyDescent="0.3">
      <c r="A690" t="s">
        <v>4805</v>
      </c>
      <c r="B690" s="7" t="s">
        <v>4806</v>
      </c>
      <c r="C690" s="7"/>
      <c r="D690" s="7" t="s">
        <v>4806</v>
      </c>
      <c r="E690" s="7" t="s">
        <v>34</v>
      </c>
      <c r="F690" s="15" t="s">
        <v>4806</v>
      </c>
      <c r="G690" s="15" t="s">
        <v>4968</v>
      </c>
      <c r="H690" s="15" t="s">
        <v>4806</v>
      </c>
      <c r="I690" s="15" t="s">
        <v>4806</v>
      </c>
      <c r="J690" s="15" t="s">
        <v>4806</v>
      </c>
      <c r="K690" s="16">
        <v>4</v>
      </c>
      <c r="L690" s="17" t="s">
        <v>4806</v>
      </c>
      <c r="M690" s="10" t="s">
        <v>4968</v>
      </c>
    </row>
    <row r="691" spans="1:13" x14ac:dyDescent="0.3">
      <c r="A691" t="s">
        <v>4825</v>
      </c>
      <c r="B691" s="7" t="s">
        <v>4826</v>
      </c>
      <c r="C691" s="7" t="s">
        <v>4827</v>
      </c>
      <c r="D691" s="7"/>
      <c r="E691" s="7" t="s">
        <v>9</v>
      </c>
      <c r="F691" s="15" t="s">
        <v>5395</v>
      </c>
      <c r="G691" s="15" t="s">
        <v>4968</v>
      </c>
      <c r="H691" s="15" t="s">
        <v>4827</v>
      </c>
      <c r="I691" s="15" t="s">
        <v>5395</v>
      </c>
      <c r="J691" s="15" t="s">
        <v>5395</v>
      </c>
      <c r="K691" s="16">
        <v>4</v>
      </c>
      <c r="L691" s="17" t="s">
        <v>5395</v>
      </c>
      <c r="M691" s="10" t="s">
        <v>4968</v>
      </c>
    </row>
    <row r="692" spans="1:13" x14ac:dyDescent="0.3">
      <c r="A692" t="s">
        <v>4828</v>
      </c>
      <c r="B692" s="7" t="s">
        <v>4829</v>
      </c>
      <c r="C692" s="7" t="s">
        <v>4830</v>
      </c>
      <c r="D692" s="7" t="s">
        <v>4829</v>
      </c>
      <c r="E692" s="7" t="s">
        <v>493</v>
      </c>
      <c r="F692" s="15" t="s">
        <v>4829</v>
      </c>
      <c r="G692" s="15" t="s">
        <v>4968</v>
      </c>
      <c r="H692" s="15" t="s">
        <v>4830</v>
      </c>
      <c r="I692" s="15" t="s">
        <v>5396</v>
      </c>
      <c r="J692" s="15" t="s">
        <v>5396</v>
      </c>
      <c r="K692" s="16">
        <v>4</v>
      </c>
      <c r="L692" s="17" t="s">
        <v>5396</v>
      </c>
      <c r="M692" s="10" t="s">
        <v>5397</v>
      </c>
    </row>
    <row r="693" spans="1:13" x14ac:dyDescent="0.3">
      <c r="A693" t="s">
        <v>4835</v>
      </c>
      <c r="B693" s="7" t="s">
        <v>4836</v>
      </c>
      <c r="C693" s="7" t="s">
        <v>4837</v>
      </c>
      <c r="D693" s="7" t="s">
        <v>4837</v>
      </c>
      <c r="E693" s="7" t="s">
        <v>23</v>
      </c>
      <c r="F693" s="15" t="s">
        <v>5398</v>
      </c>
      <c r="G693" s="15" t="s">
        <v>4968</v>
      </c>
      <c r="H693" s="15" t="s">
        <v>4837</v>
      </c>
      <c r="I693" s="15" t="s">
        <v>5398</v>
      </c>
      <c r="J693" s="15" t="s">
        <v>5398</v>
      </c>
      <c r="K693" s="16">
        <v>4</v>
      </c>
      <c r="L693" s="17" t="s">
        <v>5398</v>
      </c>
      <c r="M693" s="10" t="s">
        <v>4968</v>
      </c>
    </row>
    <row r="694" spans="1:13" x14ac:dyDescent="0.3">
      <c r="A694" t="s">
        <v>4862</v>
      </c>
      <c r="B694" s="7" t="s">
        <v>4863</v>
      </c>
      <c r="C694" s="7"/>
      <c r="D694" s="7" t="s">
        <v>4863</v>
      </c>
      <c r="E694" s="7" t="s">
        <v>34</v>
      </c>
      <c r="F694" s="15" t="s">
        <v>4863</v>
      </c>
      <c r="G694" s="15" t="s">
        <v>4968</v>
      </c>
      <c r="H694" s="15" t="s">
        <v>4863</v>
      </c>
      <c r="I694" s="15" t="s">
        <v>4863</v>
      </c>
      <c r="J694" s="15" t="s">
        <v>4863</v>
      </c>
      <c r="K694" s="16">
        <v>4</v>
      </c>
      <c r="L694" s="17" t="s">
        <v>4863</v>
      </c>
      <c r="M694" s="10" t="s">
        <v>4968</v>
      </c>
    </row>
    <row r="695" spans="1:13" x14ac:dyDescent="0.3">
      <c r="A695" t="s">
        <v>4872</v>
      </c>
      <c r="B695" s="7" t="s">
        <v>4873</v>
      </c>
      <c r="C695" s="7"/>
      <c r="D695" s="7" t="s">
        <v>4871</v>
      </c>
      <c r="E695" s="7" t="s">
        <v>9</v>
      </c>
      <c r="F695" s="15" t="s">
        <v>4871</v>
      </c>
      <c r="G695" s="15" t="s">
        <v>4968</v>
      </c>
      <c r="H695" s="15" t="s">
        <v>4871</v>
      </c>
      <c r="I695" s="15" t="s">
        <v>4871</v>
      </c>
      <c r="J695" s="15" t="s">
        <v>4871</v>
      </c>
      <c r="K695" s="16">
        <v>5</v>
      </c>
      <c r="L695" s="17" t="s">
        <v>4871</v>
      </c>
      <c r="M695" s="10" t="s">
        <v>5399</v>
      </c>
    </row>
    <row r="696" spans="1:13" x14ac:dyDescent="0.3">
      <c r="A696" t="s">
        <v>4890</v>
      </c>
      <c r="B696" s="7"/>
      <c r="C696" s="7"/>
      <c r="D696" s="7" t="s">
        <v>4891</v>
      </c>
      <c r="E696" s="7" t="s">
        <v>9</v>
      </c>
      <c r="F696" s="15" t="s">
        <v>4891</v>
      </c>
      <c r="G696" s="15" t="s">
        <v>4968</v>
      </c>
      <c r="H696" s="15" t="s">
        <v>4891</v>
      </c>
      <c r="I696" s="15" t="s">
        <v>4891</v>
      </c>
      <c r="J696" s="15" t="s">
        <v>4891</v>
      </c>
      <c r="K696" s="16">
        <v>5</v>
      </c>
      <c r="L696" s="17" t="s">
        <v>4891</v>
      </c>
      <c r="M696" s="10" t="s">
        <v>5400</v>
      </c>
    </row>
    <row r="697" spans="1:13" x14ac:dyDescent="0.3">
      <c r="A697" t="s">
        <v>4906</v>
      </c>
      <c r="B697" s="7" t="s">
        <v>4907</v>
      </c>
      <c r="C697" s="7" t="s">
        <v>4908</v>
      </c>
      <c r="D697" s="7" t="s">
        <v>4908</v>
      </c>
      <c r="E697" s="7" t="s">
        <v>23</v>
      </c>
      <c r="F697" s="15" t="s">
        <v>4908</v>
      </c>
      <c r="G697" s="15" t="s">
        <v>4968</v>
      </c>
      <c r="H697" s="15" t="s">
        <v>4908</v>
      </c>
      <c r="I697" s="15" t="s">
        <v>4908</v>
      </c>
      <c r="J697" s="15" t="s">
        <v>4908</v>
      </c>
      <c r="K697" s="16">
        <v>5</v>
      </c>
      <c r="L697" s="17" t="s">
        <v>4908</v>
      </c>
      <c r="M697" s="10" t="s">
        <v>5401</v>
      </c>
    </row>
    <row r="698" spans="1:13" x14ac:dyDescent="0.3">
      <c r="A698" t="s">
        <v>4913</v>
      </c>
      <c r="B698" s="7" t="s">
        <v>4914</v>
      </c>
      <c r="C698" s="7" t="s">
        <v>4914</v>
      </c>
      <c r="D698" s="7"/>
      <c r="E698" s="7" t="s">
        <v>323</v>
      </c>
      <c r="F698" s="15" t="s">
        <v>4914</v>
      </c>
      <c r="G698" s="15" t="s">
        <v>4968</v>
      </c>
      <c r="H698" s="15" t="s">
        <v>4914</v>
      </c>
      <c r="I698" s="15" t="s">
        <v>4914</v>
      </c>
      <c r="J698" s="15" t="s">
        <v>4914</v>
      </c>
      <c r="K698" s="16">
        <v>5</v>
      </c>
      <c r="L698" s="17" t="s">
        <v>4914</v>
      </c>
      <c r="M698" s="10" t="s">
        <v>5402</v>
      </c>
    </row>
    <row r="699" spans="1:13" x14ac:dyDescent="0.3">
      <c r="A699" t="s">
        <v>4915</v>
      </c>
      <c r="B699" s="7"/>
      <c r="C699" s="7" t="s">
        <v>4916</v>
      </c>
      <c r="D699" s="7" t="s">
        <v>4916</v>
      </c>
      <c r="E699" s="7" t="s">
        <v>49</v>
      </c>
      <c r="F699" s="15" t="s">
        <v>4916</v>
      </c>
      <c r="G699" s="15" t="s">
        <v>4968</v>
      </c>
      <c r="H699" s="15" t="s">
        <v>4916</v>
      </c>
      <c r="I699" s="15" t="s">
        <v>4916</v>
      </c>
      <c r="J699" s="15" t="s">
        <v>4916</v>
      </c>
      <c r="K699" s="16">
        <v>4</v>
      </c>
      <c r="L699" s="17" t="s">
        <v>4916</v>
      </c>
      <c r="M699" s="10" t="s">
        <v>4968</v>
      </c>
    </row>
    <row r="700" spans="1:13" x14ac:dyDescent="0.3">
      <c r="A700" t="s">
        <v>4917</v>
      </c>
      <c r="B700" s="7" t="s">
        <v>4918</v>
      </c>
      <c r="C700" s="7" t="s">
        <v>4918</v>
      </c>
      <c r="D700" s="7" t="s">
        <v>4919</v>
      </c>
      <c r="E700" s="7" t="s">
        <v>15</v>
      </c>
      <c r="F700" s="15" t="s">
        <v>5403</v>
      </c>
      <c r="G700" s="15" t="s">
        <v>4968</v>
      </c>
      <c r="H700" s="15" t="s">
        <v>5403</v>
      </c>
      <c r="I700" s="15" t="s">
        <v>5403</v>
      </c>
      <c r="J700" s="15" t="s">
        <v>4918</v>
      </c>
      <c r="K700" s="16">
        <v>3</v>
      </c>
      <c r="L700" s="17" t="s">
        <v>5403</v>
      </c>
      <c r="M700" s="10" t="s">
        <v>4968</v>
      </c>
    </row>
    <row r="701" spans="1:13" x14ac:dyDescent="0.3">
      <c r="A701" t="s">
        <v>4920</v>
      </c>
      <c r="B701" s="7" t="s">
        <v>4921</v>
      </c>
      <c r="C701" s="7" t="s">
        <v>4922</v>
      </c>
      <c r="D701" s="7" t="s">
        <v>4921</v>
      </c>
      <c r="E701" s="7" t="s">
        <v>493</v>
      </c>
      <c r="F701" s="15" t="s">
        <v>4921</v>
      </c>
      <c r="G701" s="15" t="s">
        <v>4968</v>
      </c>
      <c r="H701" s="15" t="s">
        <v>4922</v>
      </c>
      <c r="I701" s="15" t="s">
        <v>4921</v>
      </c>
      <c r="J701" s="15" t="s">
        <v>4921</v>
      </c>
      <c r="K701" s="16">
        <v>3</v>
      </c>
      <c r="L701" s="17" t="s">
        <v>4921</v>
      </c>
      <c r="M701" s="10" t="s">
        <v>4968</v>
      </c>
    </row>
    <row r="702" spans="1:13" x14ac:dyDescent="0.3">
      <c r="A702" t="s">
        <v>4927</v>
      </c>
      <c r="B702" s="7"/>
      <c r="C702" s="7" t="s">
        <v>4928</v>
      </c>
      <c r="D702" s="7" t="s">
        <v>4928</v>
      </c>
      <c r="E702" s="7" t="s">
        <v>49</v>
      </c>
      <c r="F702" s="15" t="s">
        <v>4928</v>
      </c>
      <c r="G702" s="15" t="s">
        <v>4968</v>
      </c>
      <c r="H702" s="15" t="s">
        <v>4928</v>
      </c>
      <c r="I702" s="15" t="s">
        <v>4928</v>
      </c>
      <c r="J702" s="15" t="s">
        <v>4928</v>
      </c>
      <c r="K702" s="16">
        <v>5</v>
      </c>
      <c r="L702" s="17" t="s">
        <v>4928</v>
      </c>
      <c r="M702" s="10" t="s">
        <v>5404</v>
      </c>
    </row>
    <row r="703" spans="1:13" x14ac:dyDescent="0.3">
      <c r="A703" t="s">
        <v>4943</v>
      </c>
      <c r="B703" s="7" t="s">
        <v>4944</v>
      </c>
      <c r="C703" s="7" t="s">
        <v>4945</v>
      </c>
      <c r="D703" s="7" t="s">
        <v>4945</v>
      </c>
      <c r="E703" s="7" t="s">
        <v>23</v>
      </c>
      <c r="F703" s="15" t="s">
        <v>5405</v>
      </c>
      <c r="G703" s="15" t="s">
        <v>4968</v>
      </c>
      <c r="H703" s="15" t="s">
        <v>4945</v>
      </c>
      <c r="I703" s="15" t="s">
        <v>5405</v>
      </c>
      <c r="J703" s="15" t="s">
        <v>5405</v>
      </c>
      <c r="K703" s="16">
        <v>4</v>
      </c>
      <c r="L703" s="17" t="s">
        <v>5405</v>
      </c>
      <c r="M703" s="10" t="s">
        <v>4968</v>
      </c>
    </row>
  </sheetData>
  <mergeCells count="2">
    <mergeCell ref="B1:E1"/>
    <mergeCell ref="F1:J1"/>
  </mergeCells>
  <phoneticPr fontId="5" type="noConversion"/>
  <conditionalFormatting sqref="L266:L373 L3:L264 L375:L566 L568:L660 L662:L703">
    <cfRule type="duplicateValues" dxfId="0" priority="51"/>
  </conditionalFormatting>
  <hyperlinks>
    <hyperlink ref="M449" r:id="rId1" xr:uid="{089A0964-D7D9-4DDC-82F3-A3C1CAD84B68}"/>
    <hyperlink ref="M500" r:id="rId2" xr:uid="{563EF46F-32A2-4B01-9327-EBA5C1902EF1}"/>
    <hyperlink ref="M423" r:id="rId3" xr:uid="{CFF2B277-04C8-4648-BED4-A8508FED75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originales</vt:lpstr>
      <vt:lpstr>Revisión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 Lemaitre</cp:lastModifiedBy>
  <dcterms:created xsi:type="dcterms:W3CDTF">2026-06-25T02:45:41Z</dcterms:created>
  <dcterms:modified xsi:type="dcterms:W3CDTF">2026-07-13T01:52:52Z</dcterms:modified>
</cp:coreProperties>
</file>